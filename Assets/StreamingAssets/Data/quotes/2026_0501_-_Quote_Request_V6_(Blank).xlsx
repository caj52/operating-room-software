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https://imagineunlimitedllc-my.sharepoint.com/personal/admin_igoimagine_com/Documents/Documents (New)/01_Internal/05_BnL/04_BnL Resources/B&amp;L Quoting Tool/"/>
    </mc:Choice>
  </mc:AlternateContent>
  <xr:revisionPtr revIDLastSave="12" documentId="8_{806FAF4F-343A-444E-8E7D-E6EF4140C3AF}" xr6:coauthVersionLast="47" xr6:coauthVersionMax="47" xr10:uidLastSave="{38946616-B42A-4BAE-8493-581254AFE169}"/>
  <bookViews>
    <workbookView xWindow="0" yWindow="600" windowWidth="33600" windowHeight="20400" firstSheet="2" activeTab="9" xr2:uid="{FA3FDF77-82AB-CF45-A9A4-2EC6B93A83D0}"/>
  </bookViews>
  <sheets>
    <sheet name="Construction" sheetId="27" r:id="rId1"/>
    <sheet name="Install Pricelist" sheetId="30" state="hidden" r:id="rId2"/>
    <sheet name="Booms and Lights" sheetId="3" r:id="rId3"/>
    <sheet name="Estimating Drop Downs" sheetId="28" state="hidden" r:id="rId4"/>
    <sheet name="BnL Drop Downs" sheetId="4" state="hidden" r:id="rId5"/>
    <sheet name="Ondal Booms" sheetId="17" state="hidden" r:id="rId6"/>
    <sheet name="Simeon Lights" sheetId="2" state="hidden" r:id="rId7"/>
    <sheet name="Cost Analysis" sheetId="29" state="hidden" r:id="rId8"/>
    <sheet name="Config #1" sheetId="5" r:id="rId9"/>
    <sheet name="Config #2" sheetId="18" r:id="rId10"/>
    <sheet name="Config #3" sheetId="19" r:id="rId11"/>
    <sheet name="Config #4" sheetId="20" r:id="rId12"/>
    <sheet name="Config #5" sheetId="23" r:id="rId13"/>
    <sheet name="Config #6" sheetId="21" r:id="rId14"/>
    <sheet name="Config #7" sheetId="22" r:id="rId15"/>
    <sheet name="Config #8" sheetId="24" r:id="rId16"/>
    <sheet name="Config #9" sheetId="26" r:id="rId17"/>
    <sheet name="Config #10" sheetId="25" r:id="rId18"/>
  </sheets>
  <definedNames>
    <definedName name="_xlnm.Print_Area" localSheetId="2">'Booms and Lights'!$A$1:$Q$28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3" l="1"/>
  <c r="P4" i="3" s="1"/>
  <c r="O4" i="3"/>
  <c r="N5" i="3"/>
  <c r="P5" i="3" s="1"/>
  <c r="O5" i="3"/>
  <c r="N6" i="3"/>
  <c r="P6" i="3" s="1"/>
  <c r="O6" i="3"/>
  <c r="N7" i="3"/>
  <c r="P7" i="3" s="1"/>
  <c r="O7" i="3"/>
  <c r="N8" i="3"/>
  <c r="P8" i="3" s="1"/>
  <c r="O8" i="3"/>
  <c r="N9" i="3"/>
  <c r="P9" i="3" s="1"/>
  <c r="O9" i="3"/>
  <c r="N10" i="3"/>
  <c r="P10" i="3" s="1"/>
  <c r="O10" i="3"/>
  <c r="N11" i="3"/>
  <c r="P11" i="3" s="1"/>
  <c r="O11" i="3"/>
  <c r="N12" i="3"/>
  <c r="P12" i="3" s="1"/>
  <c r="O12" i="3"/>
  <c r="O3" i="3"/>
  <c r="N3" i="3"/>
  <c r="P3" i="3" s="1"/>
  <c r="C13" i="3"/>
  <c r="D13" i="3"/>
  <c r="E13" i="3"/>
  <c r="F13" i="3"/>
  <c r="G13" i="3"/>
  <c r="H13" i="3"/>
  <c r="I13" i="3"/>
  <c r="J13" i="3"/>
  <c r="K13" i="3"/>
  <c r="L13" i="3"/>
  <c r="R21" i="3" l="1"/>
  <c r="R13" i="3"/>
  <c r="R8" i="3" l="1"/>
  <c r="R9" i="3"/>
  <c r="R10" i="3"/>
  <c r="R11" i="3"/>
  <c r="R12" i="3"/>
  <c r="B43" i="30" l="1"/>
  <c r="C43" i="30" s="1"/>
  <c r="D43" i="30" s="1"/>
  <c r="B42" i="30"/>
  <c r="C42" i="30" s="1"/>
  <c r="D42" i="30" s="1"/>
  <c r="C41" i="30"/>
  <c r="D41" i="30" s="1"/>
  <c r="B40" i="30"/>
  <c r="C40" i="30" s="1"/>
  <c r="D40" i="30" s="1"/>
  <c r="B39" i="30"/>
  <c r="C39" i="30" s="1"/>
  <c r="D39" i="30" s="1"/>
  <c r="C38" i="30"/>
  <c r="D38" i="30" s="1"/>
  <c r="B37" i="30"/>
  <c r="C37" i="30" s="1"/>
  <c r="D37" i="30" s="1"/>
  <c r="B36" i="30"/>
  <c r="C36" i="30" s="1"/>
  <c r="D36" i="30" s="1"/>
  <c r="D35" i="30"/>
  <c r="C35" i="30"/>
  <c r="B34" i="30"/>
  <c r="C34" i="30" s="1"/>
  <c r="D34" i="30" s="1"/>
  <c r="B33" i="30"/>
  <c r="C33" i="30" s="1"/>
  <c r="D33" i="30" s="1"/>
  <c r="C32" i="30"/>
  <c r="D32" i="30" s="1"/>
  <c r="B31" i="30"/>
  <c r="C31" i="30" s="1"/>
  <c r="D31" i="30" s="1"/>
  <c r="B30" i="30"/>
  <c r="C30" i="30" s="1"/>
  <c r="D30" i="30" s="1"/>
  <c r="C29" i="30"/>
  <c r="D29" i="30" s="1"/>
  <c r="C28" i="30"/>
  <c r="D28" i="30" s="1"/>
  <c r="C27" i="30"/>
  <c r="D27" i="30" s="1"/>
  <c r="C26" i="30"/>
  <c r="D26" i="30" s="1"/>
  <c r="D25" i="30"/>
  <c r="C25" i="30"/>
  <c r="C24" i="30"/>
  <c r="D24" i="30" s="1"/>
  <c r="C23" i="30"/>
  <c r="D23" i="30" s="1"/>
  <c r="C22" i="30"/>
  <c r="D22" i="30" s="1"/>
  <c r="C21" i="30"/>
  <c r="D21" i="30" s="1"/>
  <c r="C20" i="30"/>
  <c r="D20" i="30" s="1"/>
  <c r="D19" i="30"/>
  <c r="C19" i="30"/>
  <c r="C18" i="30"/>
  <c r="D18" i="30" s="1"/>
  <c r="C17" i="30"/>
  <c r="D17" i="30" s="1"/>
  <c r="C16" i="30"/>
  <c r="D16" i="30" s="1"/>
  <c r="C15" i="30"/>
  <c r="D15" i="30" s="1"/>
  <c r="C14" i="30"/>
  <c r="D14" i="30" s="1"/>
  <c r="D13" i="30"/>
  <c r="C13" i="30"/>
  <c r="C12" i="30"/>
  <c r="D12" i="30" s="1"/>
  <c r="C11" i="30"/>
  <c r="D11" i="30" s="1"/>
  <c r="C10" i="30"/>
  <c r="D10" i="30" s="1"/>
  <c r="C9" i="30"/>
  <c r="D9" i="30" s="1"/>
  <c r="C8" i="30"/>
  <c r="D8" i="30" s="1"/>
  <c r="D7" i="30"/>
  <c r="C7" i="30"/>
  <c r="C6" i="30"/>
  <c r="D6" i="30" s="1"/>
  <c r="C5" i="30"/>
  <c r="D5" i="30" s="1"/>
  <c r="C4" i="30"/>
  <c r="D4" i="30" s="1"/>
  <c r="C3" i="30"/>
  <c r="D3" i="30" s="1"/>
  <c r="C2" i="30"/>
  <c r="D2" i="30" s="1"/>
  <c r="G214" i="2" l="1"/>
  <c r="L33" i="2" s="1"/>
  <c r="M30" i="2"/>
  <c r="G30" i="2"/>
  <c r="H320" i="2" l="1"/>
  <c r="H321" i="2"/>
  <c r="H319" i="2"/>
  <c r="H318" i="2"/>
  <c r="G317" i="2"/>
  <c r="H317" i="2" s="1"/>
  <c r="H316" i="2"/>
  <c r="H315" i="2"/>
  <c r="H314" i="2"/>
  <c r="G313" i="2"/>
  <c r="H310" i="2"/>
  <c r="H309" i="2"/>
  <c r="H308" i="2"/>
  <c r="H307" i="2"/>
  <c r="H306" i="2"/>
  <c r="H305" i="2"/>
  <c r="H298" i="2"/>
  <c r="H297" i="2"/>
  <c r="H296" i="2"/>
  <c r="H290" i="2"/>
  <c r="H291" i="2"/>
  <c r="H324" i="2"/>
  <c r="H292" i="2"/>
  <c r="H293" i="2"/>
  <c r="H300" i="2"/>
  <c r="H301" i="2"/>
  <c r="H302" i="2"/>
  <c r="H325" i="2"/>
  <c r="H289" i="2"/>
  <c r="G299" i="2"/>
  <c r="H299" i="2" s="1"/>
  <c r="G222" i="2"/>
  <c r="G221" i="2"/>
  <c r="G131" i="2"/>
  <c r="G35" i="2"/>
  <c r="F35" i="2" s="1"/>
  <c r="G169" i="2"/>
  <c r="J37" i="2" s="1"/>
  <c r="G168" i="2"/>
  <c r="J36" i="2" s="1"/>
  <c r="G163" i="2"/>
  <c r="J41" i="2" s="1"/>
  <c r="B54" i="25"/>
  <c r="B54" i="26"/>
  <c r="B54" i="24"/>
  <c r="E54" i="24" s="1"/>
  <c r="B54" i="22"/>
  <c r="B54" i="21"/>
  <c r="B54" i="23"/>
  <c r="B54" i="20"/>
  <c r="E54" i="20" s="1"/>
  <c r="B54" i="19"/>
  <c r="E54" i="19" s="1"/>
  <c r="J136" i="2"/>
  <c r="G136" i="2"/>
  <c r="J20" i="2" s="1"/>
  <c r="I3" i="29"/>
  <c r="I12" i="29"/>
  <c r="I11" i="29"/>
  <c r="I10" i="29"/>
  <c r="I9" i="29"/>
  <c r="I8" i="29"/>
  <c r="I7" i="29"/>
  <c r="I6" i="29"/>
  <c r="I5" i="29"/>
  <c r="I4" i="29"/>
  <c r="K12" i="29"/>
  <c r="K11" i="29"/>
  <c r="K10" i="29"/>
  <c r="K9" i="29"/>
  <c r="K8" i="29"/>
  <c r="K7" i="29"/>
  <c r="K6" i="29"/>
  <c r="K5" i="29"/>
  <c r="K4" i="29"/>
  <c r="K3" i="29"/>
  <c r="C44" i="2"/>
  <c r="G159" i="2"/>
  <c r="J44" i="2" s="1"/>
  <c r="G44" i="2" s="1"/>
  <c r="G58" i="2"/>
  <c r="H58" i="2" s="1"/>
  <c r="G108" i="2"/>
  <c r="H108" i="2" s="1"/>
  <c r="C111" i="17"/>
  <c r="C112" i="17"/>
  <c r="C113" i="17"/>
  <c r="C114" i="17"/>
  <c r="C115" i="17"/>
  <c r="C116" i="17"/>
  <c r="C117" i="17"/>
  <c r="C118" i="17"/>
  <c r="C119" i="17"/>
  <c r="C120" i="17"/>
  <c r="C121" i="17"/>
  <c r="C122" i="17"/>
  <c r="C123" i="17"/>
  <c r="C124" i="17"/>
  <c r="C125" i="17"/>
  <c r="C126" i="17"/>
  <c r="C127" i="17"/>
  <c r="C128" i="17"/>
  <c r="C110" i="17"/>
  <c r="C4" i="29"/>
  <c r="C5" i="29"/>
  <c r="C6" i="29"/>
  <c r="C7" i="29"/>
  <c r="C8" i="29"/>
  <c r="C9" i="29"/>
  <c r="C10" i="29"/>
  <c r="C11" i="29"/>
  <c r="C12" i="29"/>
  <c r="C3" i="29"/>
  <c r="E63" i="25"/>
  <c r="J12" i="29" s="1"/>
  <c r="D63" i="25"/>
  <c r="C63" i="25"/>
  <c r="E62" i="25"/>
  <c r="D62" i="25"/>
  <c r="C62" i="25"/>
  <c r="E61" i="25"/>
  <c r="D61" i="25"/>
  <c r="C61" i="25"/>
  <c r="E60" i="25"/>
  <c r="D60" i="25"/>
  <c r="C60" i="25"/>
  <c r="E59" i="25"/>
  <c r="D59" i="25"/>
  <c r="C59" i="25"/>
  <c r="E58" i="25"/>
  <c r="D58" i="25"/>
  <c r="C58" i="25"/>
  <c r="E57" i="25"/>
  <c r="D57" i="25"/>
  <c r="C57" i="25"/>
  <c r="E56" i="25"/>
  <c r="D56" i="25"/>
  <c r="C56" i="25"/>
  <c r="E55" i="25"/>
  <c r="D55" i="25"/>
  <c r="C55" i="25"/>
  <c r="E54" i="25"/>
  <c r="D54" i="25"/>
  <c r="C54" i="25"/>
  <c r="E47" i="25"/>
  <c r="D47" i="25"/>
  <c r="C47" i="25"/>
  <c r="E46" i="25"/>
  <c r="D46" i="25"/>
  <c r="C46" i="25"/>
  <c r="E45" i="25"/>
  <c r="D45" i="25"/>
  <c r="C45" i="25"/>
  <c r="E44" i="25"/>
  <c r="D44" i="25"/>
  <c r="C44" i="25"/>
  <c r="E43" i="25"/>
  <c r="D43" i="25"/>
  <c r="C43" i="25"/>
  <c r="E42" i="25"/>
  <c r="D42" i="25"/>
  <c r="C42" i="25"/>
  <c r="E41" i="25"/>
  <c r="D41" i="25"/>
  <c r="C41" i="25"/>
  <c r="E40" i="25"/>
  <c r="D40" i="25"/>
  <c r="C40" i="25"/>
  <c r="E39" i="25"/>
  <c r="D39" i="25"/>
  <c r="C39" i="25"/>
  <c r="E38" i="25"/>
  <c r="D38" i="25"/>
  <c r="C38" i="25"/>
  <c r="E35" i="25"/>
  <c r="D35" i="25"/>
  <c r="C35" i="25"/>
  <c r="E34" i="25"/>
  <c r="D34" i="25"/>
  <c r="C34" i="25"/>
  <c r="E33" i="25"/>
  <c r="D33" i="25"/>
  <c r="C33" i="25"/>
  <c r="E32" i="25"/>
  <c r="D32" i="25"/>
  <c r="C32" i="25"/>
  <c r="E31" i="25"/>
  <c r="D31" i="25"/>
  <c r="C31" i="25"/>
  <c r="E23" i="25"/>
  <c r="D23" i="25"/>
  <c r="C23" i="25"/>
  <c r="E22" i="25"/>
  <c r="D22" i="25"/>
  <c r="C22" i="25"/>
  <c r="E21" i="25"/>
  <c r="D21" i="25"/>
  <c r="C21" i="25"/>
  <c r="E20" i="25"/>
  <c r="D20" i="25"/>
  <c r="C20" i="25"/>
  <c r="E19" i="25"/>
  <c r="D19" i="25"/>
  <c r="C19" i="25"/>
  <c r="E18" i="25"/>
  <c r="D18" i="25"/>
  <c r="C18" i="25"/>
  <c r="E17" i="25"/>
  <c r="D17" i="25"/>
  <c r="C17" i="25"/>
  <c r="E16" i="25"/>
  <c r="D16" i="25"/>
  <c r="C16" i="25"/>
  <c r="E15" i="25"/>
  <c r="D15" i="25"/>
  <c r="C15" i="25"/>
  <c r="E14" i="25"/>
  <c r="D14" i="25"/>
  <c r="C14" i="25"/>
  <c r="E11" i="25"/>
  <c r="D11" i="25"/>
  <c r="C11" i="25"/>
  <c r="E10" i="25"/>
  <c r="D10" i="25"/>
  <c r="C10" i="25"/>
  <c r="E9" i="25"/>
  <c r="D9" i="25"/>
  <c r="C9" i="25"/>
  <c r="E8" i="25"/>
  <c r="D8" i="25"/>
  <c r="C8" i="25"/>
  <c r="E7" i="25"/>
  <c r="D7" i="25"/>
  <c r="C7" i="25"/>
  <c r="E6" i="25"/>
  <c r="D6" i="25"/>
  <c r="C6" i="25"/>
  <c r="E63" i="26"/>
  <c r="J11" i="29" s="1"/>
  <c r="D63" i="26"/>
  <c r="C63" i="26"/>
  <c r="E62" i="26"/>
  <c r="D62" i="26"/>
  <c r="C62" i="26"/>
  <c r="E61" i="26"/>
  <c r="D61" i="26"/>
  <c r="C61" i="26"/>
  <c r="E60" i="26"/>
  <c r="D60" i="26"/>
  <c r="C60" i="26"/>
  <c r="E59" i="26"/>
  <c r="D59" i="26"/>
  <c r="C59" i="26"/>
  <c r="E58" i="26"/>
  <c r="D58" i="26"/>
  <c r="C58" i="26"/>
  <c r="E57" i="26"/>
  <c r="D57" i="26"/>
  <c r="C57" i="26"/>
  <c r="E56" i="26"/>
  <c r="D56" i="26"/>
  <c r="C56" i="26"/>
  <c r="E55" i="26"/>
  <c r="D55" i="26"/>
  <c r="C55" i="26"/>
  <c r="E54" i="26"/>
  <c r="D54" i="26"/>
  <c r="C54" i="26"/>
  <c r="E47" i="26"/>
  <c r="D47" i="26"/>
  <c r="C47" i="26"/>
  <c r="E46" i="26"/>
  <c r="D46" i="26"/>
  <c r="C46" i="26"/>
  <c r="E45" i="26"/>
  <c r="D45" i="26"/>
  <c r="C45" i="26"/>
  <c r="E44" i="26"/>
  <c r="D44" i="26"/>
  <c r="C44" i="26"/>
  <c r="E43" i="26"/>
  <c r="D43" i="26"/>
  <c r="C43" i="26"/>
  <c r="E42" i="26"/>
  <c r="D42" i="26"/>
  <c r="C42" i="26"/>
  <c r="E41" i="26"/>
  <c r="D41" i="26"/>
  <c r="C41" i="26"/>
  <c r="E40" i="26"/>
  <c r="D40" i="26"/>
  <c r="C40" i="26"/>
  <c r="E39" i="26"/>
  <c r="D39" i="26"/>
  <c r="C39" i="26"/>
  <c r="E38" i="26"/>
  <c r="D38" i="26"/>
  <c r="C38" i="26"/>
  <c r="E35" i="26"/>
  <c r="D35" i="26"/>
  <c r="C35" i="26"/>
  <c r="E34" i="26"/>
  <c r="D34" i="26"/>
  <c r="C34" i="26"/>
  <c r="E33" i="26"/>
  <c r="D33" i="26"/>
  <c r="C33" i="26"/>
  <c r="E32" i="26"/>
  <c r="D32" i="26"/>
  <c r="C32" i="26"/>
  <c r="E31" i="26"/>
  <c r="D31" i="26"/>
  <c r="C31" i="26"/>
  <c r="E23" i="26"/>
  <c r="D23" i="26"/>
  <c r="C23" i="26"/>
  <c r="E22" i="26"/>
  <c r="D22" i="26"/>
  <c r="C22" i="26"/>
  <c r="E21" i="26"/>
  <c r="D21" i="26"/>
  <c r="C21" i="26"/>
  <c r="E20" i="26"/>
  <c r="D20" i="26"/>
  <c r="C20" i="26"/>
  <c r="E19" i="26"/>
  <c r="D19" i="26"/>
  <c r="C19" i="26"/>
  <c r="E18" i="26"/>
  <c r="D18" i="26"/>
  <c r="C18" i="26"/>
  <c r="E17" i="26"/>
  <c r="D17" i="26"/>
  <c r="C17" i="26"/>
  <c r="E16" i="26"/>
  <c r="D16" i="26"/>
  <c r="C16" i="26"/>
  <c r="E15" i="26"/>
  <c r="D15" i="26"/>
  <c r="C15" i="26"/>
  <c r="E14" i="26"/>
  <c r="D14" i="26"/>
  <c r="C14" i="26"/>
  <c r="E11" i="26"/>
  <c r="D11" i="26"/>
  <c r="C11" i="26"/>
  <c r="E10" i="26"/>
  <c r="D10" i="26"/>
  <c r="C10" i="26"/>
  <c r="E9" i="26"/>
  <c r="D9" i="26"/>
  <c r="C9" i="26"/>
  <c r="E8" i="26"/>
  <c r="D8" i="26"/>
  <c r="C8" i="26"/>
  <c r="E7" i="26"/>
  <c r="D7" i="26"/>
  <c r="C7" i="26"/>
  <c r="E6" i="26"/>
  <c r="D6" i="26"/>
  <c r="C6" i="26"/>
  <c r="E63" i="24"/>
  <c r="J10" i="29" s="1"/>
  <c r="D63" i="24"/>
  <c r="C63" i="24"/>
  <c r="E62" i="24"/>
  <c r="D62" i="24"/>
  <c r="C62" i="24"/>
  <c r="E61" i="24"/>
  <c r="D61" i="24"/>
  <c r="C61" i="24"/>
  <c r="E60" i="24"/>
  <c r="D60" i="24"/>
  <c r="C60" i="24"/>
  <c r="E59" i="24"/>
  <c r="D59" i="24"/>
  <c r="C59" i="24"/>
  <c r="E58" i="24"/>
  <c r="D58" i="24"/>
  <c r="C58" i="24"/>
  <c r="E57" i="24"/>
  <c r="D57" i="24"/>
  <c r="C57" i="24"/>
  <c r="E56" i="24"/>
  <c r="D56" i="24"/>
  <c r="C56" i="24"/>
  <c r="E55" i="24"/>
  <c r="D55" i="24"/>
  <c r="C55" i="24"/>
  <c r="E47" i="24"/>
  <c r="D47" i="24"/>
  <c r="C47" i="24"/>
  <c r="E46" i="24"/>
  <c r="D46" i="24"/>
  <c r="C46" i="24"/>
  <c r="E45" i="24"/>
  <c r="D45" i="24"/>
  <c r="C45" i="24"/>
  <c r="E44" i="24"/>
  <c r="D44" i="24"/>
  <c r="C44" i="24"/>
  <c r="E43" i="24"/>
  <c r="D43" i="24"/>
  <c r="C43" i="24"/>
  <c r="E42" i="24"/>
  <c r="D42" i="24"/>
  <c r="C42" i="24"/>
  <c r="E41" i="24"/>
  <c r="D41" i="24"/>
  <c r="C41" i="24"/>
  <c r="E40" i="24"/>
  <c r="D40" i="24"/>
  <c r="C40" i="24"/>
  <c r="E39" i="24"/>
  <c r="D39" i="24"/>
  <c r="C39" i="24"/>
  <c r="E38" i="24"/>
  <c r="D38" i="24"/>
  <c r="C38" i="24"/>
  <c r="E35" i="24"/>
  <c r="D35" i="24"/>
  <c r="C35" i="24"/>
  <c r="E34" i="24"/>
  <c r="D34" i="24"/>
  <c r="C34" i="24"/>
  <c r="E33" i="24"/>
  <c r="D33" i="24"/>
  <c r="C33" i="24"/>
  <c r="E32" i="24"/>
  <c r="D32" i="24"/>
  <c r="C32" i="24"/>
  <c r="E31" i="24"/>
  <c r="D31" i="24"/>
  <c r="C31" i="24"/>
  <c r="E23" i="24"/>
  <c r="D23" i="24"/>
  <c r="C23" i="24"/>
  <c r="E22" i="24"/>
  <c r="D22" i="24"/>
  <c r="C22" i="24"/>
  <c r="E21" i="24"/>
  <c r="D21" i="24"/>
  <c r="C21" i="24"/>
  <c r="E20" i="24"/>
  <c r="D20" i="24"/>
  <c r="C20" i="24"/>
  <c r="E19" i="24"/>
  <c r="D19" i="24"/>
  <c r="C19" i="24"/>
  <c r="E18" i="24"/>
  <c r="D18" i="24"/>
  <c r="C18" i="24"/>
  <c r="E17" i="24"/>
  <c r="D17" i="24"/>
  <c r="C17" i="24"/>
  <c r="D16" i="24"/>
  <c r="D15" i="24"/>
  <c r="D14" i="24"/>
  <c r="D11" i="24"/>
  <c r="D10" i="24"/>
  <c r="D9" i="24"/>
  <c r="D8" i="24"/>
  <c r="D7" i="24"/>
  <c r="D6" i="24"/>
  <c r="E63" i="22"/>
  <c r="J9" i="29" s="1"/>
  <c r="D63" i="22"/>
  <c r="C63" i="22"/>
  <c r="E62" i="22"/>
  <c r="D62" i="22"/>
  <c r="C62" i="22"/>
  <c r="E61" i="22"/>
  <c r="D61" i="22"/>
  <c r="C61" i="22"/>
  <c r="E60" i="22"/>
  <c r="D60" i="22"/>
  <c r="C60" i="22"/>
  <c r="E59" i="22"/>
  <c r="D59" i="22"/>
  <c r="C59" i="22"/>
  <c r="E58" i="22"/>
  <c r="D58" i="22"/>
  <c r="C58" i="22"/>
  <c r="E57" i="22"/>
  <c r="D57" i="22"/>
  <c r="C57" i="22"/>
  <c r="E56" i="22"/>
  <c r="D56" i="22"/>
  <c r="C56" i="22"/>
  <c r="E55" i="22"/>
  <c r="D55" i="22"/>
  <c r="C55" i="22"/>
  <c r="E54" i="22"/>
  <c r="D54" i="22"/>
  <c r="C54" i="22"/>
  <c r="E47" i="22"/>
  <c r="D47" i="22"/>
  <c r="C47" i="22"/>
  <c r="E46" i="22"/>
  <c r="D46" i="22"/>
  <c r="C46" i="22"/>
  <c r="E45" i="22"/>
  <c r="D45" i="22"/>
  <c r="C45" i="22"/>
  <c r="E44" i="22"/>
  <c r="D44" i="22"/>
  <c r="C44" i="22"/>
  <c r="E43" i="22"/>
  <c r="D43" i="22"/>
  <c r="C43" i="22"/>
  <c r="E42" i="22"/>
  <c r="D42" i="22"/>
  <c r="C42" i="22"/>
  <c r="E41" i="22"/>
  <c r="D41" i="22"/>
  <c r="C41" i="22"/>
  <c r="E40" i="22"/>
  <c r="D40" i="22"/>
  <c r="C40" i="22"/>
  <c r="E39" i="22"/>
  <c r="D39" i="22"/>
  <c r="C39" i="22"/>
  <c r="E38" i="22"/>
  <c r="D38" i="22"/>
  <c r="C38" i="22"/>
  <c r="E35" i="22"/>
  <c r="D35" i="22"/>
  <c r="C35" i="22"/>
  <c r="E34" i="22"/>
  <c r="D34" i="22"/>
  <c r="C34" i="22"/>
  <c r="E33" i="22"/>
  <c r="D33" i="22"/>
  <c r="C33" i="22"/>
  <c r="E32" i="22"/>
  <c r="D32" i="22"/>
  <c r="C32" i="22"/>
  <c r="E31" i="22"/>
  <c r="D31" i="22"/>
  <c r="C31" i="22"/>
  <c r="E23" i="22"/>
  <c r="D23" i="22"/>
  <c r="C23" i="22"/>
  <c r="E22" i="22"/>
  <c r="D22" i="22"/>
  <c r="C22" i="22"/>
  <c r="E21" i="22"/>
  <c r="D21" i="22"/>
  <c r="C21" i="22"/>
  <c r="E20" i="22"/>
  <c r="D20" i="22"/>
  <c r="C20" i="22"/>
  <c r="E19" i="22"/>
  <c r="D19" i="22"/>
  <c r="C19" i="22"/>
  <c r="E18" i="22"/>
  <c r="D18" i="22"/>
  <c r="C18" i="22"/>
  <c r="E17" i="22"/>
  <c r="D17" i="22"/>
  <c r="C17" i="22"/>
  <c r="D16" i="22"/>
  <c r="D15" i="22"/>
  <c r="D14" i="22"/>
  <c r="D11" i="22"/>
  <c r="D10" i="22"/>
  <c r="D9" i="22"/>
  <c r="D8" i="22"/>
  <c r="D7" i="22"/>
  <c r="D6" i="22"/>
  <c r="E63" i="21"/>
  <c r="J8" i="29" s="1"/>
  <c r="D63" i="21"/>
  <c r="C63" i="21"/>
  <c r="E62" i="21"/>
  <c r="D62" i="21"/>
  <c r="C62" i="21"/>
  <c r="E61" i="21"/>
  <c r="D61" i="21"/>
  <c r="C61" i="21"/>
  <c r="E60" i="21"/>
  <c r="D60" i="21"/>
  <c r="C60" i="21"/>
  <c r="E59" i="21"/>
  <c r="D59" i="21"/>
  <c r="C59" i="21"/>
  <c r="E58" i="21"/>
  <c r="D58" i="21"/>
  <c r="C58" i="21"/>
  <c r="E57" i="21"/>
  <c r="D57" i="21"/>
  <c r="C57" i="21"/>
  <c r="E56" i="21"/>
  <c r="D56" i="21"/>
  <c r="C56" i="21"/>
  <c r="E55" i="21"/>
  <c r="D55" i="21"/>
  <c r="C55" i="21"/>
  <c r="E54" i="21"/>
  <c r="D54" i="21"/>
  <c r="C54" i="21"/>
  <c r="E47" i="21"/>
  <c r="D47" i="21"/>
  <c r="C47" i="21"/>
  <c r="E46" i="21"/>
  <c r="D46" i="21"/>
  <c r="C46" i="21"/>
  <c r="E45" i="21"/>
  <c r="D45" i="21"/>
  <c r="C45" i="21"/>
  <c r="E44" i="21"/>
  <c r="D44" i="21"/>
  <c r="C44" i="21"/>
  <c r="E43" i="21"/>
  <c r="D43" i="21"/>
  <c r="C43" i="21"/>
  <c r="E42" i="21"/>
  <c r="D42" i="21"/>
  <c r="C42" i="21"/>
  <c r="E41" i="21"/>
  <c r="D41" i="21"/>
  <c r="C41" i="21"/>
  <c r="E40" i="21"/>
  <c r="D40" i="21"/>
  <c r="C40" i="21"/>
  <c r="E39" i="21"/>
  <c r="D39" i="21"/>
  <c r="C39" i="21"/>
  <c r="E38" i="21"/>
  <c r="D38" i="21"/>
  <c r="C38" i="21"/>
  <c r="E35" i="21"/>
  <c r="D35" i="21"/>
  <c r="C35" i="21"/>
  <c r="E34" i="21"/>
  <c r="D34" i="21"/>
  <c r="C34" i="21"/>
  <c r="E33" i="21"/>
  <c r="D33" i="21"/>
  <c r="C33" i="21"/>
  <c r="E32" i="21"/>
  <c r="D32" i="21"/>
  <c r="C32" i="21"/>
  <c r="E31" i="21"/>
  <c r="D31" i="21"/>
  <c r="C31" i="21"/>
  <c r="E23" i="21"/>
  <c r="D23" i="21"/>
  <c r="C23" i="21"/>
  <c r="E22" i="21"/>
  <c r="D22" i="21"/>
  <c r="C22" i="21"/>
  <c r="E21" i="21"/>
  <c r="D21" i="21"/>
  <c r="C21" i="21"/>
  <c r="E20" i="21"/>
  <c r="D20" i="21"/>
  <c r="C20" i="21"/>
  <c r="E19" i="21"/>
  <c r="D19" i="21"/>
  <c r="C19" i="21"/>
  <c r="E18" i="21"/>
  <c r="D18" i="21"/>
  <c r="C18" i="21"/>
  <c r="E17" i="21"/>
  <c r="D17" i="21"/>
  <c r="C17" i="21"/>
  <c r="D16" i="21"/>
  <c r="D15" i="21"/>
  <c r="D14" i="21"/>
  <c r="D11" i="21"/>
  <c r="D10" i="21"/>
  <c r="D9" i="21"/>
  <c r="D8" i="21"/>
  <c r="D7" i="21"/>
  <c r="D6" i="21"/>
  <c r="E63" i="23"/>
  <c r="J7" i="29" s="1"/>
  <c r="D63" i="23"/>
  <c r="C63" i="23"/>
  <c r="E62" i="23"/>
  <c r="D62" i="23"/>
  <c r="C62" i="23"/>
  <c r="E61" i="23"/>
  <c r="D61" i="23"/>
  <c r="C61" i="23"/>
  <c r="E60" i="23"/>
  <c r="D60" i="23"/>
  <c r="C60" i="23"/>
  <c r="E59" i="23"/>
  <c r="D59" i="23"/>
  <c r="C59" i="23"/>
  <c r="E58" i="23"/>
  <c r="D58" i="23"/>
  <c r="C58" i="23"/>
  <c r="E57" i="23"/>
  <c r="D57" i="23"/>
  <c r="C57" i="23"/>
  <c r="E56" i="23"/>
  <c r="D56" i="23"/>
  <c r="C56" i="23"/>
  <c r="E55" i="23"/>
  <c r="D55" i="23"/>
  <c r="C55" i="23"/>
  <c r="E54" i="23"/>
  <c r="D54" i="23"/>
  <c r="C54" i="23"/>
  <c r="E47" i="23"/>
  <c r="D47" i="23"/>
  <c r="C47" i="23"/>
  <c r="E46" i="23"/>
  <c r="D46" i="23"/>
  <c r="C46" i="23"/>
  <c r="E45" i="23"/>
  <c r="D45" i="23"/>
  <c r="C45" i="23"/>
  <c r="E44" i="23"/>
  <c r="D44" i="23"/>
  <c r="C44" i="23"/>
  <c r="E43" i="23"/>
  <c r="D43" i="23"/>
  <c r="C43" i="23"/>
  <c r="E42" i="23"/>
  <c r="D42" i="23"/>
  <c r="C42" i="23"/>
  <c r="E41" i="23"/>
  <c r="D41" i="23"/>
  <c r="C41" i="23"/>
  <c r="D40" i="23"/>
  <c r="D39" i="23"/>
  <c r="D38" i="23"/>
  <c r="D35" i="23"/>
  <c r="D34" i="23"/>
  <c r="D33" i="23"/>
  <c r="D32" i="23"/>
  <c r="D31" i="23"/>
  <c r="E23" i="23"/>
  <c r="D23" i="23"/>
  <c r="C23" i="23"/>
  <c r="E22" i="23"/>
  <c r="D22" i="23"/>
  <c r="C22" i="23"/>
  <c r="E21" i="23"/>
  <c r="D21" i="23"/>
  <c r="C21" i="23"/>
  <c r="E20" i="23"/>
  <c r="D20" i="23"/>
  <c r="C20" i="23"/>
  <c r="E19" i="23"/>
  <c r="D19" i="23"/>
  <c r="C19" i="23"/>
  <c r="E18" i="23"/>
  <c r="D18" i="23"/>
  <c r="C18" i="23"/>
  <c r="E17" i="23"/>
  <c r="D17" i="23"/>
  <c r="C17" i="23"/>
  <c r="D16" i="23"/>
  <c r="D15" i="23"/>
  <c r="D14" i="23"/>
  <c r="D11" i="23"/>
  <c r="D10" i="23"/>
  <c r="D9" i="23"/>
  <c r="D8" i="23"/>
  <c r="D7" i="23"/>
  <c r="D6" i="23"/>
  <c r="E63" i="20"/>
  <c r="J6" i="29" s="1"/>
  <c r="D63" i="20"/>
  <c r="C63" i="20"/>
  <c r="E62" i="20"/>
  <c r="D62" i="20"/>
  <c r="C62" i="20"/>
  <c r="E61" i="20"/>
  <c r="D61" i="20"/>
  <c r="C61" i="20"/>
  <c r="E60" i="20"/>
  <c r="D60" i="20"/>
  <c r="C60" i="20"/>
  <c r="E59" i="20"/>
  <c r="D59" i="20"/>
  <c r="C59" i="20"/>
  <c r="E58" i="20"/>
  <c r="D58" i="20"/>
  <c r="C58" i="20"/>
  <c r="E57" i="20"/>
  <c r="D57" i="20"/>
  <c r="C57" i="20"/>
  <c r="E56" i="20"/>
  <c r="D56" i="20"/>
  <c r="C56" i="20"/>
  <c r="E55" i="20"/>
  <c r="D55" i="20"/>
  <c r="C55" i="20"/>
  <c r="E47" i="20"/>
  <c r="D47" i="20"/>
  <c r="C47" i="20"/>
  <c r="E46" i="20"/>
  <c r="D46" i="20"/>
  <c r="C46" i="20"/>
  <c r="E45" i="20"/>
  <c r="D45" i="20"/>
  <c r="C45" i="20"/>
  <c r="E44" i="20"/>
  <c r="D44" i="20"/>
  <c r="C44" i="20"/>
  <c r="E43" i="20"/>
  <c r="D43" i="20"/>
  <c r="C43" i="20"/>
  <c r="E42" i="20"/>
  <c r="D42" i="20"/>
  <c r="C42" i="20"/>
  <c r="E41" i="20"/>
  <c r="D41" i="20"/>
  <c r="C41" i="20"/>
  <c r="E40" i="20"/>
  <c r="D40" i="20"/>
  <c r="C40" i="20"/>
  <c r="E39" i="20"/>
  <c r="D39" i="20"/>
  <c r="C39" i="20"/>
  <c r="E38" i="20"/>
  <c r="D38" i="20"/>
  <c r="C38" i="20"/>
  <c r="E35" i="20"/>
  <c r="D35" i="20"/>
  <c r="C35" i="20"/>
  <c r="E34" i="20"/>
  <c r="D34" i="20"/>
  <c r="C34" i="20"/>
  <c r="E33" i="20"/>
  <c r="D33" i="20"/>
  <c r="C33" i="20"/>
  <c r="E32" i="20"/>
  <c r="D32" i="20"/>
  <c r="C32" i="20"/>
  <c r="E31" i="20"/>
  <c r="D31" i="20"/>
  <c r="C31" i="20"/>
  <c r="E23" i="20"/>
  <c r="D23" i="20"/>
  <c r="C23" i="20"/>
  <c r="E22" i="20"/>
  <c r="D22" i="20"/>
  <c r="C22" i="20"/>
  <c r="E21" i="20"/>
  <c r="D21" i="20"/>
  <c r="C21" i="20"/>
  <c r="E20" i="20"/>
  <c r="D20" i="20"/>
  <c r="C20" i="20"/>
  <c r="E19" i="20"/>
  <c r="D19" i="20"/>
  <c r="C19" i="20"/>
  <c r="E18" i="20"/>
  <c r="D18" i="20"/>
  <c r="C18" i="20"/>
  <c r="E17" i="20"/>
  <c r="D17" i="20"/>
  <c r="C17" i="20"/>
  <c r="D16" i="20"/>
  <c r="D15" i="20"/>
  <c r="D14" i="20"/>
  <c r="D11" i="20"/>
  <c r="D10" i="20"/>
  <c r="D9" i="20"/>
  <c r="D8" i="20"/>
  <c r="D7" i="20"/>
  <c r="D6" i="20"/>
  <c r="E63" i="19"/>
  <c r="J5" i="29" s="1"/>
  <c r="D63" i="19"/>
  <c r="C63" i="19"/>
  <c r="E62" i="19"/>
  <c r="D62" i="19"/>
  <c r="C62" i="19"/>
  <c r="E61" i="19"/>
  <c r="D61" i="19"/>
  <c r="C61" i="19"/>
  <c r="E60" i="19"/>
  <c r="D60" i="19"/>
  <c r="C60" i="19"/>
  <c r="E59" i="19"/>
  <c r="D59" i="19"/>
  <c r="C59" i="19"/>
  <c r="E58" i="19"/>
  <c r="D58" i="19"/>
  <c r="C58" i="19"/>
  <c r="E57" i="19"/>
  <c r="D57" i="19"/>
  <c r="C57" i="19"/>
  <c r="E56" i="19"/>
  <c r="D56" i="19"/>
  <c r="C56" i="19"/>
  <c r="E55" i="19"/>
  <c r="D55" i="19"/>
  <c r="C55" i="19"/>
  <c r="E47" i="19"/>
  <c r="D47" i="19"/>
  <c r="C47" i="19"/>
  <c r="E46" i="19"/>
  <c r="D46" i="19"/>
  <c r="C46" i="19"/>
  <c r="E45" i="19"/>
  <c r="D45" i="19"/>
  <c r="C45" i="19"/>
  <c r="E44" i="19"/>
  <c r="D44" i="19"/>
  <c r="C44" i="19"/>
  <c r="E43" i="19"/>
  <c r="D43" i="19"/>
  <c r="C43" i="19"/>
  <c r="E42" i="19"/>
  <c r="D42" i="19"/>
  <c r="C42" i="19"/>
  <c r="E41" i="19"/>
  <c r="D41" i="19"/>
  <c r="C41" i="19"/>
  <c r="E40" i="19"/>
  <c r="D40" i="19"/>
  <c r="C40" i="19"/>
  <c r="E39" i="19"/>
  <c r="D39" i="19"/>
  <c r="C39" i="19"/>
  <c r="E38" i="19"/>
  <c r="D38" i="19"/>
  <c r="C38" i="19"/>
  <c r="E35" i="19"/>
  <c r="D35" i="19"/>
  <c r="C35" i="19"/>
  <c r="E34" i="19"/>
  <c r="D34" i="19"/>
  <c r="C34" i="19"/>
  <c r="E33" i="19"/>
  <c r="D33" i="19"/>
  <c r="C33" i="19"/>
  <c r="E32" i="19"/>
  <c r="D32" i="19"/>
  <c r="C32" i="19"/>
  <c r="E31" i="19"/>
  <c r="D31" i="19"/>
  <c r="C31" i="19"/>
  <c r="E23" i="19"/>
  <c r="D23" i="19"/>
  <c r="C23" i="19"/>
  <c r="E22" i="19"/>
  <c r="D22" i="19"/>
  <c r="C22" i="19"/>
  <c r="E21" i="19"/>
  <c r="D21" i="19"/>
  <c r="C21" i="19"/>
  <c r="E20" i="19"/>
  <c r="D20" i="19"/>
  <c r="C20" i="19"/>
  <c r="E19" i="19"/>
  <c r="D19" i="19"/>
  <c r="C19" i="19"/>
  <c r="E18" i="19"/>
  <c r="D18" i="19"/>
  <c r="C18" i="19"/>
  <c r="E17" i="19"/>
  <c r="D17" i="19"/>
  <c r="C17" i="19"/>
  <c r="E16" i="19"/>
  <c r="D16" i="19"/>
  <c r="C16" i="19"/>
  <c r="E15" i="19"/>
  <c r="D15" i="19"/>
  <c r="C15" i="19"/>
  <c r="E14" i="19"/>
  <c r="D14" i="19"/>
  <c r="C14" i="19"/>
  <c r="E11" i="19"/>
  <c r="D11" i="19"/>
  <c r="C11" i="19"/>
  <c r="E10" i="19"/>
  <c r="D10" i="19"/>
  <c r="C10" i="19"/>
  <c r="E9" i="19"/>
  <c r="D9" i="19"/>
  <c r="C9" i="19"/>
  <c r="E8" i="19"/>
  <c r="D8" i="19"/>
  <c r="C8" i="19"/>
  <c r="E7" i="19"/>
  <c r="D7" i="19"/>
  <c r="C7" i="19"/>
  <c r="E6" i="19"/>
  <c r="D6" i="19"/>
  <c r="C6" i="19"/>
  <c r="E59" i="18"/>
  <c r="D59" i="18"/>
  <c r="C59" i="18"/>
  <c r="E47" i="18"/>
  <c r="D47" i="18"/>
  <c r="C47" i="18"/>
  <c r="E46" i="18"/>
  <c r="D46" i="18"/>
  <c r="C46" i="18"/>
  <c r="E45" i="18"/>
  <c r="D45" i="18"/>
  <c r="C45" i="18"/>
  <c r="E44" i="18"/>
  <c r="D44" i="18"/>
  <c r="C44" i="18"/>
  <c r="E43" i="18"/>
  <c r="D43" i="18"/>
  <c r="C43" i="18"/>
  <c r="E42" i="18"/>
  <c r="D42" i="18"/>
  <c r="C42" i="18"/>
  <c r="E41" i="18"/>
  <c r="D41" i="18"/>
  <c r="C41" i="18"/>
  <c r="E40" i="18"/>
  <c r="D40" i="18"/>
  <c r="C40" i="18"/>
  <c r="E39" i="18"/>
  <c r="D39" i="18"/>
  <c r="C39" i="18"/>
  <c r="E38" i="18"/>
  <c r="D38" i="18"/>
  <c r="C38" i="18"/>
  <c r="E35" i="18"/>
  <c r="D35" i="18"/>
  <c r="C35" i="18"/>
  <c r="E34" i="18"/>
  <c r="D34" i="18"/>
  <c r="C34" i="18"/>
  <c r="E33" i="18"/>
  <c r="D33" i="18"/>
  <c r="C33" i="18"/>
  <c r="E32" i="18"/>
  <c r="D32" i="18"/>
  <c r="C32" i="18"/>
  <c r="E31" i="18"/>
  <c r="D31" i="18"/>
  <c r="C31" i="18"/>
  <c r="E23" i="18"/>
  <c r="D23" i="18"/>
  <c r="C23" i="18"/>
  <c r="E22" i="18"/>
  <c r="D22" i="18"/>
  <c r="C22" i="18"/>
  <c r="E21" i="18"/>
  <c r="D21" i="18"/>
  <c r="C21" i="18"/>
  <c r="E20" i="18"/>
  <c r="D20" i="18"/>
  <c r="C20" i="18"/>
  <c r="E19" i="18"/>
  <c r="D19" i="18"/>
  <c r="C19" i="18"/>
  <c r="E18" i="18"/>
  <c r="D18" i="18"/>
  <c r="C18" i="18"/>
  <c r="E17" i="18"/>
  <c r="D17" i="18"/>
  <c r="C17" i="18"/>
  <c r="E16" i="18"/>
  <c r="D16" i="18"/>
  <c r="C16" i="18"/>
  <c r="E15" i="18"/>
  <c r="D15" i="18"/>
  <c r="C15" i="18"/>
  <c r="E14" i="18"/>
  <c r="D14" i="18"/>
  <c r="C14" i="18"/>
  <c r="E11" i="18"/>
  <c r="D11" i="18"/>
  <c r="C11" i="18"/>
  <c r="E10" i="18"/>
  <c r="D10" i="18"/>
  <c r="C10" i="18"/>
  <c r="E9" i="18"/>
  <c r="D9" i="18"/>
  <c r="C9" i="18"/>
  <c r="E8" i="18"/>
  <c r="D8" i="18"/>
  <c r="C8" i="18"/>
  <c r="E7" i="18"/>
  <c r="D7" i="18"/>
  <c r="C7" i="18"/>
  <c r="E6" i="18"/>
  <c r="D6" i="18"/>
  <c r="C6" i="18"/>
  <c r="D111" i="17"/>
  <c r="E111" i="17"/>
  <c r="D112" i="17"/>
  <c r="E112" i="17" s="1"/>
  <c r="D113" i="17"/>
  <c r="E113" i="17" s="1"/>
  <c r="D114" i="17"/>
  <c r="E114" i="17" s="1"/>
  <c r="D115" i="17"/>
  <c r="E115" i="17" s="1"/>
  <c r="D116" i="17"/>
  <c r="E116" i="17" s="1"/>
  <c r="D117" i="17"/>
  <c r="E117" i="17" s="1"/>
  <c r="D118" i="17"/>
  <c r="E118" i="17"/>
  <c r="D119" i="17"/>
  <c r="E119" i="17" s="1"/>
  <c r="D120" i="17"/>
  <c r="E120" i="17" s="1"/>
  <c r="D121" i="17"/>
  <c r="E121" i="17" s="1"/>
  <c r="D122" i="17"/>
  <c r="E122" i="17" s="1"/>
  <c r="D123" i="17"/>
  <c r="E123" i="17" s="1"/>
  <c r="D124" i="17"/>
  <c r="E124" i="17" s="1"/>
  <c r="D125" i="17"/>
  <c r="E125" i="17" s="1"/>
  <c r="D126" i="17"/>
  <c r="E126" i="17" s="1"/>
  <c r="D127" i="17"/>
  <c r="E127" i="17" s="1"/>
  <c r="D128" i="17"/>
  <c r="E128" i="17" s="1"/>
  <c r="B111" i="17"/>
  <c r="B112" i="17"/>
  <c r="B113" i="17"/>
  <c r="B114" i="17"/>
  <c r="B115" i="17"/>
  <c r="B116" i="17"/>
  <c r="B117" i="17"/>
  <c r="B118" i="17"/>
  <c r="B119" i="17"/>
  <c r="B120" i="17"/>
  <c r="B121" i="17"/>
  <c r="B122" i="17"/>
  <c r="B123" i="17"/>
  <c r="B124" i="17"/>
  <c r="B125" i="17"/>
  <c r="B126" i="17"/>
  <c r="B127" i="17"/>
  <c r="B128" i="17"/>
  <c r="B110" i="17"/>
  <c r="B132" i="17"/>
  <c r="B133" i="17"/>
  <c r="B134" i="17"/>
  <c r="B135" i="17"/>
  <c r="B136" i="17"/>
  <c r="B137" i="17"/>
  <c r="B138" i="17"/>
  <c r="B139" i="17"/>
  <c r="B140" i="17"/>
  <c r="B141" i="17"/>
  <c r="B142" i="17"/>
  <c r="B131" i="17"/>
  <c r="C132" i="17"/>
  <c r="C133" i="17"/>
  <c r="C134" i="17"/>
  <c r="C135" i="17"/>
  <c r="C136" i="17"/>
  <c r="C137" i="17"/>
  <c r="C138" i="17"/>
  <c r="C139" i="17"/>
  <c r="C140" i="17"/>
  <c r="C141" i="17"/>
  <c r="C142" i="17"/>
  <c r="D142" i="17" s="1"/>
  <c r="E142" i="17" s="1"/>
  <c r="C131" i="17"/>
  <c r="C31" i="5"/>
  <c r="D31" i="5"/>
  <c r="E31" i="5"/>
  <c r="C32" i="5"/>
  <c r="D32" i="5"/>
  <c r="E32" i="5"/>
  <c r="C33" i="5"/>
  <c r="D33" i="5"/>
  <c r="E33" i="5"/>
  <c r="C34" i="5"/>
  <c r="D34" i="5"/>
  <c r="E34" i="5"/>
  <c r="C35" i="5"/>
  <c r="D35" i="5"/>
  <c r="E35" i="5"/>
  <c r="C38" i="5"/>
  <c r="D38" i="5"/>
  <c r="E38" i="5"/>
  <c r="C39" i="5"/>
  <c r="D39" i="5"/>
  <c r="E39" i="5"/>
  <c r="C40" i="5"/>
  <c r="D40" i="5"/>
  <c r="E40" i="5"/>
  <c r="C41" i="5"/>
  <c r="D41" i="5"/>
  <c r="E41" i="5"/>
  <c r="C42" i="5"/>
  <c r="D42" i="5"/>
  <c r="E42" i="5"/>
  <c r="C43" i="5"/>
  <c r="D43" i="5"/>
  <c r="E43" i="5"/>
  <c r="C44" i="5"/>
  <c r="D44" i="5"/>
  <c r="E44" i="5"/>
  <c r="C45" i="5"/>
  <c r="D45" i="5"/>
  <c r="E45" i="5"/>
  <c r="C46" i="5"/>
  <c r="D46" i="5"/>
  <c r="E46" i="5"/>
  <c r="C47" i="5"/>
  <c r="D47" i="5"/>
  <c r="E47" i="5"/>
  <c r="E6" i="5"/>
  <c r="E7" i="5"/>
  <c r="E8" i="5"/>
  <c r="E9" i="5"/>
  <c r="E10" i="5"/>
  <c r="E11" i="5"/>
  <c r="E14" i="5"/>
  <c r="E15" i="5"/>
  <c r="E16" i="5"/>
  <c r="E17" i="5"/>
  <c r="E18" i="5"/>
  <c r="E19" i="5"/>
  <c r="E20" i="5"/>
  <c r="E21" i="5"/>
  <c r="E22" i="5"/>
  <c r="E23" i="5"/>
  <c r="D6" i="5"/>
  <c r="D7" i="5"/>
  <c r="D8" i="5"/>
  <c r="D9" i="5"/>
  <c r="D10" i="5"/>
  <c r="D11" i="5"/>
  <c r="D14" i="5"/>
  <c r="D15" i="5"/>
  <c r="D16" i="5"/>
  <c r="D17" i="5"/>
  <c r="D18" i="5"/>
  <c r="D19" i="5"/>
  <c r="D20" i="5"/>
  <c r="D21" i="5"/>
  <c r="D22" i="5"/>
  <c r="D23" i="5"/>
  <c r="C6" i="5"/>
  <c r="C7" i="5"/>
  <c r="C8" i="5"/>
  <c r="C9" i="5"/>
  <c r="C10" i="5"/>
  <c r="C11" i="5"/>
  <c r="C14" i="5"/>
  <c r="C15" i="5"/>
  <c r="C16" i="5"/>
  <c r="C17" i="5"/>
  <c r="C18" i="5"/>
  <c r="C19" i="5"/>
  <c r="C20" i="5"/>
  <c r="C21" i="5"/>
  <c r="C22" i="5"/>
  <c r="C23" i="5"/>
  <c r="F116" i="2"/>
  <c r="F112" i="2"/>
  <c r="C54" i="24" l="1"/>
  <c r="D54" i="24"/>
  <c r="D54" i="20"/>
  <c r="D67" i="20" s="1"/>
  <c r="C54" i="20"/>
  <c r="C67" i="20" s="1"/>
  <c r="C54" i="19"/>
  <c r="C67" i="19" s="1"/>
  <c r="D54" i="19"/>
  <c r="D67" i="19" s="1"/>
  <c r="H311" i="2"/>
  <c r="G322" i="2"/>
  <c r="H313" i="2"/>
  <c r="H322" i="2" s="1"/>
  <c r="H294" i="2"/>
  <c r="H303" i="2"/>
  <c r="G303" i="2"/>
  <c r="H326" i="2"/>
  <c r="H35" i="2"/>
  <c r="F58" i="2"/>
  <c r="F108" i="2"/>
  <c r="E67" i="20"/>
  <c r="E67" i="21"/>
  <c r="C67" i="22"/>
  <c r="C67" i="25"/>
  <c r="D67" i="25"/>
  <c r="E67" i="25"/>
  <c r="E67" i="19"/>
  <c r="D67" i="21"/>
  <c r="E67" i="22"/>
  <c r="C67" i="24"/>
  <c r="C67" i="21"/>
  <c r="D67" i="26"/>
  <c r="D67" i="24"/>
  <c r="E67" i="26"/>
  <c r="D67" i="22"/>
  <c r="E67" i="24"/>
  <c r="C67" i="26"/>
  <c r="D67" i="23"/>
  <c r="E67" i="23"/>
  <c r="C67" i="23"/>
  <c r="J67" i="21"/>
  <c r="B67" i="21"/>
  <c r="B65" i="21"/>
  <c r="J51" i="21"/>
  <c r="H42" i="21"/>
  <c r="H41" i="21"/>
  <c r="H40" i="21"/>
  <c r="Z39" i="21"/>
  <c r="H39" i="21"/>
  <c r="Z38" i="21"/>
  <c r="H38" i="21"/>
  <c r="AH37" i="21"/>
  <c r="AG37" i="21"/>
  <c r="AF37" i="21"/>
  <c r="AE37" i="21"/>
  <c r="Z37" i="21"/>
  <c r="H37" i="21"/>
  <c r="Z36" i="21"/>
  <c r="H36" i="21"/>
  <c r="AH35" i="21"/>
  <c r="AG35" i="21"/>
  <c r="AF35" i="21"/>
  <c r="AE35" i="21"/>
  <c r="Z35" i="21"/>
  <c r="Z34" i="21"/>
  <c r="AH33" i="21"/>
  <c r="AG33" i="21"/>
  <c r="AF33" i="21"/>
  <c r="AE33" i="21"/>
  <c r="Z33" i="21"/>
  <c r="H33" i="21"/>
  <c r="Z32" i="21"/>
  <c r="H32" i="21"/>
  <c r="AH31" i="21"/>
  <c r="AG31" i="21"/>
  <c r="AF31" i="21"/>
  <c r="AE31" i="21"/>
  <c r="Z31" i="21"/>
  <c r="Z30" i="21"/>
  <c r="H30" i="21"/>
  <c r="B36" i="21" s="1"/>
  <c r="B30" i="21"/>
  <c r="AH28" i="21"/>
  <c r="AG28" i="21"/>
  <c r="AF28" i="21"/>
  <c r="AE28" i="21"/>
  <c r="J27" i="21"/>
  <c r="H18" i="21"/>
  <c r="H17" i="21"/>
  <c r="H16" i="21"/>
  <c r="H15" i="21"/>
  <c r="Z14" i="21"/>
  <c r="H14" i="21"/>
  <c r="Z13" i="21"/>
  <c r="H13" i="21"/>
  <c r="AH12" i="21"/>
  <c r="AG12" i="21"/>
  <c r="AF12" i="21"/>
  <c r="AE12" i="21"/>
  <c r="Z12" i="21"/>
  <c r="H12" i="21"/>
  <c r="Z11" i="21"/>
  <c r="AH10" i="21"/>
  <c r="AG10" i="21"/>
  <c r="AF10" i="21"/>
  <c r="AE10" i="21"/>
  <c r="Z10" i="21"/>
  <c r="Z9" i="21"/>
  <c r="H9" i="21"/>
  <c r="AH8" i="21"/>
  <c r="AG8" i="21"/>
  <c r="AF8" i="21"/>
  <c r="AE8" i="21"/>
  <c r="Z8" i="21"/>
  <c r="H8" i="21"/>
  <c r="Z7" i="21"/>
  <c r="AH6" i="21"/>
  <c r="AG6" i="21"/>
  <c r="AF6" i="21"/>
  <c r="AE6" i="21"/>
  <c r="Z6" i="21"/>
  <c r="Z5" i="21"/>
  <c r="H5" i="21"/>
  <c r="B12" i="21" s="1"/>
  <c r="B5" i="21"/>
  <c r="AH4" i="21"/>
  <c r="AG4" i="21"/>
  <c r="AF4" i="21"/>
  <c r="AE4" i="21"/>
  <c r="J67" i="22"/>
  <c r="B67" i="22"/>
  <c r="B65" i="22"/>
  <c r="J51" i="22"/>
  <c r="H42" i="22"/>
  <c r="H41" i="22"/>
  <c r="H40" i="22"/>
  <c r="Z39" i="22"/>
  <c r="H39" i="22"/>
  <c r="Z38" i="22"/>
  <c r="H38" i="22"/>
  <c r="AH37" i="22"/>
  <c r="AG37" i="22"/>
  <c r="AF37" i="22"/>
  <c r="AE37" i="22"/>
  <c r="Z37" i="22"/>
  <c r="H37" i="22"/>
  <c r="Z36" i="22"/>
  <c r="H36" i="22"/>
  <c r="AH35" i="22"/>
  <c r="AG35" i="22"/>
  <c r="AF35" i="22"/>
  <c r="AE35" i="22"/>
  <c r="Z35" i="22"/>
  <c r="Z34" i="22"/>
  <c r="AH33" i="22"/>
  <c r="AG33" i="22"/>
  <c r="AF33" i="22"/>
  <c r="AE33" i="22"/>
  <c r="Z33" i="22"/>
  <c r="H33" i="22"/>
  <c r="Z32" i="22"/>
  <c r="H32" i="22"/>
  <c r="AH31" i="22"/>
  <c r="AG31" i="22"/>
  <c r="AF31" i="22"/>
  <c r="AE31" i="22"/>
  <c r="Z31" i="22"/>
  <c r="Z30" i="22"/>
  <c r="H30" i="22"/>
  <c r="B36" i="22" s="1"/>
  <c r="B30" i="22"/>
  <c r="AH28" i="22"/>
  <c r="AG28" i="22"/>
  <c r="AF28" i="22"/>
  <c r="AE28" i="22"/>
  <c r="J27" i="22"/>
  <c r="H18" i="22"/>
  <c r="H17" i="22"/>
  <c r="H16" i="22"/>
  <c r="H15" i="22"/>
  <c r="Z14" i="22"/>
  <c r="H14" i="22"/>
  <c r="Z13" i="22"/>
  <c r="H13" i="22"/>
  <c r="AH12" i="22"/>
  <c r="AG12" i="22"/>
  <c r="AF12" i="22"/>
  <c r="AE12" i="22"/>
  <c r="Z12" i="22"/>
  <c r="H12" i="22"/>
  <c r="Z11" i="22"/>
  <c r="AH10" i="22"/>
  <c r="AG10" i="22"/>
  <c r="AF10" i="22"/>
  <c r="AE10" i="22"/>
  <c r="Z10" i="22"/>
  <c r="Z9" i="22"/>
  <c r="H9" i="22"/>
  <c r="AH8" i="22"/>
  <c r="AG8" i="22"/>
  <c r="AF8" i="22"/>
  <c r="AE8" i="22"/>
  <c r="Z8" i="22"/>
  <c r="H8" i="22"/>
  <c r="Z7" i="22"/>
  <c r="AH6" i="22"/>
  <c r="AG6" i="22"/>
  <c r="AF6" i="22"/>
  <c r="AE6" i="22"/>
  <c r="Z6" i="22"/>
  <c r="Z5" i="22"/>
  <c r="H5" i="22"/>
  <c r="B12" i="22" s="1"/>
  <c r="B5" i="22"/>
  <c r="AH4" i="22"/>
  <c r="AG4" i="22"/>
  <c r="AF4" i="22"/>
  <c r="AE4" i="22"/>
  <c r="J67" i="24"/>
  <c r="B65" i="24"/>
  <c r="B67" i="24" s="1"/>
  <c r="J51" i="24"/>
  <c r="H42" i="24"/>
  <c r="H41" i="24"/>
  <c r="H40" i="24"/>
  <c r="Z39" i="24"/>
  <c r="H39" i="24"/>
  <c r="Z38" i="24"/>
  <c r="H38" i="24"/>
  <c r="AH37" i="24"/>
  <c r="AG37" i="24"/>
  <c r="AF37" i="24"/>
  <c r="AE37" i="24"/>
  <c r="Z37" i="24"/>
  <c r="H37" i="24"/>
  <c r="Z36" i="24"/>
  <c r="H36" i="24"/>
  <c r="AH35" i="24"/>
  <c r="AG35" i="24"/>
  <c r="AF35" i="24"/>
  <c r="AE35" i="24"/>
  <c r="Z35" i="24"/>
  <c r="Z34" i="24"/>
  <c r="AH33" i="24"/>
  <c r="AG33" i="24"/>
  <c r="AF33" i="24"/>
  <c r="AE33" i="24"/>
  <c r="Z33" i="24"/>
  <c r="H33" i="24"/>
  <c r="Z32" i="24"/>
  <c r="H32" i="24"/>
  <c r="AH31" i="24"/>
  <c r="AG31" i="24"/>
  <c r="AF31" i="24"/>
  <c r="AE31" i="24"/>
  <c r="Z31" i="24"/>
  <c r="Z30" i="24"/>
  <c r="H30" i="24"/>
  <c r="B36" i="24" s="1"/>
  <c r="B30" i="24"/>
  <c r="AH28" i="24"/>
  <c r="AG28" i="24"/>
  <c r="AF28" i="24"/>
  <c r="AE28" i="24"/>
  <c r="J27" i="24"/>
  <c r="H18" i="24"/>
  <c r="H17" i="24"/>
  <c r="H16" i="24"/>
  <c r="H15" i="24"/>
  <c r="Z14" i="24"/>
  <c r="H14" i="24"/>
  <c r="Z13" i="24"/>
  <c r="H13" i="24"/>
  <c r="AH12" i="24"/>
  <c r="AG12" i="24"/>
  <c r="AF12" i="24"/>
  <c r="AE12" i="24"/>
  <c r="Z12" i="24"/>
  <c r="H12" i="24"/>
  <c r="Z11" i="24"/>
  <c r="AH10" i="24"/>
  <c r="AG10" i="24"/>
  <c r="AF10" i="24"/>
  <c r="AE10" i="24"/>
  <c r="Z10" i="24"/>
  <c r="Z9" i="24"/>
  <c r="H9" i="24"/>
  <c r="AH8" i="24"/>
  <c r="AG8" i="24"/>
  <c r="AF8" i="24"/>
  <c r="AE8" i="24"/>
  <c r="Z8" i="24"/>
  <c r="H8" i="24"/>
  <c r="Z7" i="24"/>
  <c r="AH6" i="24"/>
  <c r="AG6" i="24"/>
  <c r="AF6" i="24"/>
  <c r="AE6" i="24"/>
  <c r="Z6" i="24"/>
  <c r="Z5" i="24"/>
  <c r="H5" i="24"/>
  <c r="B12" i="24" s="1"/>
  <c r="B5" i="24"/>
  <c r="AH4" i="24"/>
  <c r="AG4" i="24"/>
  <c r="AF4" i="24"/>
  <c r="AE4" i="24"/>
  <c r="J67" i="26"/>
  <c r="B67" i="26"/>
  <c r="B65" i="26"/>
  <c r="J51" i="26"/>
  <c r="H42" i="26"/>
  <c r="H41" i="26"/>
  <c r="H40" i="26"/>
  <c r="Z39" i="26"/>
  <c r="H39" i="26"/>
  <c r="Z38" i="26"/>
  <c r="H38" i="26"/>
  <c r="AH37" i="26"/>
  <c r="AG37" i="26"/>
  <c r="AF37" i="26"/>
  <c r="AE37" i="26"/>
  <c r="Z37" i="26"/>
  <c r="H37" i="26"/>
  <c r="Z36" i="26"/>
  <c r="H36" i="26"/>
  <c r="AH35" i="26"/>
  <c r="AG35" i="26"/>
  <c r="AF35" i="26"/>
  <c r="AE35" i="26"/>
  <c r="Z35" i="26"/>
  <c r="Z34" i="26"/>
  <c r="AH33" i="26"/>
  <c r="AG33" i="26"/>
  <c r="AF33" i="26"/>
  <c r="AE33" i="26"/>
  <c r="Z33" i="26"/>
  <c r="H33" i="26"/>
  <c r="Z32" i="26"/>
  <c r="H32" i="26"/>
  <c r="AH31" i="26"/>
  <c r="AG31" i="26"/>
  <c r="AF31" i="26"/>
  <c r="AE31" i="26"/>
  <c r="Z31" i="26"/>
  <c r="Z30" i="26"/>
  <c r="H30" i="26"/>
  <c r="B36" i="26" s="1"/>
  <c r="B30" i="26"/>
  <c r="AH28" i="26"/>
  <c r="AG28" i="26"/>
  <c r="AF28" i="26"/>
  <c r="AE28" i="26"/>
  <c r="J27" i="26"/>
  <c r="B27" i="26"/>
  <c r="H18" i="26"/>
  <c r="H17" i="26"/>
  <c r="H16" i="26"/>
  <c r="H15" i="26"/>
  <c r="Z14" i="26"/>
  <c r="H14" i="26"/>
  <c r="Z13" i="26"/>
  <c r="H13" i="26"/>
  <c r="AH12" i="26"/>
  <c r="AG12" i="26"/>
  <c r="AF12" i="26"/>
  <c r="AE12" i="26"/>
  <c r="Z12" i="26"/>
  <c r="H12" i="26"/>
  <c r="Z11" i="26"/>
  <c r="AH10" i="26"/>
  <c r="AG10" i="26"/>
  <c r="AF10" i="26"/>
  <c r="AE10" i="26"/>
  <c r="Z10" i="26"/>
  <c r="Z9" i="26"/>
  <c r="H9" i="26"/>
  <c r="AH8" i="26"/>
  <c r="AG8" i="26"/>
  <c r="AF8" i="26"/>
  <c r="AE8" i="26"/>
  <c r="Z8" i="26"/>
  <c r="H8" i="26"/>
  <c r="Z7" i="26"/>
  <c r="AH6" i="26"/>
  <c r="AG6" i="26"/>
  <c r="AF6" i="26"/>
  <c r="AE6" i="26"/>
  <c r="Z6" i="26"/>
  <c r="Z5" i="26"/>
  <c r="H5" i="26"/>
  <c r="B12" i="26" s="1"/>
  <c r="B5" i="26"/>
  <c r="AH4" i="26"/>
  <c r="AG4" i="26"/>
  <c r="AF4" i="26"/>
  <c r="AE4" i="26"/>
  <c r="J67" i="25"/>
  <c r="B67" i="25"/>
  <c r="B65" i="25"/>
  <c r="J51" i="25"/>
  <c r="H42" i="25"/>
  <c r="H41" i="25"/>
  <c r="H40" i="25"/>
  <c r="Z39" i="25"/>
  <c r="H39" i="25"/>
  <c r="Z38" i="25"/>
  <c r="H38" i="25"/>
  <c r="AH37" i="25"/>
  <c r="AG37" i="25"/>
  <c r="AF37" i="25"/>
  <c r="AE37" i="25"/>
  <c r="Z37" i="25"/>
  <c r="H37" i="25"/>
  <c r="Z36" i="25"/>
  <c r="H36" i="25"/>
  <c r="AH35" i="25"/>
  <c r="AG35" i="25"/>
  <c r="AF35" i="25"/>
  <c r="AE35" i="25"/>
  <c r="Z35" i="25"/>
  <c r="Z34" i="25"/>
  <c r="AH33" i="25"/>
  <c r="AG33" i="25"/>
  <c r="AF33" i="25"/>
  <c r="AE33" i="25"/>
  <c r="Z33" i="25"/>
  <c r="H33" i="25"/>
  <c r="Z32" i="25"/>
  <c r="H32" i="25"/>
  <c r="AH31" i="25"/>
  <c r="AG31" i="25"/>
  <c r="AF31" i="25"/>
  <c r="AE31" i="25"/>
  <c r="Z31" i="25"/>
  <c r="Z30" i="25"/>
  <c r="H30" i="25"/>
  <c r="B36" i="25" s="1"/>
  <c r="B30" i="25"/>
  <c r="AH28" i="25"/>
  <c r="AG28" i="25"/>
  <c r="AF28" i="25"/>
  <c r="AE28" i="25"/>
  <c r="J27" i="25"/>
  <c r="H18" i="25"/>
  <c r="H17" i="25"/>
  <c r="H16" i="25"/>
  <c r="H15" i="25"/>
  <c r="Z14" i="25"/>
  <c r="H14" i="25"/>
  <c r="Z13" i="25"/>
  <c r="H13" i="25"/>
  <c r="AH12" i="25"/>
  <c r="AG12" i="25"/>
  <c r="AF12" i="25"/>
  <c r="AE12" i="25"/>
  <c r="Z12" i="25"/>
  <c r="H12" i="25"/>
  <c r="Z11" i="25"/>
  <c r="AH10" i="25"/>
  <c r="AG10" i="25"/>
  <c r="AF10" i="25"/>
  <c r="AE10" i="25"/>
  <c r="Z10" i="25"/>
  <c r="Z9" i="25"/>
  <c r="H9" i="25"/>
  <c r="AH8" i="25"/>
  <c r="AG8" i="25"/>
  <c r="AF8" i="25"/>
  <c r="AE8" i="25"/>
  <c r="Z8" i="25"/>
  <c r="H8" i="25"/>
  <c r="Z7" i="25"/>
  <c r="AH6" i="25"/>
  <c r="AG6" i="25"/>
  <c r="AF6" i="25"/>
  <c r="AE6" i="25"/>
  <c r="Z6" i="25"/>
  <c r="Z5" i="25"/>
  <c r="H5" i="25"/>
  <c r="B12" i="25" s="1"/>
  <c r="B5" i="25"/>
  <c r="AH4" i="25"/>
  <c r="AG4" i="25"/>
  <c r="AF4" i="25"/>
  <c r="AE4" i="25"/>
  <c r="J67" i="23"/>
  <c r="B65" i="23"/>
  <c r="J51" i="23"/>
  <c r="H42" i="23"/>
  <c r="H41" i="23"/>
  <c r="H40" i="23"/>
  <c r="Z39" i="23"/>
  <c r="H39" i="23"/>
  <c r="Z38" i="23"/>
  <c r="H38" i="23"/>
  <c r="AH37" i="23"/>
  <c r="AG37" i="23"/>
  <c r="AF37" i="23"/>
  <c r="AE37" i="23"/>
  <c r="Z37" i="23"/>
  <c r="H37" i="23"/>
  <c r="Z36" i="23"/>
  <c r="H36" i="23"/>
  <c r="AH35" i="23"/>
  <c r="AG35" i="23"/>
  <c r="AF35" i="23"/>
  <c r="AE35" i="23"/>
  <c r="Z35" i="23"/>
  <c r="Z34" i="23"/>
  <c r="AH33" i="23"/>
  <c r="AG33" i="23"/>
  <c r="AF33" i="23"/>
  <c r="AE33" i="23"/>
  <c r="Z33" i="23"/>
  <c r="H33" i="23"/>
  <c r="Z32" i="23"/>
  <c r="H32" i="23"/>
  <c r="AH31" i="23"/>
  <c r="AG31" i="23"/>
  <c r="AF31" i="23"/>
  <c r="AE31" i="23"/>
  <c r="Z31" i="23"/>
  <c r="Z30" i="23"/>
  <c r="H30" i="23"/>
  <c r="B36" i="23" s="1"/>
  <c r="B30" i="23"/>
  <c r="AH28" i="23"/>
  <c r="AG28" i="23"/>
  <c r="AF28" i="23"/>
  <c r="AE28" i="23"/>
  <c r="J27" i="23"/>
  <c r="H18" i="23"/>
  <c r="H17" i="23"/>
  <c r="H16" i="23"/>
  <c r="H15" i="23"/>
  <c r="Z14" i="23"/>
  <c r="H14" i="23"/>
  <c r="Z13" i="23"/>
  <c r="H13" i="23"/>
  <c r="AH12" i="23"/>
  <c r="AG12" i="23"/>
  <c r="AF12" i="23"/>
  <c r="AE12" i="23"/>
  <c r="Z12" i="23"/>
  <c r="H12" i="23"/>
  <c r="Z11" i="23"/>
  <c r="AH10" i="23"/>
  <c r="AG10" i="23"/>
  <c r="AF10" i="23"/>
  <c r="AE10" i="23"/>
  <c r="Z10" i="23"/>
  <c r="Z9" i="23"/>
  <c r="H9" i="23"/>
  <c r="AH8" i="23"/>
  <c r="AG8" i="23"/>
  <c r="AF8" i="23"/>
  <c r="AE8" i="23"/>
  <c r="Z8" i="23"/>
  <c r="H8" i="23"/>
  <c r="Z7" i="23"/>
  <c r="AH6" i="23"/>
  <c r="AG6" i="23"/>
  <c r="AF6" i="23"/>
  <c r="AE6" i="23"/>
  <c r="Z6" i="23"/>
  <c r="Z5" i="23"/>
  <c r="H5" i="23"/>
  <c r="B12" i="23" s="1"/>
  <c r="D12" i="23" s="1"/>
  <c r="AH4" i="23"/>
  <c r="AG4" i="23"/>
  <c r="AF4" i="23"/>
  <c r="AE4" i="23"/>
  <c r="J27" i="19"/>
  <c r="J67" i="20"/>
  <c r="B65" i="20"/>
  <c r="B67" i="20" s="1"/>
  <c r="J51" i="20"/>
  <c r="H42" i="20"/>
  <c r="H41" i="20"/>
  <c r="H40" i="20"/>
  <c r="Z39" i="20"/>
  <c r="H39" i="20"/>
  <c r="Z38" i="20"/>
  <c r="H38" i="20"/>
  <c r="AH37" i="20"/>
  <c r="AG37" i="20"/>
  <c r="AF37" i="20"/>
  <c r="AE37" i="20"/>
  <c r="Z37" i="20"/>
  <c r="H37" i="20"/>
  <c r="Z36" i="20"/>
  <c r="H36" i="20"/>
  <c r="AH35" i="20"/>
  <c r="AG35" i="20"/>
  <c r="AF35" i="20"/>
  <c r="AE35" i="20"/>
  <c r="Z35" i="20"/>
  <c r="Z34" i="20"/>
  <c r="AH33" i="20"/>
  <c r="AG33" i="20"/>
  <c r="AF33" i="20"/>
  <c r="AE33" i="20"/>
  <c r="Z33" i="20"/>
  <c r="H33" i="20"/>
  <c r="Z32" i="20"/>
  <c r="H32" i="20"/>
  <c r="AH31" i="20"/>
  <c r="AG31" i="20"/>
  <c r="AF31" i="20"/>
  <c r="AE31" i="20"/>
  <c r="Z31" i="20"/>
  <c r="Z30" i="20"/>
  <c r="H30" i="20"/>
  <c r="B36" i="20" s="1"/>
  <c r="B30" i="20"/>
  <c r="AH28" i="20"/>
  <c r="AG28" i="20"/>
  <c r="AF28" i="20"/>
  <c r="AE28" i="20"/>
  <c r="J27" i="20"/>
  <c r="H18" i="20"/>
  <c r="H17" i="20"/>
  <c r="H16" i="20"/>
  <c r="H15" i="20"/>
  <c r="Z14" i="20"/>
  <c r="H14" i="20"/>
  <c r="Z13" i="20"/>
  <c r="H13" i="20"/>
  <c r="AH12" i="20"/>
  <c r="AG12" i="20"/>
  <c r="AF12" i="20"/>
  <c r="AE12" i="20"/>
  <c r="Z12" i="20"/>
  <c r="H12" i="20"/>
  <c r="Z11" i="20"/>
  <c r="AH10" i="20"/>
  <c r="AG10" i="20"/>
  <c r="AF10" i="20"/>
  <c r="AE10" i="20"/>
  <c r="Z10" i="20"/>
  <c r="Z9" i="20"/>
  <c r="H9" i="20"/>
  <c r="AH8" i="20"/>
  <c r="AG8" i="20"/>
  <c r="AF8" i="20"/>
  <c r="AE8" i="20"/>
  <c r="Z8" i="20"/>
  <c r="H8" i="20"/>
  <c r="Z7" i="20"/>
  <c r="AH6" i="20"/>
  <c r="AG6" i="20"/>
  <c r="AF6" i="20"/>
  <c r="AE6" i="20"/>
  <c r="Z6" i="20"/>
  <c r="Z5" i="20"/>
  <c r="H5" i="20"/>
  <c r="B12" i="20" s="1"/>
  <c r="D12" i="20" s="1"/>
  <c r="AH4" i="20"/>
  <c r="AG4" i="20"/>
  <c r="AF4" i="20"/>
  <c r="AE4" i="20"/>
  <c r="J67" i="18"/>
  <c r="B65" i="18"/>
  <c r="J51" i="18"/>
  <c r="H42" i="18"/>
  <c r="H41" i="18"/>
  <c r="H40" i="18"/>
  <c r="Z39" i="18"/>
  <c r="H39" i="18"/>
  <c r="Z38" i="18"/>
  <c r="H38" i="18"/>
  <c r="AH37" i="18"/>
  <c r="AG37" i="18"/>
  <c r="AF37" i="18"/>
  <c r="AE37" i="18"/>
  <c r="Z37" i="18"/>
  <c r="H37" i="18"/>
  <c r="Z36" i="18"/>
  <c r="H36" i="18"/>
  <c r="AH35" i="18"/>
  <c r="AG35" i="18"/>
  <c r="AF35" i="18"/>
  <c r="AE35" i="18"/>
  <c r="Z35" i="18"/>
  <c r="Z34" i="18"/>
  <c r="AH33" i="18"/>
  <c r="AG33" i="18"/>
  <c r="AF33" i="18"/>
  <c r="AE33" i="18"/>
  <c r="Z33" i="18"/>
  <c r="H33" i="18"/>
  <c r="Z32" i="18"/>
  <c r="H32" i="18"/>
  <c r="AH31" i="18"/>
  <c r="AG31" i="18"/>
  <c r="AF31" i="18"/>
  <c r="AE31" i="18"/>
  <c r="Z31" i="18"/>
  <c r="Z30" i="18"/>
  <c r="H30" i="18"/>
  <c r="B36" i="18" s="1"/>
  <c r="B30" i="18"/>
  <c r="AH28" i="18"/>
  <c r="AG28" i="18"/>
  <c r="AF28" i="18"/>
  <c r="AE28" i="18"/>
  <c r="J27" i="18"/>
  <c r="H18" i="18"/>
  <c r="H17" i="18"/>
  <c r="H16" i="18"/>
  <c r="H15" i="18"/>
  <c r="Z14" i="18"/>
  <c r="H14" i="18"/>
  <c r="Z13" i="18"/>
  <c r="H13" i="18"/>
  <c r="AH12" i="18"/>
  <c r="AG12" i="18"/>
  <c r="AF12" i="18"/>
  <c r="AE12" i="18"/>
  <c r="Z12" i="18"/>
  <c r="H12" i="18"/>
  <c r="Z11" i="18"/>
  <c r="AH10" i="18"/>
  <c r="AG10" i="18"/>
  <c r="AF10" i="18"/>
  <c r="AE10" i="18"/>
  <c r="Z10" i="18"/>
  <c r="Z9" i="18"/>
  <c r="H9" i="18"/>
  <c r="AH8" i="18"/>
  <c r="AG8" i="18"/>
  <c r="AF8" i="18"/>
  <c r="AE8" i="18"/>
  <c r="Z8" i="18"/>
  <c r="H8" i="18"/>
  <c r="Z7" i="18"/>
  <c r="AH6" i="18"/>
  <c r="AG6" i="18"/>
  <c r="AF6" i="18"/>
  <c r="AE6" i="18"/>
  <c r="Z6" i="18"/>
  <c r="Z5" i="18"/>
  <c r="H5" i="18"/>
  <c r="B12" i="18" s="1"/>
  <c r="B5" i="18"/>
  <c r="AH4" i="18"/>
  <c r="AG4" i="18"/>
  <c r="AF4" i="18"/>
  <c r="AE4" i="18"/>
  <c r="J67" i="5"/>
  <c r="B65" i="5"/>
  <c r="J51" i="5"/>
  <c r="H42" i="5"/>
  <c r="H41" i="5"/>
  <c r="H40" i="5"/>
  <c r="Z39" i="5"/>
  <c r="H39" i="5"/>
  <c r="Z38" i="5"/>
  <c r="H38" i="5"/>
  <c r="AH37" i="5"/>
  <c r="AG37" i="5"/>
  <c r="AF37" i="5"/>
  <c r="AE37" i="5"/>
  <c r="Z37" i="5"/>
  <c r="H37" i="5"/>
  <c r="Z36" i="5"/>
  <c r="H36" i="5"/>
  <c r="AH35" i="5"/>
  <c r="AG35" i="5"/>
  <c r="AF35" i="5"/>
  <c r="AE35" i="5"/>
  <c r="Z35" i="5"/>
  <c r="Z34" i="5"/>
  <c r="AH33" i="5"/>
  <c r="AG33" i="5"/>
  <c r="AF33" i="5"/>
  <c r="AE33" i="5"/>
  <c r="Z33" i="5"/>
  <c r="H33" i="5"/>
  <c r="Z32" i="5"/>
  <c r="H32" i="5"/>
  <c r="AH31" i="5"/>
  <c r="AG31" i="5"/>
  <c r="AF31" i="5"/>
  <c r="AE31" i="5"/>
  <c r="Z31" i="5"/>
  <c r="Z30" i="5"/>
  <c r="H30" i="5"/>
  <c r="B36" i="5" s="1"/>
  <c r="B30" i="5"/>
  <c r="AH28" i="5"/>
  <c r="AG28" i="5"/>
  <c r="AF28" i="5"/>
  <c r="AE28" i="5"/>
  <c r="J27" i="5"/>
  <c r="H18" i="5"/>
  <c r="H17" i="5"/>
  <c r="H16" i="5"/>
  <c r="H15" i="5"/>
  <c r="Z14" i="5"/>
  <c r="H14" i="5"/>
  <c r="Z13" i="5"/>
  <c r="H13" i="5"/>
  <c r="AH12" i="5"/>
  <c r="AG12" i="5"/>
  <c r="AF12" i="5"/>
  <c r="AE12" i="5"/>
  <c r="Z12" i="5"/>
  <c r="H12" i="5"/>
  <c r="Z11" i="5"/>
  <c r="AH10" i="5"/>
  <c r="AG10" i="5"/>
  <c r="AF10" i="5"/>
  <c r="AE10" i="5"/>
  <c r="Z10" i="5"/>
  <c r="Z9" i="5"/>
  <c r="H9" i="5"/>
  <c r="AH8" i="5"/>
  <c r="AG8" i="5"/>
  <c r="AF8" i="5"/>
  <c r="AE8" i="5"/>
  <c r="Z8" i="5"/>
  <c r="H8" i="5"/>
  <c r="Z7" i="5"/>
  <c r="AH6" i="5"/>
  <c r="AG6" i="5"/>
  <c r="AF6" i="5"/>
  <c r="AE6" i="5"/>
  <c r="Z6" i="5"/>
  <c r="Z5" i="5"/>
  <c r="H5" i="5"/>
  <c r="B12" i="5" s="1"/>
  <c r="B5" i="5"/>
  <c r="AH4" i="5"/>
  <c r="AG4" i="5"/>
  <c r="AF4" i="5"/>
  <c r="AE4" i="5"/>
  <c r="J51" i="19"/>
  <c r="H42" i="19"/>
  <c r="H41" i="19"/>
  <c r="H40" i="19"/>
  <c r="H39" i="19"/>
  <c r="Z39" i="19"/>
  <c r="H38" i="19"/>
  <c r="Z38" i="19"/>
  <c r="H37" i="19"/>
  <c r="AH37" i="19"/>
  <c r="AG37" i="19"/>
  <c r="AF37" i="19"/>
  <c r="AE37" i="19"/>
  <c r="Z37" i="19"/>
  <c r="H36" i="19"/>
  <c r="Z36" i="19"/>
  <c r="AH35" i="19"/>
  <c r="AG35" i="19"/>
  <c r="AF35" i="19"/>
  <c r="AE35" i="19"/>
  <c r="Z35" i="19"/>
  <c r="Z34" i="19"/>
  <c r="H33" i="19"/>
  <c r="AH33" i="19"/>
  <c r="AG33" i="19"/>
  <c r="AF33" i="19"/>
  <c r="AE33" i="19"/>
  <c r="Z33" i="19"/>
  <c r="H32" i="19"/>
  <c r="Z32" i="19"/>
  <c r="AH31" i="19"/>
  <c r="AG31" i="19"/>
  <c r="AF31" i="19"/>
  <c r="AE31" i="19"/>
  <c r="Z31" i="19"/>
  <c r="Z30" i="19"/>
  <c r="H30" i="19"/>
  <c r="B36" i="19" s="1"/>
  <c r="B30" i="19"/>
  <c r="B165" i="17"/>
  <c r="B166" i="17"/>
  <c r="D166" i="17"/>
  <c r="E166" i="17" s="1"/>
  <c r="B147" i="17"/>
  <c r="B148" i="17"/>
  <c r="B149" i="17"/>
  <c r="B150" i="17"/>
  <c r="B146" i="17"/>
  <c r="B154" i="17"/>
  <c r="B155" i="17"/>
  <c r="B156" i="17"/>
  <c r="B157" i="17"/>
  <c r="B153" i="17"/>
  <c r="B161" i="17"/>
  <c r="B162" i="17"/>
  <c r="B163" i="17"/>
  <c r="B164" i="17"/>
  <c r="B160" i="17"/>
  <c r="C5" i="17"/>
  <c r="C6" i="17"/>
  <c r="C7" i="17"/>
  <c r="C8" i="17"/>
  <c r="C9" i="17"/>
  <c r="C10" i="17"/>
  <c r="C4" i="17"/>
  <c r="D4" i="17" s="1"/>
  <c r="E4" i="17" s="1"/>
  <c r="F24" i="17"/>
  <c r="F25" i="17"/>
  <c r="F26" i="17"/>
  <c r="F27" i="17"/>
  <c r="F41" i="17"/>
  <c r="F42" i="17"/>
  <c r="F43" i="17"/>
  <c r="D140" i="17" s="1"/>
  <c r="E140" i="17" s="1"/>
  <c r="F44" i="17"/>
  <c r="D141" i="17" s="1"/>
  <c r="E141" i="17" s="1"/>
  <c r="F30" i="17"/>
  <c r="C156" i="17" s="1"/>
  <c r="F29" i="17"/>
  <c r="C147" i="17" s="1"/>
  <c r="H12" i="19"/>
  <c r="F31" i="17"/>
  <c r="C57" i="17" s="1"/>
  <c r="F32" i="17"/>
  <c r="C58" i="17" s="1"/>
  <c r="F28" i="17"/>
  <c r="C170" i="17" s="1"/>
  <c r="F34" i="17"/>
  <c r="F35" i="17"/>
  <c r="D132" i="17" s="1"/>
  <c r="E132" i="17" s="1"/>
  <c r="F36" i="17"/>
  <c r="D133" i="17" s="1"/>
  <c r="E133" i="17" s="1"/>
  <c r="F37" i="17"/>
  <c r="D134" i="17" s="1"/>
  <c r="E134" i="17" s="1"/>
  <c r="F38" i="17"/>
  <c r="D135" i="17" s="1"/>
  <c r="E135" i="17" s="1"/>
  <c r="F39" i="17"/>
  <c r="D136" i="17" s="1"/>
  <c r="E136" i="17" s="1"/>
  <c r="F40" i="17"/>
  <c r="D137" i="17" s="1"/>
  <c r="E137" i="17" s="1"/>
  <c r="F33" i="17"/>
  <c r="C23" i="17"/>
  <c r="F23" i="17" s="1"/>
  <c r="C22" i="17"/>
  <c r="F22" i="17" s="1"/>
  <c r="C106" i="17" s="1"/>
  <c r="D206" i="17"/>
  <c r="E206" i="17" s="1"/>
  <c r="J51" i="17"/>
  <c r="I51" i="17"/>
  <c r="I50" i="17"/>
  <c r="H51" i="17"/>
  <c r="H50" i="17"/>
  <c r="H49" i="17"/>
  <c r="H52" i="17"/>
  <c r="I52" i="17"/>
  <c r="I49" i="17"/>
  <c r="H18" i="19"/>
  <c r="H17" i="19"/>
  <c r="H16" i="19"/>
  <c r="H15" i="19"/>
  <c r="H14" i="19"/>
  <c r="H13" i="19"/>
  <c r="H9" i="19"/>
  <c r="H8" i="19"/>
  <c r="G80" i="2"/>
  <c r="G211" i="2"/>
  <c r="Q32" i="2" s="1"/>
  <c r="G275" i="2"/>
  <c r="G276" i="2"/>
  <c r="G277" i="2"/>
  <c r="G278" i="2"/>
  <c r="G274" i="2"/>
  <c r="G263" i="2"/>
  <c r="G264" i="2"/>
  <c r="G265" i="2"/>
  <c r="G266" i="2"/>
  <c r="G267" i="2"/>
  <c r="G268" i="2"/>
  <c r="G269" i="2"/>
  <c r="G270" i="2"/>
  <c r="G271" i="2"/>
  <c r="G272" i="2"/>
  <c r="G262" i="2"/>
  <c r="G255" i="2"/>
  <c r="G256" i="2"/>
  <c r="G257" i="2"/>
  <c r="G258" i="2"/>
  <c r="G259" i="2"/>
  <c r="G260" i="2"/>
  <c r="G226" i="2"/>
  <c r="I20" i="2" s="1"/>
  <c r="G20" i="2" s="1"/>
  <c r="F20" i="2" s="1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25" i="2"/>
  <c r="I16" i="2" s="1"/>
  <c r="G220" i="2"/>
  <c r="K76" i="2" s="1"/>
  <c r="G76" i="2" s="1"/>
  <c r="G217" i="2"/>
  <c r="J45" i="2" s="1"/>
  <c r="G33" i="2"/>
  <c r="G204" i="2"/>
  <c r="K82" i="2" s="1"/>
  <c r="G82" i="2" s="1"/>
  <c r="F82" i="2" s="1"/>
  <c r="G205" i="2"/>
  <c r="K83" i="2" s="1"/>
  <c r="G206" i="2"/>
  <c r="G207" i="2"/>
  <c r="P81" i="2" s="1"/>
  <c r="G203" i="2"/>
  <c r="K81" i="2" s="1"/>
  <c r="G195" i="2"/>
  <c r="K66" i="2" s="1"/>
  <c r="G196" i="2"/>
  <c r="K67" i="2" s="1"/>
  <c r="G197" i="2"/>
  <c r="K68" i="2" s="1"/>
  <c r="G198" i="2"/>
  <c r="K69" i="2" s="1"/>
  <c r="G199" i="2"/>
  <c r="K70" i="2" s="1"/>
  <c r="G200" i="2"/>
  <c r="K71" i="2" s="1"/>
  <c r="G194" i="2"/>
  <c r="K65" i="2" s="1"/>
  <c r="G187" i="2"/>
  <c r="G188" i="2"/>
  <c r="G189" i="2"/>
  <c r="G190" i="2"/>
  <c r="G191" i="2"/>
  <c r="G181" i="2"/>
  <c r="G182" i="2"/>
  <c r="O104" i="2" s="1"/>
  <c r="G180" i="2"/>
  <c r="G175" i="2"/>
  <c r="G172" i="2"/>
  <c r="J46" i="2" s="1"/>
  <c r="G46" i="2" s="1"/>
  <c r="G167" i="2"/>
  <c r="G166" i="2"/>
  <c r="G161" i="2"/>
  <c r="J29" i="2" s="1"/>
  <c r="G162" i="2"/>
  <c r="J40" i="2" s="1"/>
  <c r="G160" i="2"/>
  <c r="J28" i="2" s="1"/>
  <c r="G154" i="2"/>
  <c r="J43" i="2" s="1"/>
  <c r="G155" i="2"/>
  <c r="G156" i="2"/>
  <c r="G153" i="2"/>
  <c r="J42" i="2" s="1"/>
  <c r="G147" i="2"/>
  <c r="G148" i="2"/>
  <c r="I36" i="2" s="1"/>
  <c r="G36" i="2" s="1"/>
  <c r="H36" i="2" s="1"/>
  <c r="G149" i="2"/>
  <c r="I37" i="2" s="1"/>
  <c r="G37" i="2" s="1"/>
  <c r="H37" i="2" s="1"/>
  <c r="G150" i="2"/>
  <c r="G146" i="2"/>
  <c r="G140" i="2"/>
  <c r="G141" i="2"/>
  <c r="J9" i="2" s="1"/>
  <c r="G142" i="2"/>
  <c r="G143" i="2"/>
  <c r="J6" i="2" s="1"/>
  <c r="G139" i="2"/>
  <c r="G130" i="2"/>
  <c r="G132" i="2"/>
  <c r="J7" i="2" s="1"/>
  <c r="G133" i="2"/>
  <c r="J8" i="2" s="1"/>
  <c r="G134" i="2"/>
  <c r="J5" i="2" s="1"/>
  <c r="G135" i="2"/>
  <c r="J15" i="2" s="1"/>
  <c r="G129" i="2"/>
  <c r="G123" i="2"/>
  <c r="G124" i="2"/>
  <c r="J14" i="2" s="1"/>
  <c r="G125" i="2"/>
  <c r="J13" i="2" s="1"/>
  <c r="G126" i="2"/>
  <c r="J19" i="2" s="1"/>
  <c r="G122" i="2"/>
  <c r="G210" i="2"/>
  <c r="J32" i="2" s="1"/>
  <c r="J204" i="2"/>
  <c r="J205" i="2"/>
  <c r="J206" i="2"/>
  <c r="J203" i="2"/>
  <c r="K9" i="2"/>
  <c r="K7" i="2"/>
  <c r="H116" i="2"/>
  <c r="H112" i="2"/>
  <c r="H5" i="19"/>
  <c r="D218" i="17"/>
  <c r="E218" i="17" s="1"/>
  <c r="D217" i="17"/>
  <c r="E217" i="17" s="1"/>
  <c r="D216" i="17"/>
  <c r="E216" i="17" s="1"/>
  <c r="D40" i="17"/>
  <c r="E40" i="17" s="1"/>
  <c r="D39" i="17"/>
  <c r="E39" i="17" s="1"/>
  <c r="D38" i="17"/>
  <c r="E38" i="17" s="1"/>
  <c r="D37" i="17"/>
  <c r="E37" i="17" s="1"/>
  <c r="D36" i="17"/>
  <c r="E36" i="17" s="1"/>
  <c r="D35" i="17"/>
  <c r="E35" i="17" s="1"/>
  <c r="D34" i="17"/>
  <c r="E34" i="17" s="1"/>
  <c r="D33" i="17"/>
  <c r="E33" i="17" s="1"/>
  <c r="D44" i="17"/>
  <c r="E44" i="17" s="1"/>
  <c r="D43" i="17"/>
  <c r="E43" i="17" s="1"/>
  <c r="D42" i="17"/>
  <c r="E42" i="17" s="1"/>
  <c r="D41" i="17"/>
  <c r="E41" i="17" s="1"/>
  <c r="J32" i="17"/>
  <c r="D32" i="17"/>
  <c r="E32" i="17" s="1"/>
  <c r="J31" i="17"/>
  <c r="D31" i="17"/>
  <c r="E31" i="17" s="1"/>
  <c r="J25" i="17"/>
  <c r="J26" i="17"/>
  <c r="J27" i="17"/>
  <c r="J28" i="17"/>
  <c r="J29" i="17"/>
  <c r="J30" i="17"/>
  <c r="J24" i="17"/>
  <c r="D30" i="17"/>
  <c r="E30" i="17" s="1"/>
  <c r="D29" i="17"/>
  <c r="E29" i="17" s="1"/>
  <c r="D28" i="17"/>
  <c r="E28" i="17" s="1"/>
  <c r="D27" i="17"/>
  <c r="E27" i="17" s="1"/>
  <c r="D26" i="17"/>
  <c r="E26" i="17" s="1"/>
  <c r="J16" i="17"/>
  <c r="D25" i="17"/>
  <c r="E25" i="17" s="1"/>
  <c r="D24" i="17"/>
  <c r="E24" i="17" s="1"/>
  <c r="L22" i="17"/>
  <c r="J23" i="17"/>
  <c r="J19" i="17"/>
  <c r="J15" i="17"/>
  <c r="J17" i="17"/>
  <c r="J22" i="17"/>
  <c r="J20" i="17"/>
  <c r="J18" i="17"/>
  <c r="J14" i="17"/>
  <c r="D208" i="17"/>
  <c r="E208" i="17" s="1"/>
  <c r="D20" i="17"/>
  <c r="E20" i="17" s="1"/>
  <c r="D19" i="17"/>
  <c r="E19" i="17" s="1"/>
  <c r="D18" i="17"/>
  <c r="E18" i="17" s="1"/>
  <c r="D14" i="17"/>
  <c r="E14" i="17" s="1"/>
  <c r="D17" i="17"/>
  <c r="E17" i="17" s="1"/>
  <c r="D16" i="17"/>
  <c r="E16" i="17" s="1"/>
  <c r="B13" i="17"/>
  <c r="J67" i="19"/>
  <c r="B65" i="19"/>
  <c r="AH28" i="19"/>
  <c r="AG28" i="19"/>
  <c r="AF28" i="19"/>
  <c r="AE28" i="19"/>
  <c r="Z14" i="19"/>
  <c r="Z13" i="19"/>
  <c r="AH12" i="19"/>
  <c r="AG12" i="19"/>
  <c r="AF12" i="19"/>
  <c r="AE12" i="19"/>
  <c r="Z12" i="19"/>
  <c r="Z11" i="19"/>
  <c r="AH10" i="19"/>
  <c r="AG10" i="19"/>
  <c r="AF10" i="19"/>
  <c r="AE10" i="19"/>
  <c r="Z10" i="19"/>
  <c r="Z9" i="19"/>
  <c r="AH8" i="19"/>
  <c r="AG8" i="19"/>
  <c r="AF8" i="19"/>
  <c r="AE8" i="19"/>
  <c r="Z8" i="19"/>
  <c r="Z7" i="19"/>
  <c r="AH6" i="19"/>
  <c r="AG6" i="19"/>
  <c r="AF6" i="19"/>
  <c r="AE6" i="19"/>
  <c r="Z6" i="19"/>
  <c r="Z5" i="19"/>
  <c r="AH4" i="19"/>
  <c r="AG4" i="19"/>
  <c r="AF4" i="19"/>
  <c r="AE4" i="19"/>
  <c r="D93" i="17"/>
  <c r="D91" i="17"/>
  <c r="A85" i="27"/>
  <c r="A83" i="27"/>
  <c r="F186" i="2"/>
  <c r="G186" i="2" s="1"/>
  <c r="I186" i="2"/>
  <c r="J186" i="2" s="1"/>
  <c r="B3" i="17"/>
  <c r="D72" i="17"/>
  <c r="E72" i="17" s="1"/>
  <c r="D71" i="17"/>
  <c r="E71" i="17" s="1"/>
  <c r="D70" i="17"/>
  <c r="E70" i="17" s="1"/>
  <c r="D69" i="17"/>
  <c r="E69" i="17" s="1"/>
  <c r="D83" i="17"/>
  <c r="E83" i="17" s="1"/>
  <c r="D84" i="17"/>
  <c r="E84" i="17" s="1"/>
  <c r="D85" i="17"/>
  <c r="E85" i="17" s="1"/>
  <c r="D86" i="17"/>
  <c r="E86" i="17" s="1"/>
  <c r="D79" i="17"/>
  <c r="F176" i="2"/>
  <c r="G176" i="2" s="1"/>
  <c r="F177" i="2"/>
  <c r="G177" i="2" s="1"/>
  <c r="J141" i="2"/>
  <c r="J142" i="2"/>
  <c r="D219" i="17"/>
  <c r="E219" i="17" s="1"/>
  <c r="D180" i="17"/>
  <c r="E180" i="17" s="1"/>
  <c r="D214" i="17"/>
  <c r="E214" i="17" s="1"/>
  <c r="G103" i="2"/>
  <c r="G107" i="2"/>
  <c r="F183" i="2"/>
  <c r="G183" i="2" s="1"/>
  <c r="I183" i="2"/>
  <c r="J183" i="2" s="1"/>
  <c r="J188" i="2"/>
  <c r="F251" i="2"/>
  <c r="G251" i="2" s="1"/>
  <c r="F252" i="2"/>
  <c r="G252" i="2" s="1"/>
  <c r="F253" i="2"/>
  <c r="G253" i="2" s="1"/>
  <c r="F254" i="2"/>
  <c r="G254" i="2" s="1"/>
  <c r="F250" i="2"/>
  <c r="G250" i="2" s="1"/>
  <c r="J225" i="2"/>
  <c r="J278" i="2"/>
  <c r="J123" i="2"/>
  <c r="J124" i="2"/>
  <c r="J125" i="2"/>
  <c r="J126" i="2"/>
  <c r="J129" i="2"/>
  <c r="J130" i="2"/>
  <c r="J132" i="2"/>
  <c r="J133" i="2"/>
  <c r="J134" i="2"/>
  <c r="J135" i="2"/>
  <c r="J139" i="2"/>
  <c r="J140" i="2"/>
  <c r="J143" i="2"/>
  <c r="J146" i="2"/>
  <c r="J147" i="2"/>
  <c r="J148" i="2"/>
  <c r="J149" i="2"/>
  <c r="J150" i="2"/>
  <c r="J153" i="2"/>
  <c r="J154" i="2"/>
  <c r="J155" i="2"/>
  <c r="J156" i="2"/>
  <c r="J160" i="2"/>
  <c r="J161" i="2"/>
  <c r="J162" i="2"/>
  <c r="J166" i="2"/>
  <c r="J167" i="2"/>
  <c r="J172" i="2"/>
  <c r="J175" i="2"/>
  <c r="J180" i="2"/>
  <c r="J181" i="2"/>
  <c r="J182" i="2"/>
  <c r="J187" i="2"/>
  <c r="J189" i="2"/>
  <c r="J190" i="2"/>
  <c r="J194" i="2"/>
  <c r="J195" i="2"/>
  <c r="J196" i="2"/>
  <c r="J197" i="2"/>
  <c r="J198" i="2"/>
  <c r="J199" i="2"/>
  <c r="J200" i="2"/>
  <c r="J210" i="2"/>
  <c r="J217" i="2"/>
  <c r="J220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50" i="2"/>
  <c r="J251" i="2"/>
  <c r="J252" i="2"/>
  <c r="J253" i="2"/>
  <c r="J254" i="2"/>
  <c r="J255" i="2"/>
  <c r="J256" i="2"/>
  <c r="J257" i="2"/>
  <c r="J258" i="2"/>
  <c r="J259" i="2"/>
  <c r="J260" i="2"/>
  <c r="J262" i="2"/>
  <c r="J263" i="2"/>
  <c r="J264" i="2"/>
  <c r="J265" i="2"/>
  <c r="J266" i="2"/>
  <c r="J267" i="2"/>
  <c r="J268" i="2"/>
  <c r="J269" i="2"/>
  <c r="J270" i="2"/>
  <c r="J271" i="2"/>
  <c r="J272" i="2"/>
  <c r="J274" i="2"/>
  <c r="J275" i="2"/>
  <c r="J276" i="2"/>
  <c r="J277" i="2"/>
  <c r="J122" i="2"/>
  <c r="D80" i="17"/>
  <c r="E80" i="17" s="1"/>
  <c r="D87" i="17"/>
  <c r="E87" i="17" s="1"/>
  <c r="D82" i="17"/>
  <c r="E82" i="17" s="1"/>
  <c r="D81" i="17"/>
  <c r="E81" i="17" s="1"/>
  <c r="D78" i="17"/>
  <c r="D65" i="17"/>
  <c r="D66" i="17"/>
  <c r="E66" i="17" s="1"/>
  <c r="D67" i="17"/>
  <c r="E67" i="17" s="1"/>
  <c r="D68" i="17"/>
  <c r="D56" i="17"/>
  <c r="D59" i="17"/>
  <c r="D52" i="17"/>
  <c r="E52" i="17" s="1"/>
  <c r="D210" i="17"/>
  <c r="E210" i="17" s="1"/>
  <c r="D205" i="17"/>
  <c r="E205" i="17" s="1"/>
  <c r="D207" i="17"/>
  <c r="E207" i="17" s="1"/>
  <c r="G98" i="2"/>
  <c r="G99" i="2"/>
  <c r="G100" i="2"/>
  <c r="G97" i="2"/>
  <c r="G87" i="2"/>
  <c r="G75" i="2"/>
  <c r="G51" i="2"/>
  <c r="G52" i="2"/>
  <c r="G53" i="2"/>
  <c r="G54" i="2"/>
  <c r="G55" i="2"/>
  <c r="G56" i="2"/>
  <c r="G57" i="2"/>
  <c r="G59" i="2"/>
  <c r="G50" i="2"/>
  <c r="G64" i="2"/>
  <c r="G63" i="2"/>
  <c r="I176" i="2"/>
  <c r="J176" i="2" s="1"/>
  <c r="I177" i="2"/>
  <c r="J177" i="2" s="1"/>
  <c r="E68" i="17" l="1"/>
  <c r="E8" i="23"/>
  <c r="E32" i="23"/>
  <c r="E8" i="20"/>
  <c r="E93" i="17"/>
  <c r="E10" i="22"/>
  <c r="E34" i="23"/>
  <c r="E10" i="24"/>
  <c r="E10" i="20"/>
  <c r="E10" i="23"/>
  <c r="E65" i="17"/>
  <c r="E8" i="21"/>
  <c r="E8" i="22"/>
  <c r="E79" i="17"/>
  <c r="E9" i="23"/>
  <c r="E9" i="21"/>
  <c r="E9" i="22"/>
  <c r="E78" i="17"/>
  <c r="E9" i="24"/>
  <c r="E9" i="20"/>
  <c r="E33" i="23"/>
  <c r="E59" i="17"/>
  <c r="C7" i="24" s="1"/>
  <c r="E7" i="24"/>
  <c r="E56" i="17"/>
  <c r="E31" i="23"/>
  <c r="E7" i="22"/>
  <c r="E7" i="21"/>
  <c r="E7" i="20"/>
  <c r="E91" i="17"/>
  <c r="C10" i="21" s="1"/>
  <c r="E10" i="21"/>
  <c r="D36" i="25"/>
  <c r="C36" i="25"/>
  <c r="E36" i="25"/>
  <c r="L12" i="29"/>
  <c r="L14" i="3"/>
  <c r="E12" i="25"/>
  <c r="D12" i="25"/>
  <c r="C12" i="25"/>
  <c r="E36" i="26"/>
  <c r="D36" i="26"/>
  <c r="C36" i="26"/>
  <c r="L11" i="29"/>
  <c r="K14" i="3"/>
  <c r="K16" i="3" s="1"/>
  <c r="E12" i="26"/>
  <c r="D12" i="26"/>
  <c r="C12" i="26"/>
  <c r="E36" i="24"/>
  <c r="C36" i="24"/>
  <c r="D36" i="24"/>
  <c r="L10" i="29"/>
  <c r="J14" i="3"/>
  <c r="B13" i="24"/>
  <c r="D12" i="24"/>
  <c r="C12" i="24"/>
  <c r="E12" i="24"/>
  <c r="L9" i="29"/>
  <c r="I14" i="3"/>
  <c r="I16" i="3" s="1"/>
  <c r="D36" i="22"/>
  <c r="C36" i="22"/>
  <c r="E36" i="22"/>
  <c r="B13" i="22"/>
  <c r="D13" i="22" s="1"/>
  <c r="E12" i="22"/>
  <c r="D12" i="22"/>
  <c r="C12" i="22"/>
  <c r="B13" i="21"/>
  <c r="C13" i="21" s="1"/>
  <c r="D13" i="21"/>
  <c r="L8" i="29"/>
  <c r="H14" i="3"/>
  <c r="C12" i="21"/>
  <c r="E12" i="21"/>
  <c r="D12" i="21"/>
  <c r="C36" i="21"/>
  <c r="E36" i="21"/>
  <c r="D36" i="21"/>
  <c r="B37" i="23"/>
  <c r="D37" i="23" s="1"/>
  <c r="C37" i="23"/>
  <c r="E37" i="23"/>
  <c r="E36" i="23"/>
  <c r="D36" i="23"/>
  <c r="C36" i="23"/>
  <c r="L7" i="29"/>
  <c r="G14" i="3"/>
  <c r="D36" i="20"/>
  <c r="E36" i="20"/>
  <c r="C36" i="20"/>
  <c r="L6" i="29"/>
  <c r="F14" i="3"/>
  <c r="F16" i="3" s="1"/>
  <c r="B13" i="18"/>
  <c r="B13" i="5"/>
  <c r="B13" i="19"/>
  <c r="B12" i="19"/>
  <c r="D12" i="19" s="1"/>
  <c r="L5" i="29"/>
  <c r="E14" i="3"/>
  <c r="E16" i="3" s="1"/>
  <c r="H33" i="2"/>
  <c r="C58" i="5" s="1"/>
  <c r="F33" i="2"/>
  <c r="F36" i="2"/>
  <c r="F37" i="2"/>
  <c r="I39" i="2"/>
  <c r="I41" i="2"/>
  <c r="I43" i="2"/>
  <c r="I40" i="2"/>
  <c r="I42" i="2"/>
  <c r="O41" i="2"/>
  <c r="O40" i="2"/>
  <c r="N41" i="2"/>
  <c r="N40" i="2"/>
  <c r="M41" i="2"/>
  <c r="M40" i="2"/>
  <c r="P41" i="2"/>
  <c r="P40" i="2"/>
  <c r="H20" i="2"/>
  <c r="G45" i="2"/>
  <c r="F45" i="2" s="1"/>
  <c r="J90" i="2"/>
  <c r="G90" i="2" s="1"/>
  <c r="J89" i="2"/>
  <c r="G89" i="2" s="1"/>
  <c r="J88" i="2"/>
  <c r="G88" i="2" s="1"/>
  <c r="J93" i="2"/>
  <c r="J92" i="2"/>
  <c r="G92" i="2" s="1"/>
  <c r="J91" i="2"/>
  <c r="G91" i="2" s="1"/>
  <c r="F91" i="2" s="1"/>
  <c r="K10" i="2"/>
  <c r="N105" i="2"/>
  <c r="I32" i="2"/>
  <c r="G32" i="2" s="1"/>
  <c r="J31" i="2"/>
  <c r="I31" i="2"/>
  <c r="I29" i="2"/>
  <c r="J30" i="2"/>
  <c r="I28" i="2"/>
  <c r="M29" i="2"/>
  <c r="P30" i="2"/>
  <c r="O31" i="2"/>
  <c r="N31" i="2"/>
  <c r="G22" i="2"/>
  <c r="J10" i="2"/>
  <c r="D12" i="18"/>
  <c r="C12" i="18"/>
  <c r="E12" i="18"/>
  <c r="C36" i="18"/>
  <c r="E36" i="18"/>
  <c r="D36" i="18"/>
  <c r="C36" i="19"/>
  <c r="E36" i="19"/>
  <c r="D36" i="19"/>
  <c r="E12" i="20"/>
  <c r="C12" i="20"/>
  <c r="E12" i="23"/>
  <c r="C12" i="23"/>
  <c r="E30" i="21"/>
  <c r="D30" i="21"/>
  <c r="C30" i="21"/>
  <c r="E5" i="26"/>
  <c r="D5" i="26"/>
  <c r="C5" i="26"/>
  <c r="E30" i="25"/>
  <c r="D30" i="25"/>
  <c r="C30" i="25"/>
  <c r="D30" i="19"/>
  <c r="C30" i="19"/>
  <c r="E30" i="19"/>
  <c r="E5" i="18"/>
  <c r="D5" i="18"/>
  <c r="C5" i="18"/>
  <c r="E5" i="25"/>
  <c r="D5" i="25"/>
  <c r="C5" i="25"/>
  <c r="D5" i="24"/>
  <c r="E30" i="26"/>
  <c r="D30" i="26"/>
  <c r="C30" i="26"/>
  <c r="C30" i="24"/>
  <c r="E30" i="24"/>
  <c r="D30" i="24"/>
  <c r="B25" i="21"/>
  <c r="E5" i="21"/>
  <c r="D5" i="21"/>
  <c r="C5" i="21"/>
  <c r="E5" i="22"/>
  <c r="D5" i="22"/>
  <c r="C5" i="22"/>
  <c r="E30" i="20"/>
  <c r="D30" i="20"/>
  <c r="C30" i="20"/>
  <c r="D30" i="23"/>
  <c r="D30" i="18"/>
  <c r="E30" i="18"/>
  <c r="C30" i="18"/>
  <c r="E30" i="22"/>
  <c r="D30" i="22"/>
  <c r="C30" i="22"/>
  <c r="C61" i="17"/>
  <c r="D139" i="17"/>
  <c r="E139" i="17" s="1"/>
  <c r="C60" i="17"/>
  <c r="D138" i="17"/>
  <c r="E138" i="17" s="1"/>
  <c r="B49" i="19"/>
  <c r="B49" i="21"/>
  <c r="C5" i="5"/>
  <c r="E5" i="5"/>
  <c r="D5" i="5"/>
  <c r="C30" i="5"/>
  <c r="D30" i="5"/>
  <c r="E30" i="5"/>
  <c r="E12" i="5"/>
  <c r="D12" i="5"/>
  <c r="C12" i="5"/>
  <c r="C36" i="5"/>
  <c r="D36" i="5"/>
  <c r="E36" i="5"/>
  <c r="H54" i="2"/>
  <c r="F54" i="2"/>
  <c r="H64" i="2"/>
  <c r="F64" i="2"/>
  <c r="H53" i="2"/>
  <c r="F53" i="2"/>
  <c r="H50" i="2"/>
  <c r="F50" i="2"/>
  <c r="H52" i="2"/>
  <c r="F52" i="2"/>
  <c r="H56" i="2"/>
  <c r="F56" i="2"/>
  <c r="H97" i="2"/>
  <c r="F97" i="2"/>
  <c r="H55" i="2"/>
  <c r="F55" i="2"/>
  <c r="H100" i="2"/>
  <c r="F100" i="2"/>
  <c r="H107" i="2"/>
  <c r="F107" i="2"/>
  <c r="H63" i="2"/>
  <c r="F63" i="2"/>
  <c r="H99" i="2"/>
  <c r="F99" i="2"/>
  <c r="H76" i="2"/>
  <c r="F76" i="2"/>
  <c r="H80" i="2"/>
  <c r="F80" i="2"/>
  <c r="H98" i="2"/>
  <c r="F98" i="2"/>
  <c r="H51" i="2"/>
  <c r="F51" i="2"/>
  <c r="H59" i="2"/>
  <c r="F59" i="2"/>
  <c r="H75" i="2"/>
  <c r="F75" i="2"/>
  <c r="H57" i="2"/>
  <c r="F57" i="2"/>
  <c r="H87" i="2"/>
  <c r="F87" i="2"/>
  <c r="B5" i="20"/>
  <c r="B51" i="20"/>
  <c r="B25" i="22"/>
  <c r="B25" i="24"/>
  <c r="B25" i="18"/>
  <c r="B5" i="23"/>
  <c r="B49" i="24"/>
  <c r="B49" i="22"/>
  <c r="B51" i="24"/>
  <c r="B51" i="22"/>
  <c r="B51" i="21"/>
  <c r="B37" i="21"/>
  <c r="B37" i="22"/>
  <c r="B37" i="24"/>
  <c r="B13" i="26"/>
  <c r="B49" i="26"/>
  <c r="B51" i="26"/>
  <c r="B70" i="26" s="1"/>
  <c r="B25" i="26"/>
  <c r="B37" i="26"/>
  <c r="B13" i="25"/>
  <c r="B49" i="25"/>
  <c r="B51" i="25"/>
  <c r="B25" i="25"/>
  <c r="B37" i="25"/>
  <c r="B49" i="23"/>
  <c r="B13" i="23"/>
  <c r="B49" i="20"/>
  <c r="B13" i="20"/>
  <c r="B37" i="20"/>
  <c r="B51" i="19"/>
  <c r="B49" i="18"/>
  <c r="B51" i="18"/>
  <c r="B37" i="18"/>
  <c r="B25" i="5"/>
  <c r="B49" i="5"/>
  <c r="B37" i="5"/>
  <c r="G81" i="2"/>
  <c r="G83" i="2"/>
  <c r="H82" i="2"/>
  <c r="B37" i="19"/>
  <c r="D165" i="17"/>
  <c r="E165" i="17" s="1"/>
  <c r="D160" i="17"/>
  <c r="E160" i="17" s="1"/>
  <c r="D163" i="17"/>
  <c r="E163" i="17" s="1"/>
  <c r="D161" i="17"/>
  <c r="E161" i="17" s="1"/>
  <c r="D164" i="17"/>
  <c r="D162" i="17"/>
  <c r="E162" i="17" s="1"/>
  <c r="C155" i="17"/>
  <c r="C153" i="17"/>
  <c r="C154" i="17"/>
  <c r="C146" i="17"/>
  <c r="C150" i="17"/>
  <c r="C149" i="17"/>
  <c r="C157" i="17"/>
  <c r="C148" i="17"/>
  <c r="C49" i="17"/>
  <c r="D49" i="17" s="1"/>
  <c r="C50" i="17"/>
  <c r="D50" i="17" s="1"/>
  <c r="P71" i="2"/>
  <c r="G71" i="2" s="1"/>
  <c r="O105" i="2"/>
  <c r="O28" i="2"/>
  <c r="P28" i="2"/>
  <c r="P43" i="2"/>
  <c r="P38" i="2"/>
  <c r="P31" i="2"/>
  <c r="P42" i="2"/>
  <c r="P39" i="2"/>
  <c r="P29" i="2"/>
  <c r="K18" i="2"/>
  <c r="P70" i="2"/>
  <c r="G70" i="2" s="1"/>
  <c r="P69" i="2"/>
  <c r="G69" i="2" s="1"/>
  <c r="P68" i="2"/>
  <c r="G68" i="2" s="1"/>
  <c r="P67" i="2"/>
  <c r="G67" i="2" s="1"/>
  <c r="F67" i="2" s="1"/>
  <c r="P66" i="2"/>
  <c r="G66" i="2" s="1"/>
  <c r="P65" i="2"/>
  <c r="G65" i="2" s="1"/>
  <c r="K8" i="2"/>
  <c r="C73" i="17"/>
  <c r="C74" i="17"/>
  <c r="D23" i="17"/>
  <c r="E23" i="17" s="1"/>
  <c r="F102" i="17"/>
  <c r="F103" i="17"/>
  <c r="F104" i="17"/>
  <c r="F105" i="17"/>
  <c r="D22" i="17"/>
  <c r="E22" i="17" s="1"/>
  <c r="D15" i="17"/>
  <c r="E15" i="17" s="1"/>
  <c r="B5" i="19"/>
  <c r="I9" i="2"/>
  <c r="G9" i="2" s="1"/>
  <c r="I17" i="2"/>
  <c r="I10" i="2"/>
  <c r="I18" i="2"/>
  <c r="I11" i="2"/>
  <c r="I19" i="2"/>
  <c r="G19" i="2" s="1"/>
  <c r="M39" i="2"/>
  <c r="I4" i="2"/>
  <c r="I5" i="2"/>
  <c r="G5" i="2" s="1"/>
  <c r="I13" i="2"/>
  <c r="G13" i="2" s="1"/>
  <c r="I6" i="2"/>
  <c r="G6" i="2" s="1"/>
  <c r="I14" i="2"/>
  <c r="G14" i="2" s="1"/>
  <c r="I12" i="2"/>
  <c r="M42" i="2"/>
  <c r="I7" i="2"/>
  <c r="G7" i="2" s="1"/>
  <c r="I15" i="2"/>
  <c r="I8" i="2"/>
  <c r="M38" i="2"/>
  <c r="M28" i="2"/>
  <c r="M43" i="2"/>
  <c r="M31" i="2"/>
  <c r="C51" i="17"/>
  <c r="D51" i="17" s="1"/>
  <c r="O106" i="2"/>
  <c r="N104" i="2"/>
  <c r="G104" i="2" s="1"/>
  <c r="J39" i="2"/>
  <c r="J38" i="2"/>
  <c r="O29" i="2"/>
  <c r="I30" i="2"/>
  <c r="I38" i="2"/>
  <c r="N29" i="2"/>
  <c r="N30" i="2"/>
  <c r="J18" i="2"/>
  <c r="N39" i="2"/>
  <c r="O30" i="2"/>
  <c r="N38" i="2"/>
  <c r="O38" i="2"/>
  <c r="O39" i="2"/>
  <c r="N42" i="2"/>
  <c r="O42" i="2"/>
  <c r="N43" i="2"/>
  <c r="O43" i="2"/>
  <c r="N28" i="2"/>
  <c r="J17" i="2"/>
  <c r="J11" i="2"/>
  <c r="J16" i="2"/>
  <c r="G16" i="2" s="1"/>
  <c r="J12" i="2"/>
  <c r="J4" i="2"/>
  <c r="K15" i="2"/>
  <c r="I214" i="2"/>
  <c r="C30" i="2"/>
  <c r="C28" i="2"/>
  <c r="L2" i="3"/>
  <c r="K2" i="3"/>
  <c r="J2" i="3"/>
  <c r="I2" i="3"/>
  <c r="H2" i="3"/>
  <c r="G2" i="3"/>
  <c r="F2" i="3"/>
  <c r="E2" i="3"/>
  <c r="D2" i="3"/>
  <c r="D7" i="17"/>
  <c r="E7" i="17" s="1"/>
  <c r="C5" i="24" s="1"/>
  <c r="D8" i="17"/>
  <c r="E8" i="17" s="1"/>
  <c r="D9" i="17"/>
  <c r="E9" i="17" s="1"/>
  <c r="D10" i="17"/>
  <c r="E10" i="17" s="1"/>
  <c r="D101" i="17"/>
  <c r="E101" i="17" s="1"/>
  <c r="D211" i="17"/>
  <c r="E211" i="17" s="1"/>
  <c r="D212" i="17"/>
  <c r="E212" i="17" s="1"/>
  <c r="D169" i="17"/>
  <c r="E169" i="17" s="1"/>
  <c r="D179" i="17"/>
  <c r="A94" i="27"/>
  <c r="A96" i="27"/>
  <c r="A95" i="27"/>
  <c r="A93" i="27"/>
  <c r="A88" i="27"/>
  <c r="A87" i="27"/>
  <c r="A91" i="27"/>
  <c r="A90" i="27"/>
  <c r="A89" i="27"/>
  <c r="A92" i="27"/>
  <c r="A86" i="27"/>
  <c r="A84" i="27"/>
  <c r="A82" i="27"/>
  <c r="A81" i="27"/>
  <c r="A80" i="27"/>
  <c r="A79" i="27"/>
  <c r="A78" i="27"/>
  <c r="A75" i="27"/>
  <c r="A76" i="27"/>
  <c r="A77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C2" i="3"/>
  <c r="E6" i="23" l="1"/>
  <c r="E6" i="24"/>
  <c r="E6" i="20"/>
  <c r="E6" i="21"/>
  <c r="C9" i="21"/>
  <c r="C9" i="22"/>
  <c r="C9" i="23"/>
  <c r="C9" i="24"/>
  <c r="C9" i="20"/>
  <c r="C33" i="23"/>
  <c r="C10" i="23"/>
  <c r="C10" i="22"/>
  <c r="C34" i="23"/>
  <c r="C10" i="24"/>
  <c r="C10" i="20"/>
  <c r="C7" i="20"/>
  <c r="C31" i="23"/>
  <c r="C7" i="21"/>
  <c r="C7" i="22"/>
  <c r="C8" i="22"/>
  <c r="C8" i="21"/>
  <c r="E50" i="17"/>
  <c r="E6" i="22"/>
  <c r="E164" i="17"/>
  <c r="E14" i="23"/>
  <c r="E14" i="22"/>
  <c r="E14" i="21"/>
  <c r="E14" i="24"/>
  <c r="E14" i="20"/>
  <c r="E38" i="23"/>
  <c r="E5" i="24"/>
  <c r="C32" i="23"/>
  <c r="C8" i="20"/>
  <c r="C8" i="23"/>
  <c r="D13" i="25"/>
  <c r="D27" i="25" s="1"/>
  <c r="E13" i="25"/>
  <c r="E27" i="25" s="1"/>
  <c r="E12" i="29" s="1"/>
  <c r="F12" i="29" s="1"/>
  <c r="C13" i="25"/>
  <c r="C27" i="25" s="1"/>
  <c r="L16" i="3"/>
  <c r="D37" i="25"/>
  <c r="D51" i="25" s="1"/>
  <c r="C37" i="25"/>
  <c r="C51" i="25" s="1"/>
  <c r="E37" i="25"/>
  <c r="E51" i="25" s="1"/>
  <c r="C37" i="26"/>
  <c r="E37" i="26"/>
  <c r="E51" i="26" s="1"/>
  <c r="D37" i="26"/>
  <c r="D51" i="26" s="1"/>
  <c r="C51" i="26"/>
  <c r="E13" i="26"/>
  <c r="E27" i="26" s="1"/>
  <c r="E11" i="29" s="1"/>
  <c r="F11" i="29" s="1"/>
  <c r="D13" i="26"/>
  <c r="D27" i="26" s="1"/>
  <c r="C13" i="26"/>
  <c r="C27" i="26" s="1"/>
  <c r="E13" i="24"/>
  <c r="C13" i="24"/>
  <c r="D13" i="24"/>
  <c r="D27" i="24" s="1"/>
  <c r="E37" i="24"/>
  <c r="E51" i="24" s="1"/>
  <c r="D37" i="24"/>
  <c r="D51" i="24" s="1"/>
  <c r="C37" i="24"/>
  <c r="C51" i="24" s="1"/>
  <c r="J16" i="3"/>
  <c r="C13" i="22"/>
  <c r="D37" i="22"/>
  <c r="D51" i="22" s="1"/>
  <c r="E37" i="22"/>
  <c r="E51" i="22" s="1"/>
  <c r="C37" i="22"/>
  <c r="C51" i="22" s="1"/>
  <c r="E13" i="22"/>
  <c r="D27" i="22"/>
  <c r="E13" i="21"/>
  <c r="D27" i="21"/>
  <c r="H16" i="3"/>
  <c r="E37" i="21"/>
  <c r="E51" i="21" s="1"/>
  <c r="C37" i="21"/>
  <c r="C51" i="21" s="1"/>
  <c r="D37" i="21"/>
  <c r="D51" i="21"/>
  <c r="D51" i="23"/>
  <c r="G16" i="3"/>
  <c r="E37" i="20"/>
  <c r="D37" i="20"/>
  <c r="D51" i="20" s="1"/>
  <c r="C37" i="20"/>
  <c r="C51" i="20"/>
  <c r="E51" i="20"/>
  <c r="C12" i="19"/>
  <c r="E12" i="19"/>
  <c r="H45" i="2"/>
  <c r="G40" i="2"/>
  <c r="F40" i="2" s="1"/>
  <c r="G105" i="2"/>
  <c r="H105" i="2" s="1"/>
  <c r="G41" i="2"/>
  <c r="H40" i="2"/>
  <c r="G42" i="2"/>
  <c r="H42" i="2" s="1"/>
  <c r="B54" i="18"/>
  <c r="C63" i="18"/>
  <c r="D60" i="18"/>
  <c r="C60" i="18"/>
  <c r="C62" i="18"/>
  <c r="D56" i="18"/>
  <c r="E60" i="18"/>
  <c r="B54" i="5"/>
  <c r="E62" i="18"/>
  <c r="E56" i="18"/>
  <c r="D62" i="18"/>
  <c r="E61" i="18"/>
  <c r="E63" i="18"/>
  <c r="J4" i="29" s="1"/>
  <c r="E55" i="18"/>
  <c r="D61" i="18"/>
  <c r="C56" i="18"/>
  <c r="D63" i="18"/>
  <c r="C61" i="18"/>
  <c r="G39" i="2"/>
  <c r="G38" i="2"/>
  <c r="G29" i="2"/>
  <c r="H29" i="2" s="1"/>
  <c r="G31" i="2"/>
  <c r="H31" i="2" s="1"/>
  <c r="G28" i="2"/>
  <c r="F28" i="2" s="1"/>
  <c r="G43" i="2"/>
  <c r="E57" i="18" s="1"/>
  <c r="H89" i="2"/>
  <c r="F89" i="2"/>
  <c r="H90" i="2"/>
  <c r="F90" i="2"/>
  <c r="H92" i="2"/>
  <c r="F92" i="2"/>
  <c r="H91" i="2"/>
  <c r="F44" i="2"/>
  <c r="H44" i="2"/>
  <c r="G10" i="2"/>
  <c r="H10" i="2" s="1"/>
  <c r="G93" i="2"/>
  <c r="F93" i="2" s="1"/>
  <c r="E55" i="5"/>
  <c r="C56" i="5"/>
  <c r="D56" i="5"/>
  <c r="E56" i="5"/>
  <c r="E62" i="5"/>
  <c r="C61" i="5"/>
  <c r="D61" i="5"/>
  <c r="E61" i="5"/>
  <c r="C62" i="5"/>
  <c r="D62" i="5"/>
  <c r="E63" i="5"/>
  <c r="E60" i="5"/>
  <c r="F22" i="2"/>
  <c r="H22" i="2"/>
  <c r="G21" i="2"/>
  <c r="G23" i="2"/>
  <c r="E13" i="18"/>
  <c r="E27" i="18" s="1"/>
  <c r="D13" i="18"/>
  <c r="D27" i="18" s="1"/>
  <c r="C13" i="18"/>
  <c r="C27" i="18" s="1"/>
  <c r="B27" i="18" s="1"/>
  <c r="E37" i="18"/>
  <c r="E51" i="18" s="1"/>
  <c r="D37" i="18"/>
  <c r="D51" i="18" s="1"/>
  <c r="C37" i="18"/>
  <c r="C51" i="18" s="1"/>
  <c r="E37" i="19"/>
  <c r="E51" i="19" s="1"/>
  <c r="D37" i="19"/>
  <c r="D51" i="19" s="1"/>
  <c r="C37" i="19"/>
  <c r="C51" i="19" s="1"/>
  <c r="E13" i="19"/>
  <c r="D13" i="19"/>
  <c r="C13" i="19"/>
  <c r="D13" i="20"/>
  <c r="E13" i="20"/>
  <c r="C13" i="20"/>
  <c r="E13" i="23"/>
  <c r="C13" i="23"/>
  <c r="D13" i="23"/>
  <c r="D5" i="20"/>
  <c r="C5" i="23"/>
  <c r="E5" i="23"/>
  <c r="D5" i="23"/>
  <c r="E5" i="19"/>
  <c r="D5" i="19"/>
  <c r="C5" i="19"/>
  <c r="B25" i="20"/>
  <c r="E13" i="5"/>
  <c r="E27" i="5" s="1"/>
  <c r="D13" i="5"/>
  <c r="D27" i="5" s="1"/>
  <c r="C13" i="5"/>
  <c r="E37" i="5"/>
  <c r="E51" i="5" s="1"/>
  <c r="C37" i="5"/>
  <c r="D37" i="5"/>
  <c r="D51" i="5" s="1"/>
  <c r="H88" i="2"/>
  <c r="C63" i="5" s="1"/>
  <c r="F88" i="2"/>
  <c r="D63" i="5" s="1"/>
  <c r="G8" i="2"/>
  <c r="H5" i="2"/>
  <c r="F5" i="2"/>
  <c r="H9" i="2"/>
  <c r="F9" i="2"/>
  <c r="H69" i="2"/>
  <c r="F69" i="2"/>
  <c r="H81" i="2"/>
  <c r="F81" i="2"/>
  <c r="H19" i="2"/>
  <c r="F19" i="2"/>
  <c r="H66" i="2"/>
  <c r="F66" i="2"/>
  <c r="H71" i="2"/>
  <c r="F71" i="2"/>
  <c r="H104" i="2"/>
  <c r="C55" i="5" s="1"/>
  <c r="F104" i="2"/>
  <c r="D55" i="5" s="1"/>
  <c r="H6" i="2"/>
  <c r="F6" i="2"/>
  <c r="H83" i="2"/>
  <c r="F83" i="2"/>
  <c r="H70" i="2"/>
  <c r="F70" i="2"/>
  <c r="H7" i="2"/>
  <c r="F7" i="2"/>
  <c r="F105" i="2"/>
  <c r="H65" i="2"/>
  <c r="C60" i="5" s="1"/>
  <c r="F65" i="2"/>
  <c r="D60" i="5" s="1"/>
  <c r="H46" i="2"/>
  <c r="F46" i="2"/>
  <c r="H14" i="2"/>
  <c r="F14" i="2"/>
  <c r="H16" i="2"/>
  <c r="F16" i="2"/>
  <c r="H13" i="2"/>
  <c r="F13" i="2"/>
  <c r="H68" i="2"/>
  <c r="F68" i="2"/>
  <c r="H32" i="2"/>
  <c r="F32" i="2"/>
  <c r="B25" i="23"/>
  <c r="G4" i="2"/>
  <c r="G11" i="2"/>
  <c r="H67" i="2"/>
  <c r="E49" i="17"/>
  <c r="E51" i="17"/>
  <c r="E179" i="17"/>
  <c r="G17" i="2"/>
  <c r="G18" i="2"/>
  <c r="G15" i="2"/>
  <c r="G12" i="2"/>
  <c r="B25" i="19"/>
  <c r="D6" i="17"/>
  <c r="D106" i="17"/>
  <c r="E106" i="17" s="1"/>
  <c r="N106" i="2"/>
  <c r="G106" i="2" s="1"/>
  <c r="F106" i="2" s="1"/>
  <c r="J214" i="2"/>
  <c r="D5" i="17"/>
  <c r="E5" i="17" s="1"/>
  <c r="D61" i="17"/>
  <c r="E61" i="17" s="1"/>
  <c r="D92" i="17"/>
  <c r="C193" i="17"/>
  <c r="D193" i="17" s="1"/>
  <c r="E193" i="17" s="1"/>
  <c r="C195" i="17"/>
  <c r="C192" i="17"/>
  <c r="C191" i="17"/>
  <c r="D191" i="17" s="1"/>
  <c r="E191" i="17" s="1"/>
  <c r="C194" i="17"/>
  <c r="D96" i="17" s="1"/>
  <c r="E96" i="17" s="1"/>
  <c r="C6" i="22" l="1"/>
  <c r="E70" i="26"/>
  <c r="D27" i="20"/>
  <c r="E6" i="17"/>
  <c r="E30" i="23"/>
  <c r="E5" i="20"/>
  <c r="C15" i="3"/>
  <c r="C17" i="3" s="1"/>
  <c r="L15" i="3"/>
  <c r="L17" i="3" s="1"/>
  <c r="E70" i="25"/>
  <c r="C6" i="24"/>
  <c r="C6" i="21"/>
  <c r="C6" i="23"/>
  <c r="C6" i="20"/>
  <c r="C14" i="23"/>
  <c r="C14" i="24"/>
  <c r="C14" i="20"/>
  <c r="C14" i="22"/>
  <c r="C38" i="23"/>
  <c r="C14" i="21"/>
  <c r="K15" i="3"/>
  <c r="D15" i="3"/>
  <c r="D17" i="3" s="1"/>
  <c r="E3" i="29"/>
  <c r="F3" i="29" s="1"/>
  <c r="F42" i="2"/>
  <c r="F41" i="2"/>
  <c r="H41" i="2"/>
  <c r="E58" i="18"/>
  <c r="C55" i="18"/>
  <c r="D55" i="18"/>
  <c r="E54" i="18"/>
  <c r="C54" i="18"/>
  <c r="D54" i="18"/>
  <c r="M6" i="29"/>
  <c r="M7" i="29"/>
  <c r="J3" i="29"/>
  <c r="M5" i="29"/>
  <c r="F10" i="2"/>
  <c r="H93" i="2"/>
  <c r="E57" i="5"/>
  <c r="E59" i="5"/>
  <c r="E58" i="5"/>
  <c r="C59" i="5"/>
  <c r="F23" i="2"/>
  <c r="H23" i="2"/>
  <c r="F21" i="2"/>
  <c r="D54" i="5" s="1"/>
  <c r="H21" i="2"/>
  <c r="E27" i="19"/>
  <c r="E15" i="3" s="1"/>
  <c r="C27" i="19"/>
  <c r="D27" i="19"/>
  <c r="D27" i="23"/>
  <c r="E92" i="17"/>
  <c r="E54" i="5"/>
  <c r="H28" i="2"/>
  <c r="H18" i="2"/>
  <c r="F18" i="2"/>
  <c r="H30" i="2"/>
  <c r="F30" i="2"/>
  <c r="H17" i="2"/>
  <c r="F17" i="2"/>
  <c r="H38" i="2"/>
  <c r="F38" i="2"/>
  <c r="F31" i="2"/>
  <c r="F29" i="2"/>
  <c r="H39" i="2"/>
  <c r="F39" i="2"/>
  <c r="H12" i="2"/>
  <c r="F12" i="2"/>
  <c r="H11" i="2"/>
  <c r="F11" i="2"/>
  <c r="H4" i="2"/>
  <c r="F4" i="2"/>
  <c r="H15" i="2"/>
  <c r="F15" i="2"/>
  <c r="H8" i="2"/>
  <c r="F8" i="2"/>
  <c r="H43" i="2"/>
  <c r="F43" i="2"/>
  <c r="B27" i="25"/>
  <c r="H106" i="2"/>
  <c r="D94" i="17"/>
  <c r="E94" i="17" s="1"/>
  <c r="D95" i="17"/>
  <c r="E95" i="17" s="1"/>
  <c r="C190" i="17"/>
  <c r="D190" i="17" s="1"/>
  <c r="E190" i="17" s="1"/>
  <c r="D194" i="17"/>
  <c r="E194" i="17" s="1"/>
  <c r="C196" i="17"/>
  <c r="C197" i="17"/>
  <c r="D110" i="17"/>
  <c r="E110" i="17" s="1"/>
  <c r="D58" i="17"/>
  <c r="E58" i="17" s="1"/>
  <c r="D104" i="17"/>
  <c r="E104" i="17" s="1"/>
  <c r="D192" i="17"/>
  <c r="E192" i="17" s="1"/>
  <c r="C178" i="17"/>
  <c r="D178" i="17" s="1"/>
  <c r="E178" i="17" s="1"/>
  <c r="D195" i="17"/>
  <c r="E195" i="17" s="1"/>
  <c r="D105" i="17"/>
  <c r="E105" i="17" s="1"/>
  <c r="D103" i="17"/>
  <c r="D73" i="17"/>
  <c r="D102" i="17"/>
  <c r="D57" i="17"/>
  <c r="D170" i="17"/>
  <c r="E170" i="17" s="1"/>
  <c r="D131" i="17"/>
  <c r="E131" i="17" s="1"/>
  <c r="D74" i="17"/>
  <c r="E74" i="17" s="1"/>
  <c r="D60" i="17"/>
  <c r="E60" i="17" s="1"/>
  <c r="L24" i="3" l="1"/>
  <c r="L18" i="3" s="1"/>
  <c r="E11" i="21"/>
  <c r="E11" i="23"/>
  <c r="E11" i="22"/>
  <c r="E70" i="19"/>
  <c r="E57" i="17"/>
  <c r="C7" i="23" s="1"/>
  <c r="E7" i="23"/>
  <c r="E103" i="17"/>
  <c r="E11" i="24"/>
  <c r="E35" i="23"/>
  <c r="E11" i="20"/>
  <c r="C30" i="23"/>
  <c r="C5" i="20"/>
  <c r="E73" i="17"/>
  <c r="C8" i="24" s="1"/>
  <c r="E8" i="24"/>
  <c r="K17" i="3"/>
  <c r="K24" i="3"/>
  <c r="K18" i="3" s="1"/>
  <c r="E24" i="3"/>
  <c r="E17" i="3"/>
  <c r="E5" i="29"/>
  <c r="F5" i="29" s="1"/>
  <c r="M15" i="29"/>
  <c r="C57" i="5"/>
  <c r="E67" i="18"/>
  <c r="E70" i="18" s="1"/>
  <c r="D57" i="18"/>
  <c r="D58" i="18"/>
  <c r="C58" i="18"/>
  <c r="C57" i="18"/>
  <c r="D59" i="5"/>
  <c r="C54" i="5"/>
  <c r="D57" i="5"/>
  <c r="D58" i="5"/>
  <c r="E102" i="17"/>
  <c r="E67" i="5"/>
  <c r="B70" i="25"/>
  <c r="K25" i="3"/>
  <c r="K26" i="3" s="1"/>
  <c r="B67" i="19"/>
  <c r="C177" i="17"/>
  <c r="D177" i="17" s="1"/>
  <c r="E177" i="17" s="1"/>
  <c r="D196" i="17"/>
  <c r="E196" i="17" s="1"/>
  <c r="C199" i="17"/>
  <c r="D199" i="17" s="1"/>
  <c r="E199" i="17" s="1"/>
  <c r="C200" i="17"/>
  <c r="D200" i="17" s="1"/>
  <c r="E200" i="17" s="1"/>
  <c r="C198" i="17"/>
  <c r="D197" i="17"/>
  <c r="E197" i="17" s="1"/>
  <c r="C201" i="17"/>
  <c r="C189" i="17"/>
  <c r="C187" i="17"/>
  <c r="D187" i="17" s="1"/>
  <c r="E187" i="17" s="1"/>
  <c r="C188" i="17"/>
  <c r="C11" i="21" l="1"/>
  <c r="C11" i="23"/>
  <c r="C11" i="22"/>
  <c r="C35" i="23"/>
  <c r="C11" i="24"/>
  <c r="C11" i="20"/>
  <c r="C14" i="3"/>
  <c r="C24" i="3" s="1"/>
  <c r="E70" i="5"/>
  <c r="L3" i="29"/>
  <c r="M3" i="29" s="1"/>
  <c r="E18" i="3"/>
  <c r="L4" i="29"/>
  <c r="M4" i="29" s="1"/>
  <c r="D14" i="3"/>
  <c r="D16" i="3" s="1"/>
  <c r="C67" i="18"/>
  <c r="B67" i="18"/>
  <c r="B70" i="18" s="1"/>
  <c r="D67" i="18"/>
  <c r="D67" i="5"/>
  <c r="C67" i="5"/>
  <c r="B67" i="5"/>
  <c r="B67" i="23"/>
  <c r="C51" i="5"/>
  <c r="B51" i="5" s="1"/>
  <c r="E4" i="29"/>
  <c r="F4" i="29" s="1"/>
  <c r="C27" i="5"/>
  <c r="B27" i="5" s="1"/>
  <c r="L25" i="3"/>
  <c r="L26" i="3" s="1"/>
  <c r="C171" i="17"/>
  <c r="D171" i="17" s="1"/>
  <c r="E171" i="17" s="1"/>
  <c r="D155" i="17"/>
  <c r="E155" i="17" s="1"/>
  <c r="D154" i="17"/>
  <c r="E154" i="17" s="1"/>
  <c r="D147" i="17"/>
  <c r="E147" i="17" s="1"/>
  <c r="D150" i="17"/>
  <c r="D146" i="17"/>
  <c r="D148" i="17"/>
  <c r="E148" i="17" s="1"/>
  <c r="D149" i="17"/>
  <c r="E149" i="17" s="1"/>
  <c r="D156" i="17"/>
  <c r="E156" i="17" s="1"/>
  <c r="D153" i="17"/>
  <c r="D157" i="17"/>
  <c r="E157" i="17" s="1"/>
  <c r="C172" i="17"/>
  <c r="D172" i="17" s="1"/>
  <c r="E172" i="17" s="1"/>
  <c r="D198" i="17"/>
  <c r="E198" i="17" s="1"/>
  <c r="C174" i="17"/>
  <c r="D174" i="17" s="1"/>
  <c r="E174" i="17" s="1"/>
  <c r="D188" i="17"/>
  <c r="E188" i="17" s="1"/>
  <c r="C175" i="17"/>
  <c r="D175" i="17" s="1"/>
  <c r="E175" i="17" s="1"/>
  <c r="C176" i="17"/>
  <c r="D176" i="17" s="1"/>
  <c r="E176" i="17" s="1"/>
  <c r="D189" i="17"/>
  <c r="E189" i="17" s="1"/>
  <c r="C173" i="17"/>
  <c r="D173" i="17" s="1"/>
  <c r="E173" i="17" s="1"/>
  <c r="D201" i="17"/>
  <c r="E201" i="17" s="1"/>
  <c r="C18" i="3" l="1"/>
  <c r="E16" i="24"/>
  <c r="E16" i="23"/>
  <c r="E16" i="22"/>
  <c r="E40" i="23"/>
  <c r="E16" i="21"/>
  <c r="E16" i="20"/>
  <c r="E15" i="21"/>
  <c r="E15" i="23"/>
  <c r="E15" i="22"/>
  <c r="E150" i="17"/>
  <c r="E15" i="20"/>
  <c r="E39" i="23"/>
  <c r="E15" i="24"/>
  <c r="E27" i="24" s="1"/>
  <c r="C16" i="3"/>
  <c r="D24" i="3"/>
  <c r="D25" i="3"/>
  <c r="D26" i="3" s="1"/>
  <c r="B70" i="5"/>
  <c r="E153" i="17"/>
  <c r="E146" i="17"/>
  <c r="E51" i="23" l="1"/>
  <c r="E27" i="20"/>
  <c r="E10" i="29"/>
  <c r="F10" i="29" s="1"/>
  <c r="J15" i="3"/>
  <c r="E70" i="24"/>
  <c r="E27" i="22"/>
  <c r="C15" i="22"/>
  <c r="C15" i="21"/>
  <c r="C15" i="23"/>
  <c r="C16" i="21"/>
  <c r="C16" i="24"/>
  <c r="C16" i="23"/>
  <c r="C16" i="20"/>
  <c r="C16" i="22"/>
  <c r="C40" i="23"/>
  <c r="C39" i="23"/>
  <c r="C15" i="24"/>
  <c r="C15" i="20"/>
  <c r="E27" i="23"/>
  <c r="E70" i="23" s="1"/>
  <c r="E27" i="21"/>
  <c r="D18" i="3"/>
  <c r="R16" i="3"/>
  <c r="B27" i="19"/>
  <c r="C2" i="4"/>
  <c r="F15" i="3" l="1"/>
  <c r="E70" i="20"/>
  <c r="E6" i="29"/>
  <c r="F6" i="29" s="1"/>
  <c r="C27" i="21"/>
  <c r="B27" i="21" s="1"/>
  <c r="B70" i="21" s="1"/>
  <c r="H25" i="3" s="1"/>
  <c r="H26" i="3" s="1"/>
  <c r="C27" i="22"/>
  <c r="B27" i="22" s="1"/>
  <c r="B70" i="22" s="1"/>
  <c r="I25" i="3" s="1"/>
  <c r="I26" i="3" s="1"/>
  <c r="C27" i="23"/>
  <c r="C51" i="23"/>
  <c r="B51" i="23" s="1"/>
  <c r="E8" i="29"/>
  <c r="F8" i="29" s="1"/>
  <c r="H15" i="3"/>
  <c r="E70" i="21"/>
  <c r="E7" i="29"/>
  <c r="F7" i="29" s="1"/>
  <c r="G15" i="3"/>
  <c r="C27" i="24"/>
  <c r="B27" i="24" s="1"/>
  <c r="B70" i="24" s="1"/>
  <c r="J25" i="3" s="1"/>
  <c r="J26" i="3" s="1"/>
  <c r="J17" i="3"/>
  <c r="J24" i="3"/>
  <c r="J18" i="3" s="1"/>
  <c r="E70" i="22"/>
  <c r="E9" i="29"/>
  <c r="F9" i="29" s="1"/>
  <c r="I15" i="3"/>
  <c r="C27" i="20"/>
  <c r="B27" i="23"/>
  <c r="B70" i="19"/>
  <c r="F17" i="3" l="1"/>
  <c r="F24" i="3"/>
  <c r="M14" i="29"/>
  <c r="M16" i="29" s="1"/>
  <c r="M17" i="29" s="1"/>
  <c r="H17" i="3"/>
  <c r="H24" i="3"/>
  <c r="H18" i="3" s="1"/>
  <c r="G17" i="3"/>
  <c r="G24" i="3"/>
  <c r="G18" i="3" s="1"/>
  <c r="I17" i="3"/>
  <c r="I24" i="3"/>
  <c r="I18" i="3" s="1"/>
  <c r="B27" i="20"/>
  <c r="B70" i="20" s="1"/>
  <c r="B70" i="23"/>
  <c r="E25" i="3"/>
  <c r="E26" i="3" s="1"/>
  <c r="F18" i="3" l="1"/>
  <c r="R18" i="3" s="1"/>
  <c r="R3" i="3"/>
  <c r="R17" i="3"/>
  <c r="R5" i="3"/>
  <c r="R4" i="3"/>
  <c r="R7" i="3"/>
  <c r="R6" i="3"/>
  <c r="F25" i="3"/>
  <c r="F26" i="3" s="1"/>
  <c r="G25" i="3"/>
  <c r="G26" i="3" s="1"/>
  <c r="R19" i="3" l="1"/>
  <c r="R20" i="3" s="1"/>
  <c r="R22" i="3" s="1"/>
  <c r="C25" i="3"/>
  <c r="C26" i="3" s="1"/>
  <c r="R23" i="3" l="1"/>
</calcChain>
</file>

<file path=xl/sharedStrings.xml><?xml version="1.0" encoding="utf-8"?>
<sst xmlns="http://schemas.openxmlformats.org/spreadsheetml/2006/main" count="3095" uniqueCount="1101">
  <si>
    <t>Account / Project Details</t>
  </si>
  <si>
    <t>Description</t>
  </si>
  <si>
    <t>Notes</t>
  </si>
  <si>
    <t>Account Name</t>
  </si>
  <si>
    <t xml:space="preserve">Match Google Account Name </t>
  </si>
  <si>
    <t>Legal Account Name</t>
  </si>
  <si>
    <t>Legal name of the facility (only needed with A&amp;E)</t>
  </si>
  <si>
    <t>Account Address</t>
  </si>
  <si>
    <t>Match Address from Google</t>
  </si>
  <si>
    <t>Project Name</t>
  </si>
  <si>
    <t>Match Project Description from CD Drawings</t>
  </si>
  <si>
    <t>Room Type</t>
  </si>
  <si>
    <t>Construction Type</t>
  </si>
  <si>
    <t>RFI Due Date</t>
  </si>
  <si>
    <t>Bid Due Date</t>
  </si>
  <si>
    <t>Construction Details</t>
  </si>
  <si>
    <t>Takeoff or Hard Bids?</t>
  </si>
  <si>
    <t>Major Exclusions?</t>
  </si>
  <si>
    <t>Proposed Phasing?</t>
  </si>
  <si>
    <t>Below Slab Accessible?</t>
  </si>
  <si>
    <t>Any Floors Above?</t>
  </si>
  <si>
    <t>Deck Height</t>
  </si>
  <si>
    <t>Ceiling Height</t>
  </si>
  <si>
    <t>Nurse Call Vendor</t>
  </si>
  <si>
    <t>Mechanical Controls Vendor</t>
  </si>
  <si>
    <t>Preferred Data Vendor</t>
  </si>
  <si>
    <t>Preferred MEP Vendors</t>
  </si>
  <si>
    <t>Preferred Sprinkler Vendor</t>
  </si>
  <si>
    <t>Preferred Fire Alarm Vendor</t>
  </si>
  <si>
    <t>Any other site specific vendors?</t>
  </si>
  <si>
    <t>Link to Drawings</t>
  </si>
  <si>
    <t>Link to Scope of Work Notes</t>
  </si>
  <si>
    <t>Link to Pictures</t>
  </si>
  <si>
    <t>General Scope of Work</t>
  </si>
  <si>
    <t>Mechanical Scope of Work</t>
  </si>
  <si>
    <t>Electrical Scope of Work</t>
  </si>
  <si>
    <t>Plumbing / Med-Gas Scope of Work</t>
  </si>
  <si>
    <t>Quote Details</t>
  </si>
  <si>
    <t>Pricing Display</t>
  </si>
  <si>
    <t>Quoting Format</t>
  </si>
  <si>
    <t>Deposit?</t>
  </si>
  <si>
    <t>Design Contingency?</t>
  </si>
  <si>
    <t>Construction Contingency?</t>
  </si>
  <si>
    <t>Account Contact Details</t>
  </si>
  <si>
    <t>Name</t>
  </si>
  <si>
    <t>Phone #</t>
  </si>
  <si>
    <t>Email Address</t>
  </si>
  <si>
    <t>Project Champion</t>
  </si>
  <si>
    <t>Project Manager</t>
  </si>
  <si>
    <t>Clinical Leader</t>
  </si>
  <si>
    <t>Invoicing</t>
  </si>
  <si>
    <t>Facilities</t>
  </si>
  <si>
    <t>ICRA</t>
  </si>
  <si>
    <t>Safety</t>
  </si>
  <si>
    <t>Equipment Vendor</t>
  </si>
  <si>
    <t>Physicist</t>
  </si>
  <si>
    <t>Architect</t>
  </si>
  <si>
    <t>Engineer</t>
  </si>
  <si>
    <t>Divisions Quoted</t>
  </si>
  <si>
    <t>Construction Quote Details</t>
  </si>
  <si>
    <t>Yes/No?</t>
  </si>
  <si>
    <t>Notes (Note what the scope is per section below)</t>
  </si>
  <si>
    <t>Architectural</t>
  </si>
  <si>
    <t>Engineering</t>
  </si>
  <si>
    <t>Engineering (Structural)</t>
  </si>
  <si>
    <t>Engineering (Civil)</t>
  </si>
  <si>
    <t>General Conditions</t>
  </si>
  <si>
    <t>Demolition</t>
  </si>
  <si>
    <t>Concrete</t>
  </si>
  <si>
    <t>Concrete Coring</t>
  </si>
  <si>
    <t>Masonry</t>
  </si>
  <si>
    <t>Structure</t>
  </si>
  <si>
    <t>Metal Fabrication</t>
  </si>
  <si>
    <t>Millwork</t>
  </si>
  <si>
    <t>Countertops</t>
  </si>
  <si>
    <t>Roofing</t>
  </si>
  <si>
    <t>Doors</t>
  </si>
  <si>
    <t>Auto Openers</t>
  </si>
  <si>
    <t>Windows</t>
  </si>
  <si>
    <t>Storefront</t>
  </si>
  <si>
    <t>Finishes</t>
  </si>
  <si>
    <t>Specialty Finishes</t>
  </si>
  <si>
    <t>Painting</t>
  </si>
  <si>
    <t>Flooring</t>
  </si>
  <si>
    <t>Tile (Ceramic)</t>
  </si>
  <si>
    <t>Signage</t>
  </si>
  <si>
    <t>Window Shades</t>
  </si>
  <si>
    <t>Bathroom Accessories</t>
  </si>
  <si>
    <t>Wall Protection</t>
  </si>
  <si>
    <t>Equipment</t>
  </si>
  <si>
    <t>Furnishings</t>
  </si>
  <si>
    <t>Special Construction</t>
  </si>
  <si>
    <t>Conveying Equipment</t>
  </si>
  <si>
    <t>Sprinklers</t>
  </si>
  <si>
    <t>Plumbing</t>
  </si>
  <si>
    <t>Medical Gas</t>
  </si>
  <si>
    <t>Mechanical</t>
  </si>
  <si>
    <t>Test and Balance</t>
  </si>
  <si>
    <t>Mechanical Controls</t>
  </si>
  <si>
    <t>Electrical</t>
  </si>
  <si>
    <t>Data</t>
  </si>
  <si>
    <t>Nurse Call</t>
  </si>
  <si>
    <t>Fire Alarm</t>
  </si>
  <si>
    <t>Access Controls</t>
  </si>
  <si>
    <t>Ondal SAP Description</t>
  </si>
  <si>
    <t>Price (US$)</t>
  </si>
  <si>
    <t>2022 Pricing</t>
  </si>
  <si>
    <t xml:space="preserve">2025 Pricing </t>
  </si>
  <si>
    <t>Install MediBoom Standard, XL, XXL</t>
  </si>
  <si>
    <t>Install Motorized MediBoom Stand.,XL,XXL</t>
  </si>
  <si>
    <t>Install CEMOR Large Monitor Carrier</t>
  </si>
  <si>
    <t xml:space="preserve">Install MediSpace </t>
  </si>
  <si>
    <t>Install SpacePoint System</t>
  </si>
  <si>
    <t>Install Valia Single Arm Lighting System</t>
  </si>
  <si>
    <t>Install Valia Single Arm Monitor System</t>
  </si>
  <si>
    <t xml:space="preserve">Install Valia Dual Arm Lighting System </t>
  </si>
  <si>
    <t>Install Valia Dual Arm Lighting/Monitor</t>
  </si>
  <si>
    <t>Install Valia Triple Arm Lighting/Monito</t>
  </si>
  <si>
    <t>Remove Existing Equip, Anes, Perf Boom</t>
  </si>
  <si>
    <t>Remove Motorized Equip,Anes,Perf Boom</t>
  </si>
  <si>
    <t>Remove Single Arm System</t>
  </si>
  <si>
    <t>Remove Dual Arm System</t>
  </si>
  <si>
    <t>Remove Triple Arm System</t>
  </si>
  <si>
    <t>Install Basic Integration System</t>
  </si>
  <si>
    <t>Install Advanced Integration System</t>
  </si>
  <si>
    <t>Install Wall Monitor and Cables</t>
  </si>
  <si>
    <t>Installation Labor - Hourly Rate</t>
  </si>
  <si>
    <t>Support Service Labor - Daily Rate</t>
  </si>
  <si>
    <t>Support Service Labor-Weekend Daily Rate</t>
  </si>
  <si>
    <t>Support Service Labor-Holiday Daily Rate</t>
  </si>
  <si>
    <t>Support Service Travel - Two Day</t>
  </si>
  <si>
    <t>Support Service Travel - Three Day</t>
  </si>
  <si>
    <t>Support Service Travel - Four Day</t>
  </si>
  <si>
    <t>Support Service Travel - Five Day</t>
  </si>
  <si>
    <t>Support Svc Travel-72 Hr Notice Surcharg</t>
  </si>
  <si>
    <t>MB Standard, XL,XXL-Extended Warr.-1 yr</t>
  </si>
  <si>
    <t>MB Standard, XL,XXL-Extended Warr.-2 yr</t>
  </si>
  <si>
    <t>MB Standard, XL,XXL-Extended Warr.-3 yr</t>
  </si>
  <si>
    <t>Motorized MediBoom Extended Warranty 1yr</t>
  </si>
  <si>
    <t>Motorized MediBoom Extended Warranty 2yr</t>
  </si>
  <si>
    <t>Motorized MediBoom Extended Warranty 3yr</t>
  </si>
  <si>
    <t>CEMOR Large MC Extended Warranty 1yr</t>
  </si>
  <si>
    <t>CEMOR Large MC Extended Warranty 2yr</t>
  </si>
  <si>
    <t>CEMOR Large MC Extended Warranty 3yr</t>
  </si>
  <si>
    <t>SpacePoint Extended Warranty - 1 Year</t>
  </si>
  <si>
    <t>SpacePoint Extended Warranty - 2 Year</t>
  </si>
  <si>
    <t>SpacePoint Extended Warranty - 3 Year</t>
  </si>
  <si>
    <t>Valia Single,Dual,Triple Arm Ext Warr 1y</t>
  </si>
  <si>
    <t>Valia Single,Dual,Triple Arm Ext Warr 2y</t>
  </si>
  <si>
    <t>Valia Single,Dual,Triple Arm Ext Warr 3y</t>
  </si>
  <si>
    <t>Room Name</t>
  </si>
  <si>
    <t>Phases</t>
  </si>
  <si>
    <t>Config #1</t>
  </si>
  <si>
    <t>Config #2</t>
  </si>
  <si>
    <t>Config #3</t>
  </si>
  <si>
    <t>Config #4</t>
  </si>
  <si>
    <t>Config #5</t>
  </si>
  <si>
    <t>Config #6</t>
  </si>
  <si>
    <t>Config #7</t>
  </si>
  <si>
    <t>Config #8</t>
  </si>
  <si>
    <t>Config #9</t>
  </si>
  <si>
    <t>Config #10</t>
  </si>
  <si>
    <t>Totals</t>
  </si>
  <si>
    <t>Configuration Name</t>
  </si>
  <si>
    <t>Shipping  Per Phase</t>
  </si>
  <si>
    <t>Installation Per Phase</t>
  </si>
  <si>
    <t>Shipping and Installation Total</t>
  </si>
  <si>
    <t>COG Total</t>
  </si>
  <si>
    <t>OR1</t>
  </si>
  <si>
    <t>TOTAL CONFIGURATIONS</t>
  </si>
  <si>
    <t>Simeon COG</t>
  </si>
  <si>
    <t>Ondal COG</t>
  </si>
  <si>
    <t>Ext. Simeon COG</t>
  </si>
  <si>
    <t>Ext. Ondal COG</t>
  </si>
  <si>
    <t xml:space="preserve">Ext. Simeon and Ondal COG </t>
  </si>
  <si>
    <t xml:space="preserve">Ext. Simeon &amp; Ondal COG </t>
  </si>
  <si>
    <t>Tarriffs (10%)</t>
  </si>
  <si>
    <t>Equipment Total</t>
  </si>
  <si>
    <t>Shipping &amp; Install COG</t>
  </si>
  <si>
    <t>Grand Total COG</t>
  </si>
  <si>
    <t>V-- BNL SUPPLIER UNIT COG --V</t>
  </si>
  <si>
    <t>List Price @ 40% CM</t>
  </si>
  <si>
    <t>Simeon and Ondal COG</t>
  </si>
  <si>
    <t>Shipping</t>
  </si>
  <si>
    <t>Installation</t>
  </si>
  <si>
    <t>Total</t>
  </si>
  <si>
    <t>Configuration List Price</t>
  </si>
  <si>
    <t>Ext. Config List Total</t>
  </si>
  <si>
    <t>Boom and Light Details</t>
  </si>
  <si>
    <t>3D Configurations Link</t>
  </si>
  <si>
    <t>Competitor Quotes Link</t>
  </si>
  <si>
    <t>Power Type</t>
  </si>
  <si>
    <t>Gas Connection Type</t>
  </si>
  <si>
    <t>Pricing Displayed</t>
  </si>
  <si>
    <t>Summary Page Details</t>
  </si>
  <si>
    <t>General Notes</t>
  </si>
  <si>
    <t>Additional Items</t>
  </si>
  <si>
    <t>Included?</t>
  </si>
  <si>
    <t>Quote Display</t>
  </si>
  <si>
    <t>Support+ | Promise</t>
  </si>
  <si>
    <t>Support+ | In-Case</t>
  </si>
  <si>
    <t>Support+ | Bio-Med</t>
  </si>
  <si>
    <t>Project Management</t>
  </si>
  <si>
    <t>Divisons Included?</t>
  </si>
  <si>
    <t>Pricing Format</t>
  </si>
  <si>
    <t>Pricing Shown</t>
  </si>
  <si>
    <t>Quantity</t>
  </si>
  <si>
    <t>Feet</t>
  </si>
  <si>
    <t>Inches</t>
  </si>
  <si>
    <t>On-Grade?</t>
  </si>
  <si>
    <t>Floors Above?</t>
  </si>
  <si>
    <t>Deposit</t>
  </si>
  <si>
    <t>HVAC Controls</t>
  </si>
  <si>
    <t>Yes</t>
  </si>
  <si>
    <t xml:space="preserve">Standard </t>
  </si>
  <si>
    <t>Lump Sum</t>
  </si>
  <si>
    <t>1 ft</t>
  </si>
  <si>
    <t>0.5 in</t>
  </si>
  <si>
    <t>No</t>
  </si>
  <si>
    <t>Cath / IR</t>
  </si>
  <si>
    <t>Finishes Refresh</t>
  </si>
  <si>
    <t>No, 0%</t>
  </si>
  <si>
    <t>Hill-Rom</t>
  </si>
  <si>
    <t>Johnson Controls</t>
  </si>
  <si>
    <t>Isolated (Orange Brown)</t>
  </si>
  <si>
    <t>Ohmeda</t>
  </si>
  <si>
    <t xml:space="preserve">Baylor </t>
  </si>
  <si>
    <t>Groups Only</t>
  </si>
  <si>
    <t>2 ft</t>
  </si>
  <si>
    <t>1 in</t>
  </si>
  <si>
    <t>Clinic Support Space</t>
  </si>
  <si>
    <t>Equipment Replacement</t>
  </si>
  <si>
    <t>Yes, 5%</t>
  </si>
  <si>
    <t>Rauland</t>
  </si>
  <si>
    <t>Siemens</t>
  </si>
  <si>
    <t>Non-Isolated (Black/White)</t>
  </si>
  <si>
    <t>Chemetron</t>
  </si>
  <si>
    <t>TBD</t>
  </si>
  <si>
    <t>HCA</t>
  </si>
  <si>
    <t>Line item Pricing</t>
  </si>
  <si>
    <t>3 ft</t>
  </si>
  <si>
    <t>1.5 in</t>
  </si>
  <si>
    <t>CT</t>
  </si>
  <si>
    <t>Space Conversion</t>
  </si>
  <si>
    <t>Yes, 10%</t>
  </si>
  <si>
    <t>Trane</t>
  </si>
  <si>
    <t>Puritan Bennett</t>
  </si>
  <si>
    <t>4 ft</t>
  </si>
  <si>
    <t>2 in</t>
  </si>
  <si>
    <t>Imaging Renovation</t>
  </si>
  <si>
    <t>New Build / Addition</t>
  </si>
  <si>
    <t>Yes, 15%</t>
  </si>
  <si>
    <t>Other</t>
  </si>
  <si>
    <t>DISS</t>
  </si>
  <si>
    <t>5 ft</t>
  </si>
  <si>
    <t>2.5 in</t>
  </si>
  <si>
    <t>Linear Accelerator </t>
  </si>
  <si>
    <t>Yes, 20%</t>
  </si>
  <si>
    <t>6 ft</t>
  </si>
  <si>
    <t>3 in</t>
  </si>
  <si>
    <t>Lobby/Non-Critical</t>
  </si>
  <si>
    <t>Yes, 25%</t>
  </si>
  <si>
    <t>7 ft</t>
  </si>
  <si>
    <t>3.5 in</t>
  </si>
  <si>
    <t>Medical Office Building </t>
  </si>
  <si>
    <t>Yes, 30%</t>
  </si>
  <si>
    <t>8 ft</t>
  </si>
  <si>
    <t>4 in</t>
  </si>
  <si>
    <t>MRI</t>
  </si>
  <si>
    <t>Yes, 35%</t>
  </si>
  <si>
    <t>9 ft</t>
  </si>
  <si>
    <t>4.5 in</t>
  </si>
  <si>
    <t>New Build </t>
  </si>
  <si>
    <t>10 ft</t>
  </si>
  <si>
    <t>5 in</t>
  </si>
  <si>
    <t>OR Renovation</t>
  </si>
  <si>
    <t>11 ft</t>
  </si>
  <si>
    <t>5.5 in</t>
  </si>
  <si>
    <t>12 ft</t>
  </si>
  <si>
    <t>6 in</t>
  </si>
  <si>
    <t>Patient Rooms</t>
  </si>
  <si>
    <t>13 ft</t>
  </si>
  <si>
    <t>6.5 in</t>
  </si>
  <si>
    <t>Pharmacy / Lab </t>
  </si>
  <si>
    <t>14 ft</t>
  </si>
  <si>
    <t>7 in</t>
  </si>
  <si>
    <t>Shell Buildout </t>
  </si>
  <si>
    <t>15 ft</t>
  </si>
  <si>
    <t>7.5 in</t>
  </si>
  <si>
    <t>SPD</t>
  </si>
  <si>
    <t>16 ft</t>
  </si>
  <si>
    <t>8 in</t>
  </si>
  <si>
    <t>Tenant Improvement</t>
  </si>
  <si>
    <t>17 ft</t>
  </si>
  <si>
    <t>8.5 in</t>
  </si>
  <si>
    <t>X-Ray</t>
  </si>
  <si>
    <t>18 ft</t>
  </si>
  <si>
    <t>9 in</t>
  </si>
  <si>
    <t>19 ft</t>
  </si>
  <si>
    <t>9.5 in</t>
  </si>
  <si>
    <t>20 ft</t>
  </si>
  <si>
    <t>10 in</t>
  </si>
  <si>
    <t>10.5 in</t>
  </si>
  <si>
    <t>11 in</t>
  </si>
  <si>
    <t>11.5 in</t>
  </si>
  <si>
    <t>Service Types</t>
  </si>
  <si>
    <t>Service Head Height</t>
  </si>
  <si>
    <t>Rear Selection</t>
  </si>
  <si>
    <t>Connection Type</t>
  </si>
  <si>
    <t>Ceiling Tube</t>
  </si>
  <si>
    <t>Ceiling Cover</t>
  </si>
  <si>
    <t>Articulating</t>
  </si>
  <si>
    <t>(2) Duplexes</t>
  </si>
  <si>
    <t>600mm</t>
  </si>
  <si>
    <t>Data Pass Thru</t>
  </si>
  <si>
    <t>Isolated</t>
  </si>
  <si>
    <t>100mm</t>
  </si>
  <si>
    <t>Single</t>
  </si>
  <si>
    <t>(3) Duplexes</t>
  </si>
  <si>
    <t>800mm</t>
  </si>
  <si>
    <t>Nitrogen Regulator</t>
  </si>
  <si>
    <t>Non-Isolated</t>
  </si>
  <si>
    <t>300mm</t>
  </si>
  <si>
    <t>Tandem (1st Position)</t>
  </si>
  <si>
    <t>Oxygen</t>
  </si>
  <si>
    <t>1000mm</t>
  </si>
  <si>
    <t>500mm</t>
  </si>
  <si>
    <t>Tandem (2nd Position)</t>
  </si>
  <si>
    <t>Medical Air</t>
  </si>
  <si>
    <t>1200mm</t>
  </si>
  <si>
    <t>Nitrous Oxide</t>
  </si>
  <si>
    <t>1400mm</t>
  </si>
  <si>
    <t>Vacuum</t>
  </si>
  <si>
    <t>1600mm</t>
  </si>
  <si>
    <t>Nitrogen</t>
  </si>
  <si>
    <t>Carbon Dioxide</t>
  </si>
  <si>
    <t>WAGD</t>
  </si>
  <si>
    <t>Storz 4in1</t>
  </si>
  <si>
    <t>Blank</t>
  </si>
  <si>
    <t>Base Model</t>
  </si>
  <si>
    <t>Base Model Sales Price</t>
  </si>
  <si>
    <t>Ondal List</t>
  </si>
  <si>
    <t>Ondal Sales</t>
  </si>
  <si>
    <t>Imagine List</t>
  </si>
  <si>
    <t>Ondal Discount</t>
  </si>
  <si>
    <t>Imagine Margin</t>
  </si>
  <si>
    <t xml:space="preserve">Spring </t>
  </si>
  <si>
    <t>Spring XL</t>
  </si>
  <si>
    <t xml:space="preserve">Powered </t>
  </si>
  <si>
    <t>Powered XL</t>
  </si>
  <si>
    <t xml:space="preserve">Fixed </t>
  </si>
  <si>
    <t>Fixed XL</t>
  </si>
  <si>
    <t>Fixed XXL</t>
  </si>
  <si>
    <t>Price Adder</t>
  </si>
  <si>
    <t>Ceiling Flange</t>
  </si>
  <si>
    <t>Top Arm</t>
  </si>
  <si>
    <t>Bottom Arm</t>
  </si>
  <si>
    <t>Service Head</t>
  </si>
  <si>
    <t>Misc</t>
  </si>
  <si>
    <t>Spring</t>
  </si>
  <si>
    <t>400mm</t>
  </si>
  <si>
    <t>100mm XL</t>
  </si>
  <si>
    <t>Powered</t>
  </si>
  <si>
    <t>Fixed</t>
  </si>
  <si>
    <t>Spring - Large Monitor Boom</t>
  </si>
  <si>
    <t>Spring XL - Large Monitor Boom</t>
  </si>
  <si>
    <t>Large Monitor Carrier</t>
  </si>
  <si>
    <t>Powered - 200SH</t>
  </si>
  <si>
    <t>200mm</t>
  </si>
  <si>
    <t>Powered - 600SH</t>
  </si>
  <si>
    <t>Powered - 800SH</t>
  </si>
  <si>
    <t>Powered - 1000SH</t>
  </si>
  <si>
    <t>Powered - N2 Regulator</t>
  </si>
  <si>
    <t>Powered - (3) 500 Shelves</t>
  </si>
  <si>
    <t>Powered - (3) 750 Shelves</t>
  </si>
  <si>
    <t>Powered - 300mm Ceiling Flange</t>
  </si>
  <si>
    <t>Powered - 500mm Ceiling Flange</t>
  </si>
  <si>
    <t>Powered - One O2 Outlet</t>
  </si>
  <si>
    <t>1200mm XL</t>
  </si>
  <si>
    <t>Powered - Two O2 Outlet</t>
  </si>
  <si>
    <t>Powered - Three O2 Outlet</t>
  </si>
  <si>
    <t>Powered - Four O2 Outlet</t>
  </si>
  <si>
    <t>Powered - Four Duplex</t>
  </si>
  <si>
    <t>Powered - Six Duplex</t>
  </si>
  <si>
    <t>Powered - Eight Duplex</t>
  </si>
  <si>
    <t>Powered - Twelve Duplex</t>
  </si>
  <si>
    <t>Powered XL - 300mm XL Ceiling Flange</t>
  </si>
  <si>
    <t>Powered XL - 500mm XL Ceiling Flange</t>
  </si>
  <si>
    <t>Spring XL - 1400mm XL Top Arm</t>
  </si>
  <si>
    <t>Spring XL - 1600mm XL Top Arm</t>
  </si>
  <si>
    <t>Ondal Options</t>
  </si>
  <si>
    <t>Mounting Plate</t>
  </si>
  <si>
    <t>Reducing Ring</t>
  </si>
  <si>
    <t>11-300-603</t>
  </si>
  <si>
    <t>Single Mount (Round)</t>
  </si>
  <si>
    <t>11-300-604</t>
  </si>
  <si>
    <t>Single Mount (Square)</t>
  </si>
  <si>
    <t>11-300-611</t>
  </si>
  <si>
    <t>11-300-612</t>
  </si>
  <si>
    <t>300mm XL</t>
  </si>
  <si>
    <t>500mm XL</t>
  </si>
  <si>
    <t>600mm XL</t>
  </si>
  <si>
    <t>XL</t>
  </si>
  <si>
    <t>800mm XL</t>
  </si>
  <si>
    <t>1000mm XL</t>
  </si>
  <si>
    <t>1400mm XL</t>
  </si>
  <si>
    <t>1600mm XL</t>
  </si>
  <si>
    <t>Powered Articulating</t>
  </si>
  <si>
    <t>Spring Articulating</t>
  </si>
  <si>
    <t>600mm Fixed</t>
  </si>
  <si>
    <t>800mm Fixed</t>
  </si>
  <si>
    <t>1000mm Fixed</t>
  </si>
  <si>
    <t>1200mm Fixed</t>
  </si>
  <si>
    <t>600mm Fixed XL</t>
  </si>
  <si>
    <t>Fixed X</t>
  </si>
  <si>
    <t>800mm Fixed XL</t>
  </si>
  <si>
    <t>1000mm Fixed XL</t>
  </si>
  <si>
    <t>1200mm Fixed XL</t>
  </si>
  <si>
    <t>Column Tube</t>
  </si>
  <si>
    <t>120mm Column Tube</t>
  </si>
  <si>
    <t>200mm Column Tube</t>
  </si>
  <si>
    <t>300mm Column Tube</t>
  </si>
  <si>
    <t>400mm Column Tube</t>
  </si>
  <si>
    <t>500mm Column Tube</t>
  </si>
  <si>
    <t>600mm Column Tube</t>
  </si>
  <si>
    <t>Actual Price</t>
  </si>
  <si>
    <t>200mm Service Head</t>
  </si>
  <si>
    <t>400mm Service Head</t>
  </si>
  <si>
    <t>600mm Service Head</t>
  </si>
  <si>
    <t>800mm Service Head</t>
  </si>
  <si>
    <t>1000mm Service Head</t>
  </si>
  <si>
    <t>Services</t>
  </si>
  <si>
    <t>Shelves</t>
  </si>
  <si>
    <t>Circuits</t>
  </si>
  <si>
    <t>Ondal Accessories</t>
  </si>
  <si>
    <t>Single Drawer for Shelf</t>
  </si>
  <si>
    <t>Double Drawer for Shelf</t>
  </si>
  <si>
    <t>Keyboard Drawer for Shelf</t>
  </si>
  <si>
    <t>Small Basket</t>
  </si>
  <si>
    <t>Small Basket - Deep</t>
  </si>
  <si>
    <t>Universal Hook</t>
  </si>
  <si>
    <t>Oxygen Tank Holder</t>
  </si>
  <si>
    <t>Light (Top Arm or Service Head)</t>
  </si>
  <si>
    <t>Large Monitor Rear Monitor Mounts</t>
  </si>
  <si>
    <t>Multi-Bar Electrical</t>
  </si>
  <si>
    <t>Rails/Shelves</t>
  </si>
  <si>
    <t>Part #</t>
  </si>
  <si>
    <t>Basket (Small)</t>
  </si>
  <si>
    <t>Basket (Small - Deep)</t>
  </si>
  <si>
    <t>Light (Top of Arm)</t>
  </si>
  <si>
    <t>Light (Bottom of Service Head)</t>
  </si>
  <si>
    <t>Light (Bottom/Top)</t>
  </si>
  <si>
    <t>Multi-Function Racks (600mm)</t>
  </si>
  <si>
    <t>Multi-Function Racks (1000mm)</t>
  </si>
  <si>
    <t>Shelf (500mm)</t>
  </si>
  <si>
    <t>Shelf (750mm)</t>
  </si>
  <si>
    <t>Shelf (Handle)</t>
  </si>
  <si>
    <t>Shelf (Drawer - Small)</t>
  </si>
  <si>
    <t>Shelf (Drawer - Double)</t>
  </si>
  <si>
    <t>Shelf (Drawer - Keyboard)</t>
  </si>
  <si>
    <t>Ceiling Covers</t>
  </si>
  <si>
    <t>Mounting Plate (Single)</t>
  </si>
  <si>
    <t>Single Ceiling Cover (50mm Round)</t>
  </si>
  <si>
    <t>Single Ceiling Cover (50mm Square)</t>
  </si>
  <si>
    <t>Single Ceiling Cover (50mm Round with Seal)</t>
  </si>
  <si>
    <t>Mounting Plate (Tandem)</t>
  </si>
  <si>
    <t>Tandem Ceiling Cover</t>
  </si>
  <si>
    <t>Reduction Ring to 127mm</t>
  </si>
  <si>
    <t>MULTIBAR,2 ELEC,1 BLANK,R9010</t>
  </si>
  <si>
    <t>Gas module with assembly of 4 US</t>
  </si>
  <si>
    <t>Cover panel US, VA, 144mm x 70mm</t>
  </si>
  <si>
    <t>Data -module with preparation for 4 US</t>
  </si>
  <si>
    <t>0250099</t>
  </si>
  <si>
    <t>Accessories for Plate</t>
  </si>
  <si>
    <t>Base Model(s)</t>
  </si>
  <si>
    <t>DISCOUNTS</t>
  </si>
  <si>
    <t>MARGIN</t>
  </si>
  <si>
    <t># of Lights</t>
  </si>
  <si>
    <t>TC Mount?</t>
  </si>
  <si>
    <t>Simeon List</t>
  </si>
  <si>
    <t>Simeon Sales</t>
  </si>
  <si>
    <t>Central Axis</t>
  </si>
  <si>
    <t>Turning Cover</t>
  </si>
  <si>
    <t>Surgical Light</t>
  </si>
  <si>
    <t>Camera Systems</t>
  </si>
  <si>
    <t>Exam Lights</t>
  </si>
  <si>
    <t>Client Discount</t>
  </si>
  <si>
    <t>11-100-101</t>
  </si>
  <si>
    <t>LED</t>
  </si>
  <si>
    <t>11-100-102</t>
  </si>
  <si>
    <t>LED / LED</t>
  </si>
  <si>
    <t>11-100-103</t>
  </si>
  <si>
    <t>LED / LED / LED</t>
  </si>
  <si>
    <t>11-100-104</t>
  </si>
  <si>
    <t>LED / FP</t>
  </si>
  <si>
    <t>11-100-105</t>
  </si>
  <si>
    <t>FP / LED</t>
  </si>
  <si>
    <t>11-100-106</t>
  </si>
  <si>
    <t>LED / LED / FP</t>
  </si>
  <si>
    <t>11-100-107</t>
  </si>
  <si>
    <t>FP / LED / FP</t>
  </si>
  <si>
    <t>11-100-108</t>
  </si>
  <si>
    <t>LED / LS</t>
  </si>
  <si>
    <t>11-100-109</t>
  </si>
  <si>
    <t>LED / LED / LS</t>
  </si>
  <si>
    <t>11-100-110</t>
  </si>
  <si>
    <t>FP</t>
  </si>
  <si>
    <t>11-100-111</t>
  </si>
  <si>
    <t>LS</t>
  </si>
  <si>
    <t>11-100-112</t>
  </si>
  <si>
    <t>FP / FP</t>
  </si>
  <si>
    <t>11-100-113</t>
  </si>
  <si>
    <t>LS / LS</t>
  </si>
  <si>
    <t>11-100-114</t>
  </si>
  <si>
    <t>FP / LS</t>
  </si>
  <si>
    <t>11-100-115</t>
  </si>
  <si>
    <t>LS / FP</t>
  </si>
  <si>
    <t>11-100-116</t>
  </si>
  <si>
    <t>(3P) LED</t>
  </si>
  <si>
    <t>11-100-117</t>
  </si>
  <si>
    <t>(3P) LED / LED</t>
  </si>
  <si>
    <t>11-100-118</t>
  </si>
  <si>
    <t>UPGRADE</t>
  </si>
  <si>
    <t>11-100-119</t>
  </si>
  <si>
    <t>UPGRADE / UPGRADE</t>
  </si>
  <si>
    <t>11-100-120</t>
  </si>
  <si>
    <t>UPGRADE / UPGRADE / UPGRADE</t>
  </si>
  <si>
    <t>Priced Option(s)</t>
  </si>
  <si>
    <t>Arm Selections</t>
  </si>
  <si>
    <t>Type</t>
  </si>
  <si>
    <t>Imagine Cost</t>
  </si>
  <si>
    <t>Imagine List Price</t>
  </si>
  <si>
    <t>Spring Arm</t>
  </si>
  <si>
    <t>Lighthead</t>
  </si>
  <si>
    <t>Flat Panel</t>
  </si>
  <si>
    <t>Lead Shield</t>
  </si>
  <si>
    <t>Power Supply</t>
  </si>
  <si>
    <t>Power Cable</t>
  </si>
  <si>
    <t>Control Cable</t>
  </si>
  <si>
    <t>Patch Cable</t>
  </si>
  <si>
    <t>Flat Panel Power Cable</t>
  </si>
  <si>
    <t>11-200-101</t>
  </si>
  <si>
    <t>11-200-102</t>
  </si>
  <si>
    <t>7000 Low Ceiling</t>
  </si>
  <si>
    <t>11-200-103</t>
  </si>
  <si>
    <t>11-200-104</t>
  </si>
  <si>
    <t>8000 Low Ceiling</t>
  </si>
  <si>
    <t>11-200-105</t>
  </si>
  <si>
    <t>32in Flat Panel</t>
  </si>
  <si>
    <t>11-200-106</t>
  </si>
  <si>
    <t>V--  NON-STANDARD  --V</t>
  </si>
  <si>
    <t>11-200-107</t>
  </si>
  <si>
    <t>500 Standard</t>
  </si>
  <si>
    <t>11-200-108</t>
  </si>
  <si>
    <t>500 Low Ceiling</t>
  </si>
  <si>
    <t>11-200-109</t>
  </si>
  <si>
    <t>500 Standard (3P)</t>
  </si>
  <si>
    <t>11-200-110</t>
  </si>
  <si>
    <t>500 Low Ceiling (3P)</t>
  </si>
  <si>
    <t>11-200-111</t>
  </si>
  <si>
    <t>7000 Standard (3P)</t>
  </si>
  <si>
    <t>11-200-112</t>
  </si>
  <si>
    <t>7000 Low Ceiling (3P)</t>
  </si>
  <si>
    <t>11-200-113</t>
  </si>
  <si>
    <t>8000 Standard (3P)</t>
  </si>
  <si>
    <t>11-200-114</t>
  </si>
  <si>
    <t>8000 Low Ceiling (3P)</t>
  </si>
  <si>
    <t>11-200-115</t>
  </si>
  <si>
    <t>11-200-116</t>
  </si>
  <si>
    <t>FP (TC-Ondal)</t>
  </si>
  <si>
    <t>11-200-117</t>
  </si>
  <si>
    <t>4500 Exam Light</t>
  </si>
  <si>
    <t>Ceiling Drop Tubes</t>
  </si>
  <si>
    <t>11-300-001</t>
  </si>
  <si>
    <t>150mm</t>
  </si>
  <si>
    <t>11-300-002</t>
  </si>
  <si>
    <t>11-300-003</t>
  </si>
  <si>
    <t>250mm</t>
  </si>
  <si>
    <t>11-300-004</t>
  </si>
  <si>
    <t>11-300-005</t>
  </si>
  <si>
    <t>350mm</t>
  </si>
  <si>
    <t>11-300-006</t>
  </si>
  <si>
    <t>11-300-007</t>
  </si>
  <si>
    <t>450mm</t>
  </si>
  <si>
    <t>11-300-008</t>
  </si>
  <si>
    <t>11-300-010</t>
  </si>
  <si>
    <t>Upgrade Only</t>
  </si>
  <si>
    <t>11-300-009</t>
  </si>
  <si>
    <t>Ondal TC Flange</t>
  </si>
  <si>
    <t>Wall Control</t>
  </si>
  <si>
    <t>Handle Adapter</t>
  </si>
  <si>
    <t>Lintex Parts</t>
  </si>
  <si>
    <t>Sim.Flex Arms</t>
  </si>
  <si>
    <t>Wall Control Back Box</t>
  </si>
  <si>
    <t>No Wall Control</t>
  </si>
  <si>
    <t>11-300-101</t>
  </si>
  <si>
    <t>Wall Control in Separate Config</t>
  </si>
  <si>
    <t>11-300-102</t>
  </si>
  <si>
    <t>Wall Control (Touch)</t>
  </si>
  <si>
    <t>11-300-103</t>
  </si>
  <si>
    <t>Wall Control (Single)</t>
  </si>
  <si>
    <t>11-300-104</t>
  </si>
  <si>
    <t>Wall Control (Dual)</t>
  </si>
  <si>
    <t>11-300-105</t>
  </si>
  <si>
    <t>Wall Control (Triple)</t>
  </si>
  <si>
    <t>11-300-106</t>
  </si>
  <si>
    <t>Wall Control (Single w/ Cam)</t>
  </si>
  <si>
    <t>11-300-107</t>
  </si>
  <si>
    <t>Wall Control (Dual w/ Cam)</t>
  </si>
  <si>
    <t>11-300-108</t>
  </si>
  <si>
    <t>Wall Control (Triple w/ Cam)</t>
  </si>
  <si>
    <t>Device Control</t>
  </si>
  <si>
    <t>No Integration Control</t>
  </si>
  <si>
    <t>11-300-201</t>
  </si>
  <si>
    <t>Storz Integration Control</t>
  </si>
  <si>
    <t>In-Light Camera</t>
  </si>
  <si>
    <t>Camera Pkg</t>
  </si>
  <si>
    <t>BNC Cable</t>
  </si>
  <si>
    <t>No Camera Prep</t>
  </si>
  <si>
    <t>11-300-301</t>
  </si>
  <si>
    <t>Wired Camera Prep</t>
  </si>
  <si>
    <t>11-300-302</t>
  </si>
  <si>
    <t>Wired Camera</t>
  </si>
  <si>
    <t>11-300-303</t>
  </si>
  <si>
    <t>Wireless Camera</t>
  </si>
  <si>
    <t>Disposable Adapters</t>
  </si>
  <si>
    <t>No Handle Adapter(s)</t>
  </si>
  <si>
    <t>11-300-401</t>
  </si>
  <si>
    <t>(1) Screw-On Adapters</t>
  </si>
  <si>
    <t>(2) Screw-On Adapters</t>
  </si>
  <si>
    <t>(3) Screw-On Adapters</t>
  </si>
  <si>
    <t>(1) Slip-On Adapter</t>
  </si>
  <si>
    <t>(2) Slip-On Adapters</t>
  </si>
  <si>
    <t>11-300-402</t>
  </si>
  <si>
    <t>(3) Slip-On Adapters</t>
  </si>
  <si>
    <t>Sim.Flex Arm(s)</t>
  </si>
  <si>
    <t>Standard Armset</t>
  </si>
  <si>
    <t>11-300-501</t>
  </si>
  <si>
    <t>Sim.Flex (1 Arm)</t>
  </si>
  <si>
    <t>11-300-502</t>
  </si>
  <si>
    <t>Sim.Flex (2 Arms)</t>
  </si>
  <si>
    <t>11-300-503</t>
  </si>
  <si>
    <t>Sim.Flex (3 Arms)</t>
  </si>
  <si>
    <t>Pre-Installation</t>
  </si>
  <si>
    <t>11-300-601</t>
  </si>
  <si>
    <t>Single Mount (Standard)</t>
  </si>
  <si>
    <t>11-300-602</t>
  </si>
  <si>
    <t>Single Mount (Universal)</t>
  </si>
  <si>
    <t>11-300-613</t>
  </si>
  <si>
    <t>11-400-101</t>
  </si>
  <si>
    <t>11-500-101</t>
  </si>
  <si>
    <t>SIMEON PART NUMBERS</t>
  </si>
  <si>
    <t>Single Armsets</t>
  </si>
  <si>
    <t>2025 Simeon List</t>
  </si>
  <si>
    <t>2025 Simeon Sales</t>
  </si>
  <si>
    <t>2024 Simeon List Price</t>
  </si>
  <si>
    <t>2024 Cost of Goods</t>
  </si>
  <si>
    <t>111-0017102</t>
  </si>
  <si>
    <t>Central axis single - 9-pole</t>
  </si>
  <si>
    <t>LED (Standard)</t>
  </si>
  <si>
    <t>111-0017104</t>
  </si>
  <si>
    <t>Central axis single - TFT AC3000</t>
  </si>
  <si>
    <t>FP (Standard)</t>
  </si>
  <si>
    <t>111-0017139 </t>
  </si>
  <si>
    <t>Central axis single - 9-pole SL 1300mm</t>
  </si>
  <si>
    <t>LED (Extended)</t>
  </si>
  <si>
    <t>111-0017156 </t>
  </si>
  <si>
    <t>Central axis single - TFT AC3000 SL 1062mm</t>
  </si>
  <si>
    <t>FP (Extended)</t>
  </si>
  <si>
    <t>111-0017142 </t>
  </si>
  <si>
    <t>Central axis single - 3-pole SL 1040mm</t>
  </si>
  <si>
    <t>LED (3-Pole)</t>
  </si>
  <si>
    <t>Dual Armsets</t>
  </si>
  <si>
    <t>Simeon 2025 List Price</t>
  </si>
  <si>
    <t>2025 Cost of Goods</t>
  </si>
  <si>
    <t>Simeon 2024 List Price</t>
  </si>
  <si>
    <t>111-0017171</t>
  </si>
  <si>
    <t>Central axis double - 9-pole / TFT AC3000</t>
  </si>
  <si>
    <t>FP/LED (Standard)</t>
  </si>
  <si>
    <t>111-0017125</t>
  </si>
  <si>
    <t>Central axis double - 9-pole / 9-pole</t>
  </si>
  <si>
    <t>LED/LED (Standard)</t>
  </si>
  <si>
    <t>111-0017150</t>
  </si>
  <si>
    <t>Central axis double - 9-pole SL 925mm / 9-pole SL 1040mm</t>
  </si>
  <si>
    <t>111-0017222 </t>
  </si>
  <si>
    <t>Central axis double - TFT AC3000 / 9pole</t>
  </si>
  <si>
    <t>LED/FP (Standard)</t>
  </si>
  <si>
    <t>111-0017191 </t>
  </si>
  <si>
    <t>Central axis double - 9-pole SL 925mm / TFT AC3000 SL 1062mm</t>
  </si>
  <si>
    <t>FP/LED (Extended)</t>
  </si>
  <si>
    <t>111-0017164 </t>
  </si>
  <si>
    <t>Central axis double - 9-pole SL 1150mm / 9-pole SL 1300mm</t>
  </si>
  <si>
    <t>LED/LED (Extended)</t>
  </si>
  <si>
    <t>111-0017205 </t>
  </si>
  <si>
    <t>Central axis double - TFT AC3000 SL 822mm / TFT AC3000 SL 1062mm</t>
  </si>
  <si>
    <t>FP/FP (Extended)</t>
  </si>
  <si>
    <t>111-0017145</t>
  </si>
  <si>
    <t>Central axis double - 3-pole SL 925mm / 3-pole SL 1040mm</t>
  </si>
  <si>
    <t>Triple Armsets</t>
  </si>
  <si>
    <t>111-0017126</t>
  </si>
  <si>
    <t>Central axis triple - 9-pole / 9-pole / 9-pole</t>
  </si>
  <si>
    <t>LED/LED/LED (Standard)</t>
  </si>
  <si>
    <t>111-0017181 </t>
  </si>
  <si>
    <t>Central axis triple - 9-pole / 9-pole / TFT AC3000</t>
  </si>
  <si>
    <t>FP/LED/LED (Standard)</t>
  </si>
  <si>
    <t>111-0017132 </t>
  </si>
  <si>
    <t>Central axis triple - TFT AC3000 / 9-pole / 9-pole</t>
  </si>
  <si>
    <t>LED/LED/FP (Standard)</t>
  </si>
  <si>
    <t>111-0017194</t>
  </si>
  <si>
    <t>Central axis triple - TFT AC3000 / 9-pole / TFT AC3000</t>
  </si>
  <si>
    <t>FP/LED/FP (Standard)</t>
  </si>
  <si>
    <t>111-0017163 </t>
  </si>
  <si>
    <t>Central axis triple - 9-pole SL 925mm / 9-pole SL 1040mm / 9-pole SL 1150mm</t>
  </si>
  <si>
    <t>LED/LED/LED (Extended)</t>
  </si>
  <si>
    <t>Spring Arms</t>
  </si>
  <si>
    <t>131-0017274</t>
  </si>
  <si>
    <t>Spring arm 3-pole 10-20kg</t>
  </si>
  <si>
    <t>3-Pole Standard</t>
  </si>
  <si>
    <t>131-0017280</t>
  </si>
  <si>
    <t>Spring arm 3-pole low ceiling</t>
  </si>
  <si>
    <t>3-Pole Low Ceiling</t>
  </si>
  <si>
    <t>131-0017276</t>
  </si>
  <si>
    <t>Spring arm 9-pole 10-20kg</t>
  </si>
  <si>
    <t>Standard</t>
  </si>
  <si>
    <t>131-0017282</t>
  </si>
  <si>
    <t>Spring arm 9-pole low ceiling</t>
  </si>
  <si>
    <t>Low Ceiling</t>
  </si>
  <si>
    <t>131-0017279</t>
  </si>
  <si>
    <t>Spring arm TFT 3075 20-30kg</t>
  </si>
  <si>
    <t>8000 Lightheads</t>
  </si>
  <si>
    <t>141-0019525 </t>
  </si>
  <si>
    <t>Sim.LED 8000 SC 3p</t>
  </si>
  <si>
    <t>141-0019527 </t>
  </si>
  <si>
    <t>Sim.LED 8000 SC 3p low ceiling</t>
  </si>
  <si>
    <t>141-0019583</t>
  </si>
  <si>
    <t>Sim.LED 8000 SC 9p</t>
  </si>
  <si>
    <t>Sandard</t>
  </si>
  <si>
    <t>141-0019587</t>
  </si>
  <si>
    <t>Sim.LED 8000 SC 9p low ceiling</t>
  </si>
  <si>
    <t>7000 Lightheads</t>
  </si>
  <si>
    <t>7000 Special Pricing</t>
  </si>
  <si>
    <t>141-0014756</t>
  </si>
  <si>
    <t>Sim.LED 7000 9-pole SC</t>
  </si>
  <si>
    <t>141-0014757</t>
  </si>
  <si>
    <t>Sim.LED 7000 9-pole SC low ceiling</t>
  </si>
  <si>
    <t>141-0014750</t>
  </si>
  <si>
    <t>Sim.LED 7000 3-pole SC</t>
  </si>
  <si>
    <t>141-0014751</t>
  </si>
  <si>
    <t>Sim.LED 7000 3-pole SC low ceiling</t>
  </si>
  <si>
    <t>500 Lighthead</t>
  </si>
  <si>
    <t>141-0015615 </t>
  </si>
  <si>
    <t>Sim.LED 500 3-pole SC </t>
  </si>
  <si>
    <t>141-0015616 </t>
  </si>
  <si>
    <t>Sim.LED 500 3-pole SC low ceiling </t>
  </si>
  <si>
    <t>141-0015619</t>
  </si>
  <si>
    <t>Sim.LED 500 9-pole SC</t>
  </si>
  <si>
    <t>141-0015620</t>
  </si>
  <si>
    <t>Sim.LED 500 9-pole SC low ceiling</t>
  </si>
  <si>
    <t>161-0013148 </t>
  </si>
  <si>
    <t>Sim.LED 4500 Ceiling version</t>
  </si>
  <si>
    <t>Handle Adapters</t>
  </si>
  <si>
    <t>142-0015720</t>
  </si>
  <si>
    <t>Focus Handle for Covidien Handle for disposable cover</t>
  </si>
  <si>
    <t>3600-104</t>
  </si>
  <si>
    <t>Litex Manufacturing ULH Adapter</t>
  </si>
  <si>
    <t>3650-63</t>
  </si>
  <si>
    <t>Litex Manufacturing ULA Adapter</t>
  </si>
  <si>
    <t>112-0003198</t>
  </si>
  <si>
    <t>Ceiling cover 620x80mm for ceiling tube 125mm</t>
  </si>
  <si>
    <t>111-0014784</t>
  </si>
  <si>
    <t>Turning cover for TFT ceiling tube 125mm</t>
  </si>
  <si>
    <t>112-0002966</t>
  </si>
  <si>
    <t>Ceiling plate 380 x 380 (ceiling tube 125 mm)</t>
  </si>
  <si>
    <t>PIP1NS2485</t>
  </si>
  <si>
    <t>Pre-Installation Plate Maxim Standard Single</t>
  </si>
  <si>
    <t>Cabling</t>
  </si>
  <si>
    <t>111-0015201</t>
  </si>
  <si>
    <t>Power supply plate Sim.LED OR Lights</t>
  </si>
  <si>
    <t>111-0020873</t>
  </si>
  <si>
    <t>Power supply plate Sim.LED OR Lights ACA (5p/9p)</t>
  </si>
  <si>
    <t>142-0006928</t>
  </si>
  <si>
    <t>Power supply cable for external installation 18m</t>
  </si>
  <si>
    <t>142-0006924</t>
  </si>
  <si>
    <t>Data cable (CAN) 18m</t>
  </si>
  <si>
    <t>906-0012331</t>
  </si>
  <si>
    <t>Cable Patch - 15m - RJ45/RJ45 CAT5</t>
  </si>
  <si>
    <t>Wall Controls</t>
  </si>
  <si>
    <t>182-0019487 </t>
  </si>
  <si>
    <t>Wall Control Touch </t>
  </si>
  <si>
    <t>141-0014127 </t>
  </si>
  <si>
    <t>Wall control panel for Sim.LED</t>
  </si>
  <si>
    <t>141-0014131 </t>
  </si>
  <si>
    <t>Wall control panel for 2x Sim.LED</t>
  </si>
  <si>
    <t>141-0014133 </t>
  </si>
  <si>
    <t>Wall control panel for 3x Sim.LED</t>
  </si>
  <si>
    <t>141-0014129 </t>
  </si>
  <si>
    <t>Wall control panel for Sim.LED + Sim.CAM HD/HD Wireless</t>
  </si>
  <si>
    <t>141-0014132 </t>
  </si>
  <si>
    <t>Wall control panel for 2x Sim.LED + Sim.CAM HD/HD Wireless</t>
  </si>
  <si>
    <t>141-0014134 </t>
  </si>
  <si>
    <t>Wall control panel for 3x Sim.LED + Sim.CAM HD/HD Wireless</t>
  </si>
  <si>
    <t>In-Light Cameras</t>
  </si>
  <si>
    <t>141-0017871 SET </t>
  </si>
  <si>
    <t>Set Sim.CAM HD Interface box and pre-cabling set</t>
  </si>
  <si>
    <t>141-0017700 SET </t>
  </si>
  <si>
    <t>Set Sim.CAM HD 30x Zoom</t>
  </si>
  <si>
    <t>141-0017425 SET </t>
  </si>
  <si>
    <t>Set Sim.CAM HD Wireless 30x Zoom</t>
  </si>
  <si>
    <t>141-0017066 </t>
  </si>
  <si>
    <t>Reusable handle for Sim.CAM HD/HD Wireless</t>
  </si>
  <si>
    <t>906-0012544</t>
  </si>
  <si>
    <t>Cable BNC HD-SDI Cable (from HD Control Unit to Monitor)</t>
  </si>
  <si>
    <t>Flat Panel Arms</t>
  </si>
  <si>
    <t>151-0016897 </t>
  </si>
  <si>
    <t>Sim.SCREEN monitor holder for 32" single monitor AC3000 </t>
  </si>
  <si>
    <t>151-0012902</t>
  </si>
  <si>
    <t>Cable Monitor Power - 7m</t>
  </si>
  <si>
    <t>Lead Sheilds</t>
  </si>
  <si>
    <t>DIEN01</t>
  </si>
  <si>
    <t>Mavig Shield &amp; Spring arm OT54001</t>
  </si>
  <si>
    <t>Ondal "TC" Flat Panel</t>
  </si>
  <si>
    <t>191-0015008 </t>
  </si>
  <si>
    <t>Sim.INTERFACE for MC Synchronisation and Storz OR1 integration</t>
  </si>
  <si>
    <t>142-0019302</t>
  </si>
  <si>
    <t>LC Cardanic Sim.LED 7000 SC 9p 3rd gen</t>
  </si>
  <si>
    <t>142-0015432</t>
  </si>
  <si>
    <t>Cable 9pole slip ring HD LC</t>
  </si>
  <si>
    <t>Ceiling Tubes</t>
  </si>
  <si>
    <t>CEILING TUBE - with Anti.BAC®</t>
  </si>
  <si>
    <t>112-0010345 </t>
  </si>
  <si>
    <t>150 mm (Ø18)</t>
  </si>
  <si>
    <t>112-0003325</t>
  </si>
  <si>
    <t>112-0010346 </t>
  </si>
  <si>
    <t>200 mm (Ø18)</t>
  </si>
  <si>
    <t>112-0003326</t>
  </si>
  <si>
    <t>112-0010347 </t>
  </si>
  <si>
    <t>250 mm (Ø18)</t>
  </si>
  <si>
    <t>112-0003327</t>
  </si>
  <si>
    <t>112-0010348 </t>
  </si>
  <si>
    <t>300 mm (Ø18)</t>
  </si>
  <si>
    <t>112-0003328</t>
  </si>
  <si>
    <t>112-0010349 </t>
  </si>
  <si>
    <t>350 mm (Ø18)</t>
  </si>
  <si>
    <t>112-0003329</t>
  </si>
  <si>
    <t>112-0010350 </t>
  </si>
  <si>
    <t>400 mm (Ø18)</t>
  </si>
  <si>
    <t>112-0003330</t>
  </si>
  <si>
    <t>112-0010351 </t>
  </si>
  <si>
    <t>450 mm (Ø18)</t>
  </si>
  <si>
    <t>112-0003331</t>
  </si>
  <si>
    <t>112-0010354 </t>
  </si>
  <si>
    <t>500 mm (Ø18)</t>
  </si>
  <si>
    <t>112-0003332</t>
  </si>
  <si>
    <t>112-0010356 </t>
  </si>
  <si>
    <t>550 mm (Ø18)</t>
  </si>
  <si>
    <t>112-0003333</t>
  </si>
  <si>
    <t>112-0010357 </t>
  </si>
  <si>
    <t>600 mm (Ø18)</t>
  </si>
  <si>
    <t>112-0003334</t>
  </si>
  <si>
    <t>112-0010358 </t>
  </si>
  <si>
    <t>650 mm (Ø18)</t>
  </si>
  <si>
    <t>112-0003335</t>
  </si>
  <si>
    <t>112-0010359 </t>
  </si>
  <si>
    <t>700 mm (Ø18)</t>
  </si>
  <si>
    <t>112-0003336</t>
  </si>
  <si>
    <t>112-0014028 </t>
  </si>
  <si>
    <t>150 mm TFT (Ø18)</t>
  </si>
  <si>
    <t>112-0015064</t>
  </si>
  <si>
    <t>150 mm TFT</t>
  </si>
  <si>
    <t>112-0014335 </t>
  </si>
  <si>
    <t>200 mm TFT (Ø18)</t>
  </si>
  <si>
    <t>112-0015120</t>
  </si>
  <si>
    <t>200 mm TFT</t>
  </si>
  <si>
    <t>112-0015076 </t>
  </si>
  <si>
    <t>250 mm TFT (Ø18)</t>
  </si>
  <si>
    <t>112-0015121</t>
  </si>
  <si>
    <t>250 mm TFT</t>
  </si>
  <si>
    <t>112-0015147 </t>
  </si>
  <si>
    <t>300 mm TFT (Ø18)</t>
  </si>
  <si>
    <t>112-0015122</t>
  </si>
  <si>
    <t>300 mm TFT</t>
  </si>
  <si>
    <t>112-0015148 </t>
  </si>
  <si>
    <t>350 mm TFT (Ø18)</t>
  </si>
  <si>
    <t>112-0015123</t>
  </si>
  <si>
    <t>350 mm TFT</t>
  </si>
  <si>
    <t>112-0015149 </t>
  </si>
  <si>
    <t>400 mm TFT (Ø18)</t>
  </si>
  <si>
    <t>112-0015124</t>
  </si>
  <si>
    <t>400 mm TFT</t>
  </si>
  <si>
    <t>112-0015150 </t>
  </si>
  <si>
    <t>450 mm TFT (Ø18)</t>
  </si>
  <si>
    <t>112-0015125</t>
  </si>
  <si>
    <t>450 mm TFT</t>
  </si>
  <si>
    <t>112-0015151 </t>
  </si>
  <si>
    <t>500 mm TFT (Ø18)</t>
  </si>
  <si>
    <t>112-0015126</t>
  </si>
  <si>
    <t>500 mm TFT</t>
  </si>
  <si>
    <t>112-0015152 </t>
  </si>
  <si>
    <t>550 mm TFT (Ø18)</t>
  </si>
  <si>
    <t>112-0015127</t>
  </si>
  <si>
    <t>550 mm TFT</t>
  </si>
  <si>
    <t>112-0015153 </t>
  </si>
  <si>
    <t>600 mm TFT (Ø18)</t>
  </si>
  <si>
    <t>112-0015128</t>
  </si>
  <si>
    <t>600 mm TFT</t>
  </si>
  <si>
    <t>112-0015154 </t>
  </si>
  <si>
    <t>650 mm TFT (Ø18)</t>
  </si>
  <si>
    <t>112-0015129</t>
  </si>
  <si>
    <t>650 mm TFT</t>
  </si>
  <si>
    <t>112-0015155 </t>
  </si>
  <si>
    <t>700 mm TFT (Ø18)</t>
  </si>
  <si>
    <t>112-0015130</t>
  </si>
  <si>
    <t>700 mm TFT</t>
  </si>
  <si>
    <t>CEILING BEAM FOR Sim.FLEX SYSTEM including turning cover - with Anti.BAC®</t>
  </si>
  <si>
    <t>111-0014284 </t>
  </si>
  <si>
    <t>150 mm ceiling beam Sim.FLEX (Ø18)</t>
  </si>
  <si>
    <t>111-0014255</t>
  </si>
  <si>
    <t>150 mm ceiling beam Sim.FLEX</t>
  </si>
  <si>
    <t>111-0014285 </t>
  </si>
  <si>
    <t>200 mm ceiling beam Sim.FLEX (Ø18)</t>
  </si>
  <si>
    <t>111-0014256</t>
  </si>
  <si>
    <t>200 mm ceiling beam Sim.FLEX</t>
  </si>
  <si>
    <t>111-0014286 </t>
  </si>
  <si>
    <t>250 mm ceiling beam Sim.FLEX (Ø18)</t>
  </si>
  <si>
    <t>111-0014257</t>
  </si>
  <si>
    <t>250 mm ceiling beam Sim.FLEX</t>
  </si>
  <si>
    <t>111-0014287 </t>
  </si>
  <si>
    <t>300 mm ceiling beam Sim.FLEX (Ø18)</t>
  </si>
  <si>
    <t>111-0014258</t>
  </si>
  <si>
    <t>300 mm ceiling beam Sim.FLEX</t>
  </si>
  <si>
    <t>111-0014288 </t>
  </si>
  <si>
    <t>350 mm ceiling beam Sim.FLEX (Ø18)</t>
  </si>
  <si>
    <t>111-0014259</t>
  </si>
  <si>
    <t>350 mm ceiling beam Sim.FLEX</t>
  </si>
  <si>
    <t>111-0014289 </t>
  </si>
  <si>
    <t>400 mm ceiling beam Sim.FLEX (Ø18)</t>
  </si>
  <si>
    <t>111-0014260</t>
  </si>
  <si>
    <t>400 mm ceiling beam Sim.FLEX</t>
  </si>
  <si>
    <t>111-0014290 </t>
  </si>
  <si>
    <t>450 mm ceiling beam Sim.FLEX (Ø18)</t>
  </si>
  <si>
    <t>111-0014261</t>
  </si>
  <si>
    <t>450 mm ceiling beam Sim.FLEX</t>
  </si>
  <si>
    <t>111-0014291 </t>
  </si>
  <si>
    <t>500 mm ceiling beam Sim.FLEX (Ø18)</t>
  </si>
  <si>
    <t>111-0014262</t>
  </si>
  <si>
    <t>500 mm ceiling beam Sim.FLEX</t>
  </si>
  <si>
    <t>111-0014292 </t>
  </si>
  <si>
    <t>550 mm ceiling beam Sim.FLEX (Ø18)</t>
  </si>
  <si>
    <t>111-0014263</t>
  </si>
  <si>
    <t>550 mm ceiling beam Sim.FLEX</t>
  </si>
  <si>
    <t>111-0014293 </t>
  </si>
  <si>
    <t>600 mm ceiling beam Sim.FLEX (Ø18)</t>
  </si>
  <si>
    <t>111-0014264</t>
  </si>
  <si>
    <t>600 mm ceiling beam Sim.FLEX</t>
  </si>
  <si>
    <t>111-0014294 </t>
  </si>
  <si>
    <t>650 mm ceiling beam Sim.FLEX (Ø18)</t>
  </si>
  <si>
    <t>111-0014265</t>
  </si>
  <si>
    <t>650 mm ceiling beam Sim.FLEX</t>
  </si>
  <si>
    <t>111-0014213</t>
  </si>
  <si>
    <t>Sim. FLEX Adapter ceiling tube 125</t>
  </si>
  <si>
    <t>Ø125mm</t>
  </si>
  <si>
    <t>111-0013754 </t>
  </si>
  <si>
    <t>Sim.FLEX central axis single 800mm 9-pole </t>
  </si>
  <si>
    <t>111-0014033</t>
  </si>
  <si>
    <t>Sim. FLEX Adapter TFT ceiling tube 125 with turning cover</t>
  </si>
  <si>
    <t>111-0013755 </t>
  </si>
  <si>
    <t>Sim.FLEX central axis single 950mm 9-pole </t>
  </si>
  <si>
    <t>111-0013756 </t>
  </si>
  <si>
    <t>Sim.FLEX central axis single 1100mm 9-pole </t>
  </si>
  <si>
    <t>111-0013757 </t>
  </si>
  <si>
    <t>Sim.FLEX central axis single 1250mm 9-pole </t>
  </si>
  <si>
    <t>111-0013758 </t>
  </si>
  <si>
    <t>Sim.FLEX central axis single 1400mm 9-pole </t>
  </si>
  <si>
    <t>111-0013989 </t>
  </si>
  <si>
    <t>Sim.FLEX central axis single 1500mm 9-pole </t>
  </si>
  <si>
    <t>111-0013990 </t>
  </si>
  <si>
    <t>Sim.FLEX central axis single 1600mm 9-pole </t>
  </si>
  <si>
    <t>111-0013991 </t>
  </si>
  <si>
    <t>Sim.FLEX central axis single 1700mm 9-pole </t>
  </si>
  <si>
    <t>111-0013992 </t>
  </si>
  <si>
    <t>Sim.FLEX central axis single 1800mm 9-pole </t>
  </si>
  <si>
    <t>111-0013993 </t>
  </si>
  <si>
    <t>Sim.FLEX central axis single 1900mm 9-pole </t>
  </si>
  <si>
    <t>111-0013759 </t>
  </si>
  <si>
    <t>Sim.FLEX central axis single 2000mm 9-pole </t>
  </si>
  <si>
    <t>111-0013598 </t>
  </si>
  <si>
    <t>Sim.FLEX central axis single 800mm AC3000 </t>
  </si>
  <si>
    <t>111-0013606 </t>
  </si>
  <si>
    <t>Sim.FLEX central axis single 950mm AC3000 </t>
  </si>
  <si>
    <t>111-0013607 </t>
  </si>
  <si>
    <t>Sim.FLEX central axis single 1100mm AC3000 </t>
  </si>
  <si>
    <t>111-0013608 </t>
  </si>
  <si>
    <t>Sim.FLEX central axis single 1250mm AC3000 </t>
  </si>
  <si>
    <t>111-0013609 </t>
  </si>
  <si>
    <t>Sim.FLEX central axis single 1400mm AC3000 max. 30kg</t>
  </si>
  <si>
    <t>Disconting Deafults</t>
  </si>
  <si>
    <t>Cameras</t>
  </si>
  <si>
    <t>Exam lights</t>
  </si>
  <si>
    <t>OR lights</t>
  </si>
  <si>
    <t>QUOTE 1</t>
  </si>
  <si>
    <t>Inventory: (2) Lightheads, (2) Springarms, Ceiling Tube, Ceiling Cover</t>
  </si>
  <si>
    <t>QUOTE 2</t>
  </si>
  <si>
    <t>Inventory: (2) Lightheads, (2) Springarms</t>
  </si>
  <si>
    <t>QUOTE 3 (LC)</t>
  </si>
  <si>
    <t>Inventory: (2) Lightheads, (1) LC Spring Arm, Ceiling Tube, Ceiling Cover</t>
  </si>
  <si>
    <t>QUOTE 4 (LC)</t>
  </si>
  <si>
    <t>Inventory: (2) Lightheads</t>
  </si>
  <si>
    <t>QUOTE 5</t>
  </si>
  <si>
    <t>CONFIGURATION DESCRIPTION</t>
  </si>
  <si>
    <t>ONDAL QUOTE</t>
  </si>
  <si>
    <t>IMAGINE EXCEL</t>
  </si>
  <si>
    <t>DELTA</t>
  </si>
  <si>
    <t/>
  </si>
  <si>
    <t>SIMEON QUOTE</t>
  </si>
  <si>
    <t>TANDEM</t>
  </si>
  <si>
    <t>HANDLE ADT.</t>
  </si>
  <si>
    <t>WCP BACKBOX</t>
  </si>
  <si>
    <t>Imagine Excel Total</t>
  </si>
  <si>
    <t>Ondal / Simeon Total</t>
  </si>
  <si>
    <t>Delta Total</t>
  </si>
  <si>
    <t>Delta %</t>
  </si>
  <si>
    <t>CONFIGURATION #1</t>
  </si>
  <si>
    <t>DESCRIPTION</t>
  </si>
  <si>
    <t>LED/FP (Patient Left): Camera Capable with Wall Control</t>
  </si>
  <si>
    <t>BOOM (SINGLE OR TANDEM)</t>
  </si>
  <si>
    <t>SELECTION</t>
  </si>
  <si>
    <t>IMAGINE LIST</t>
  </si>
  <si>
    <t>ONDAL LIST</t>
  </si>
  <si>
    <t>ONDAL COG</t>
  </si>
  <si>
    <t>HV Services</t>
  </si>
  <si>
    <t>Count</t>
  </si>
  <si>
    <t>Layer</t>
  </si>
  <si>
    <t>Selection</t>
  </si>
  <si>
    <t>FRONT</t>
  </si>
  <si>
    <t>BACK</t>
  </si>
  <si>
    <t>Model</t>
  </si>
  <si>
    <t>Duplex Count</t>
  </si>
  <si>
    <t>1 Left</t>
  </si>
  <si>
    <t>1 Right</t>
  </si>
  <si>
    <t>LV Services</t>
  </si>
  <si>
    <t>2 Left</t>
  </si>
  <si>
    <t>Data Count</t>
  </si>
  <si>
    <t>2 Right</t>
  </si>
  <si>
    <t>Storz 4in1 Count</t>
  </si>
  <si>
    <t>3 Left</t>
  </si>
  <si>
    <t>3 Right</t>
  </si>
  <si>
    <t>Medical Gases</t>
  </si>
  <si>
    <t>4 Left</t>
  </si>
  <si>
    <t>Oxygen Count</t>
  </si>
  <si>
    <t>4 Right</t>
  </si>
  <si>
    <t>Med Air Count</t>
  </si>
  <si>
    <t>5 Left</t>
  </si>
  <si>
    <t># of Outlet Circuits</t>
  </si>
  <si>
    <t>Nitrous Count</t>
  </si>
  <si>
    <t>5 Right</t>
  </si>
  <si>
    <t>WAGD Count</t>
  </si>
  <si>
    <t>Vacuum Count</t>
  </si>
  <si>
    <t>Accessory 1</t>
  </si>
  <si>
    <t>Nitrogen Count</t>
  </si>
  <si>
    <t>Accessory 2</t>
  </si>
  <si>
    <t>CO2 Count</t>
  </si>
  <si>
    <t>Accessory 3</t>
  </si>
  <si>
    <t>Accessory 4</t>
  </si>
  <si>
    <t>Accessory 5</t>
  </si>
  <si>
    <t>Accessory 6</t>
  </si>
  <si>
    <t>Accessory 7</t>
  </si>
  <si>
    <t>Errors?</t>
  </si>
  <si>
    <t>ONDAL SALES</t>
  </si>
  <si>
    <t>Equipment List Price</t>
  </si>
  <si>
    <t>BOOM (TANDEM 2ND ONLY)</t>
  </si>
  <si>
    <t>LIGHT (SINGLE OR TANDEM)</t>
  </si>
  <si>
    <t>SIMEON LIST</t>
  </si>
  <si>
    <t>SIMEON COG</t>
  </si>
  <si>
    <t>Ceiling Drop Tube</t>
  </si>
  <si>
    <t>Arm 1 (Top Arm)</t>
  </si>
  <si>
    <t>Arm 2</t>
  </si>
  <si>
    <t>8000 Standard</t>
  </si>
  <si>
    <t>Arm 3</t>
  </si>
  <si>
    <t>Integration Control</t>
  </si>
  <si>
    <t>Disposable Adpaters</t>
  </si>
  <si>
    <t>CONFIGRATION LIST PRICE</t>
  </si>
  <si>
    <t>TOAL COG</t>
  </si>
  <si>
    <t>Total List Price</t>
  </si>
  <si>
    <t>CONFIGURATION #2</t>
  </si>
  <si>
    <t>LED/FP (Patient Right)</t>
  </si>
  <si>
    <t>TOTAL COG</t>
  </si>
  <si>
    <t>CONFIGURATION #3</t>
  </si>
  <si>
    <t>Equipment Boom (Patient Foot)</t>
  </si>
  <si>
    <t>(6) Circuits</t>
  </si>
  <si>
    <t>(4) 500mm Shelves</t>
  </si>
  <si>
    <t>(0) 750mm Shelves</t>
  </si>
  <si>
    <t>CONFIGURATION #4</t>
  </si>
  <si>
    <t>Anesthesia Boom (Patient Right Shoulder)</t>
  </si>
  <si>
    <t>(4) Circuits</t>
  </si>
  <si>
    <t>(0) 500mm Shelves</t>
  </si>
  <si>
    <t>CONFIGURATION #5</t>
  </si>
  <si>
    <t>CONFIGURATION #6</t>
  </si>
  <si>
    <t>CONFIGURATION #7</t>
  </si>
  <si>
    <t>CONFIGURATION #8</t>
  </si>
  <si>
    <t>CONFIGURATION #9</t>
  </si>
  <si>
    <t>CONFIGURATION #10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</si>
</sst>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_([$€-2]\ * #,##0.00_);_([$€-2]\ * \(#,##0.00\);_([$€-2]\ * &quot;-&quot;??_);_(@_)"/>
  </numFmts>
  <fonts count="35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3"/>
      <color rgb="FFFFFFFF"/>
      <name val="Arial"/>
      <family val="2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1"/>
      <name val="Calibri"/>
      <family val="2"/>
    </font>
    <font>
      <sz val="16"/>
      <color rgb="FF212121"/>
      <name val="Aptos"/>
    </font>
    <font>
      <sz val="12"/>
      <color rgb="FF000000"/>
      <name val="Calibri"/>
      <family val="2"/>
    </font>
    <font>
      <sz val="16"/>
      <color theme="1"/>
      <name val="Aptos"/>
    </font>
    <font>
      <b/>
      <sz val="12"/>
      <color theme="0"/>
      <name val="Calibri"/>
      <family val="2"/>
    </font>
    <font>
      <b/>
      <sz val="16"/>
      <color theme="0"/>
      <name val="Aptos"/>
    </font>
    <font>
      <sz val="11"/>
      <color theme="1"/>
      <name val="Outfit"/>
    </font>
    <font>
      <sz val="11"/>
      <color theme="0"/>
      <name val="Outfit"/>
    </font>
    <font>
      <u/>
      <sz val="11"/>
      <color theme="1"/>
      <name val="Outfit"/>
    </font>
    <font>
      <b/>
      <sz val="11"/>
      <color theme="1"/>
      <name val="Outfit"/>
    </font>
    <font>
      <sz val="11"/>
      <color rgb="FF365F92"/>
      <name val="Outfit"/>
    </font>
    <font>
      <b/>
      <sz val="11"/>
      <color rgb="FFFF0000"/>
      <name val="Outfit"/>
    </font>
    <font>
      <sz val="11"/>
      <color rgb="FFFF0000"/>
      <name val="Outfit"/>
    </font>
    <font>
      <i/>
      <sz val="11"/>
      <color theme="1"/>
      <name val="Outfit"/>
    </font>
    <font>
      <b/>
      <u/>
      <sz val="11"/>
      <color theme="1"/>
      <name val="Outfit"/>
    </font>
    <font>
      <i/>
      <sz val="9"/>
      <color theme="1"/>
      <name val="Outfit"/>
    </font>
    <font>
      <sz val="11"/>
      <name val="Outfit"/>
    </font>
    <font>
      <b/>
      <sz val="14"/>
      <color theme="1"/>
      <name val="Calibri"/>
      <family val="2"/>
      <scheme val="minor"/>
    </font>
    <font>
      <sz val="10"/>
      <color theme="0"/>
      <name val="Outfit"/>
    </font>
    <font>
      <sz val="10"/>
      <color theme="1"/>
      <name val="Outfit"/>
    </font>
    <font>
      <b/>
      <sz val="10"/>
      <color theme="0"/>
      <name val="Outfit"/>
    </font>
    <font>
      <u/>
      <sz val="12"/>
      <color theme="10"/>
      <name val="Outfit"/>
    </font>
    <font>
      <sz val="10"/>
      <color rgb="FF000000"/>
      <name val="Outfit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4.9989318521683403E-2"/>
        <bgColor theme="0" tint="-0.149967955565050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</fills>
  <borders count="8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Dashed">
        <color indexed="64"/>
      </right>
      <top style="medium">
        <color indexed="64"/>
      </top>
      <bottom/>
      <diagonal/>
    </border>
    <border>
      <left style="mediumDashed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Dashed">
        <color indexed="64"/>
      </right>
      <top/>
      <bottom/>
      <diagonal/>
    </border>
    <border>
      <left style="mediumDash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Dashed">
        <color indexed="64"/>
      </right>
      <top/>
      <bottom style="medium">
        <color auto="1"/>
      </bottom>
      <diagonal/>
    </border>
    <border>
      <left style="medium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Dashed">
        <color indexed="64"/>
      </right>
      <top style="medium">
        <color indexed="64"/>
      </top>
      <bottom/>
      <diagonal/>
    </border>
    <border>
      <left/>
      <right style="mediumDashed">
        <color indexed="64"/>
      </right>
      <top/>
      <bottom/>
      <diagonal/>
    </border>
    <border>
      <left/>
      <right style="mediumDashed">
        <color indexed="64"/>
      </right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0" tint="-0.14996795556505021"/>
      </right>
      <top style="medium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indexed="64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/>
      <top style="medium">
        <color theme="0" tint="-0.14996795556505021"/>
      </top>
      <bottom style="medium">
        <color indexed="64"/>
      </bottom>
      <diagonal/>
    </border>
    <border>
      <left/>
      <right style="medium">
        <color theme="0" tint="-0.1499679555650502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theme="0" tint="-0.1499679555650502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5" fontId="1" fillId="0" borderId="0"/>
  </cellStyleXfs>
  <cellXfs count="287">
    <xf numFmtId="0" fontId="0" fillId="0" borderId="0" xfId="0"/>
    <xf numFmtId="164" fontId="0" fillId="0" borderId="0" xfId="0" applyNumberFormat="1"/>
    <xf numFmtId="0" fontId="0" fillId="0" borderId="0" xfId="0" quotePrefix="1"/>
    <xf numFmtId="0" fontId="0" fillId="0" borderId="1" xfId="0" applyBorder="1"/>
    <xf numFmtId="44" fontId="0" fillId="0" borderId="0" xfId="1" applyFont="1" applyBorder="1" applyProtection="1"/>
    <xf numFmtId="0" fontId="0" fillId="0" borderId="2" xfId="0" applyBorder="1"/>
    <xf numFmtId="9" fontId="0" fillId="0" borderId="0" xfId="0" applyNumberFormat="1"/>
    <xf numFmtId="0" fontId="0" fillId="3" borderId="18" xfId="0" applyFill="1" applyBorder="1" applyAlignment="1" applyProtection="1">
      <alignment horizontal="right"/>
      <protection locked="0"/>
    </xf>
    <xf numFmtId="0" fontId="0" fillId="3" borderId="16" xfId="0" applyFill="1" applyBorder="1" applyAlignment="1" applyProtection="1">
      <alignment horizontal="right"/>
      <protection locked="0"/>
    </xf>
    <xf numFmtId="0" fontId="6" fillId="0" borderId="0" xfId="0" applyFont="1"/>
    <xf numFmtId="0" fontId="5" fillId="0" borderId="0" xfId="3"/>
    <xf numFmtId="0" fontId="0" fillId="3" borderId="3" xfId="0" applyFill="1" applyBorder="1" applyProtection="1">
      <protection locked="0"/>
    </xf>
    <xf numFmtId="0" fontId="0" fillId="3" borderId="15" xfId="0" applyFill="1" applyBorder="1" applyProtection="1">
      <protection locked="0"/>
    </xf>
    <xf numFmtId="0" fontId="0" fillId="3" borderId="15" xfId="0" applyFill="1" applyBorder="1" applyAlignment="1" applyProtection="1">
      <alignment horizontal="right" indent="1"/>
      <protection locked="0"/>
    </xf>
    <xf numFmtId="0" fontId="0" fillId="3" borderId="15" xfId="0" applyFill="1" applyBorder="1" applyAlignment="1" applyProtection="1">
      <alignment horizontal="left" indent="1"/>
      <protection locked="0"/>
    </xf>
    <xf numFmtId="0" fontId="0" fillId="3" borderId="3" xfId="0" applyFill="1" applyBorder="1" applyAlignment="1" applyProtection="1">
      <alignment horizontal="left" indent="1"/>
      <protection locked="0"/>
    </xf>
    <xf numFmtId="0" fontId="7" fillId="4" borderId="20" xfId="0" applyFont="1" applyFill="1" applyBorder="1" applyAlignment="1">
      <alignment horizontal="left"/>
    </xf>
    <xf numFmtId="0" fontId="7" fillId="4" borderId="20" xfId="0" applyFont="1" applyFill="1" applyBorder="1" applyAlignment="1">
      <alignment horizontal="right"/>
    </xf>
    <xf numFmtId="0" fontId="7" fillId="4" borderId="20" xfId="0" applyFont="1" applyFill="1" applyBorder="1"/>
    <xf numFmtId="0" fontId="0" fillId="5" borderId="3" xfId="0" applyFill="1" applyBorder="1" applyAlignment="1">
      <alignment horizontal="left" indent="1"/>
    </xf>
    <xf numFmtId="0" fontId="0" fillId="5" borderId="15" xfId="0" applyFill="1" applyBorder="1" applyAlignment="1">
      <alignment horizontal="left" indent="1"/>
    </xf>
    <xf numFmtId="0" fontId="0" fillId="5" borderId="24" xfId="0" applyFill="1" applyBorder="1" applyAlignment="1">
      <alignment horizontal="left" indent="1"/>
    </xf>
    <xf numFmtId="0" fontId="0" fillId="5" borderId="15" xfId="0" applyFill="1" applyBorder="1" applyAlignment="1">
      <alignment horizontal="left" vertical="top" indent="1"/>
    </xf>
    <xf numFmtId="0" fontId="0" fillId="5" borderId="19" xfId="0" applyFill="1" applyBorder="1" applyAlignment="1">
      <alignment horizontal="left" vertical="top" indent="1"/>
    </xf>
    <xf numFmtId="0" fontId="0" fillId="0" borderId="0" xfId="0" applyAlignment="1">
      <alignment horizontal="left" indent="1"/>
    </xf>
    <xf numFmtId="0" fontId="7" fillId="4" borderId="23" xfId="0" applyFont="1" applyFill="1" applyBorder="1"/>
    <xf numFmtId="0" fontId="0" fillId="5" borderId="28" xfId="0" applyFill="1" applyBorder="1" applyAlignment="1">
      <alignment horizontal="left" indent="1"/>
    </xf>
    <xf numFmtId="0" fontId="0" fillId="3" borderId="3" xfId="0" applyFill="1" applyBorder="1"/>
    <xf numFmtId="0" fontId="0" fillId="5" borderId="29" xfId="0" applyFill="1" applyBorder="1" applyAlignment="1">
      <alignment horizontal="left" indent="1"/>
    </xf>
    <xf numFmtId="0" fontId="0" fillId="3" borderId="15" xfId="0" applyFill="1" applyBorder="1"/>
    <xf numFmtId="0" fontId="0" fillId="3" borderId="28" xfId="0" applyFill="1" applyBorder="1"/>
    <xf numFmtId="0" fontId="0" fillId="3" borderId="29" xfId="0" applyFill="1" applyBorder="1"/>
    <xf numFmtId="0" fontId="0" fillId="3" borderId="24" xfId="0" applyFill="1" applyBorder="1"/>
    <xf numFmtId="0" fontId="0" fillId="3" borderId="15" xfId="0" applyFill="1" applyBorder="1" applyAlignment="1" applyProtection="1">
      <alignment horizontal="right"/>
      <protection locked="0"/>
    </xf>
    <xf numFmtId="0" fontId="0" fillId="7" borderId="15" xfId="0" applyFill="1" applyBorder="1" applyAlignment="1" applyProtection="1">
      <alignment horizontal="right"/>
      <protection locked="0"/>
    </xf>
    <xf numFmtId="44" fontId="0" fillId="0" borderId="0" xfId="1" applyFont="1" applyProtection="1"/>
    <xf numFmtId="0" fontId="0" fillId="0" borderId="0" xfId="0" applyAlignment="1">
      <alignment horizontal="center"/>
    </xf>
    <xf numFmtId="44" fontId="0" fillId="0" borderId="0" xfId="0" applyNumberFormat="1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9" fillId="0" borderId="0" xfId="0" applyFont="1"/>
    <xf numFmtId="49" fontId="0" fillId="0" borderId="0" xfId="0" applyNumberFormat="1"/>
    <xf numFmtId="44" fontId="0" fillId="0" borderId="1" xfId="0" applyNumberFormat="1" applyBorder="1"/>
    <xf numFmtId="49" fontId="0" fillId="0" borderId="0" xfId="0" applyNumberFormat="1" applyAlignment="1">
      <alignment horizontal="right"/>
    </xf>
    <xf numFmtId="44" fontId="0" fillId="0" borderId="0" xfId="1" applyFont="1" applyFill="1" applyBorder="1" applyProtection="1"/>
    <xf numFmtId="0" fontId="0" fillId="7" borderId="18" xfId="0" applyFill="1" applyBorder="1" applyAlignment="1" applyProtection="1">
      <alignment horizontal="right"/>
      <protection locked="0"/>
    </xf>
    <xf numFmtId="0" fontId="7" fillId="4" borderId="0" xfId="0" applyFont="1" applyFill="1"/>
    <xf numFmtId="0" fontId="7" fillId="4" borderId="0" xfId="0" applyFont="1" applyFill="1" applyAlignment="1">
      <alignment horizontal="center"/>
    </xf>
    <xf numFmtId="0" fontId="0" fillId="5" borderId="15" xfId="0" applyFill="1" applyBorder="1"/>
    <xf numFmtId="0" fontId="0" fillId="5" borderId="19" xfId="0" applyFill="1" applyBorder="1"/>
    <xf numFmtId="0" fontId="0" fillId="5" borderId="18" xfId="0" applyFill="1" applyBorder="1" applyAlignment="1">
      <alignment horizontal="center"/>
    </xf>
    <xf numFmtId="0" fontId="0" fillId="5" borderId="0" xfId="0" applyFill="1"/>
    <xf numFmtId="0" fontId="0" fillId="2" borderId="30" xfId="0" applyFill="1" applyBorder="1"/>
    <xf numFmtId="0" fontId="0" fillId="2" borderId="10" xfId="0" applyFill="1" applyBorder="1"/>
    <xf numFmtId="0" fontId="0" fillId="2" borderId="9" xfId="0" applyFill="1" applyBorder="1"/>
    <xf numFmtId="0" fontId="0" fillId="5" borderId="29" xfId="0" applyFill="1" applyBorder="1"/>
    <xf numFmtId="0" fontId="0" fillId="2" borderId="31" xfId="0" applyFill="1" applyBorder="1"/>
    <xf numFmtId="0" fontId="0" fillId="2" borderId="12" xfId="0" applyFill="1" applyBorder="1"/>
    <xf numFmtId="0" fontId="0" fillId="2" borderId="6" xfId="0" applyFill="1" applyBorder="1"/>
    <xf numFmtId="0" fontId="0" fillId="2" borderId="11" xfId="0" applyFill="1" applyBorder="1"/>
    <xf numFmtId="0" fontId="0" fillId="2" borderId="32" xfId="0" applyFill="1" applyBorder="1"/>
    <xf numFmtId="0" fontId="0" fillId="2" borderId="14" xfId="0" applyFill="1" applyBorder="1"/>
    <xf numFmtId="0" fontId="0" fillId="2" borderId="13" xfId="0" applyFill="1" applyBorder="1"/>
    <xf numFmtId="0" fontId="0" fillId="2" borderId="8" xfId="0" applyFill="1" applyBorder="1"/>
    <xf numFmtId="0" fontId="0" fillId="5" borderId="3" xfId="0" applyFill="1" applyBorder="1"/>
    <xf numFmtId="44" fontId="0" fillId="0" borderId="5" xfId="0" applyNumberFormat="1" applyBorder="1"/>
    <xf numFmtId="164" fontId="4" fillId="0" borderId="0" xfId="0" applyNumberFormat="1" applyFont="1"/>
    <xf numFmtId="0" fontId="0" fillId="5" borderId="24" xfId="0" applyFill="1" applyBorder="1"/>
    <xf numFmtId="44" fontId="0" fillId="3" borderId="15" xfId="0" applyNumberFormat="1" applyFill="1" applyBorder="1" applyAlignment="1">
      <alignment horizontal="right"/>
    </xf>
    <xf numFmtId="0" fontId="0" fillId="5" borderId="35" xfId="0" applyFill="1" applyBorder="1"/>
    <xf numFmtId="0" fontId="10" fillId="5" borderId="18" xfId="0" applyFont="1" applyFill="1" applyBorder="1" applyAlignment="1">
      <alignment horizontal="center"/>
    </xf>
    <xf numFmtId="164" fontId="10" fillId="0" borderId="0" xfId="0" applyNumberFormat="1" applyFont="1"/>
    <xf numFmtId="164" fontId="10" fillId="5" borderId="36" xfId="0" applyNumberFormat="1" applyFont="1" applyFill="1" applyBorder="1" applyAlignment="1">
      <alignment horizontal="center"/>
    </xf>
    <xf numFmtId="0" fontId="0" fillId="5" borderId="37" xfId="0" applyFill="1" applyBorder="1" applyAlignment="1">
      <alignment horizontal="left" indent="1"/>
    </xf>
    <xf numFmtId="0" fontId="0" fillId="5" borderId="34" xfId="0" applyFill="1" applyBorder="1" applyAlignment="1">
      <alignment horizontal="left" indent="1"/>
    </xf>
    <xf numFmtId="0" fontId="11" fillId="0" borderId="0" xfId="0" applyFont="1"/>
    <xf numFmtId="0" fontId="11" fillId="0" borderId="0" xfId="0" applyFont="1" applyAlignment="1">
      <alignment horizontal="center"/>
    </xf>
    <xf numFmtId="0" fontId="0" fillId="7" borderId="18" xfId="0" applyFill="1" applyBorder="1" applyAlignment="1" applyProtection="1">
      <alignment horizontal="center"/>
      <protection locked="0"/>
    </xf>
    <xf numFmtId="0" fontId="0" fillId="7" borderId="16" xfId="0" applyFill="1" applyBorder="1" applyAlignment="1" applyProtection="1">
      <alignment horizontal="center"/>
      <protection locked="0"/>
    </xf>
    <xf numFmtId="0" fontId="7" fillId="4" borderId="19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0" fontId="0" fillId="3" borderId="3" xfId="0" applyFill="1" applyBorder="1" applyAlignment="1" applyProtection="1">
      <alignment horizontal="right"/>
      <protection locked="0"/>
    </xf>
    <xf numFmtId="0" fontId="7" fillId="4" borderId="19" xfId="0" applyFont="1" applyFill="1" applyBorder="1"/>
    <xf numFmtId="0" fontId="7" fillId="4" borderId="33" xfId="0" applyFont="1" applyFill="1" applyBorder="1" applyAlignment="1">
      <alignment horizontal="center"/>
    </xf>
    <xf numFmtId="0" fontId="0" fillId="3" borderId="28" xfId="0" applyFill="1" applyBorder="1" applyAlignment="1" applyProtection="1">
      <alignment horizontal="right"/>
      <protection locked="0"/>
    </xf>
    <xf numFmtId="0" fontId="0" fillId="3" borderId="29" xfId="0" applyFill="1" applyBorder="1" applyAlignment="1" applyProtection="1">
      <alignment horizontal="right"/>
      <protection locked="0"/>
    </xf>
    <xf numFmtId="0" fontId="0" fillId="3" borderId="24" xfId="0" applyFill="1" applyBorder="1" applyAlignment="1" applyProtection="1">
      <alignment horizontal="right"/>
      <protection locked="0"/>
    </xf>
    <xf numFmtId="0" fontId="14" fillId="0" borderId="0" xfId="0" applyFont="1"/>
    <xf numFmtId="0" fontId="13" fillId="0" borderId="0" xfId="0" applyFont="1"/>
    <xf numFmtId="8" fontId="14" fillId="0" borderId="0" xfId="0" applyNumberFormat="1" applyFont="1"/>
    <xf numFmtId="44" fontId="14" fillId="0" borderId="0" xfId="0" applyNumberFormat="1" applyFont="1"/>
    <xf numFmtId="44" fontId="13" fillId="0" borderId="0" xfId="0" applyNumberFormat="1" applyFont="1"/>
    <xf numFmtId="0" fontId="14" fillId="0" borderId="0" xfId="0" applyFont="1" applyAlignment="1">
      <alignment horizontal="right"/>
    </xf>
    <xf numFmtId="44" fontId="12" fillId="0" borderId="0" xfId="0" applyNumberFormat="1" applyFont="1"/>
    <xf numFmtId="10" fontId="12" fillId="0" borderId="0" xfId="0" applyNumberFormat="1" applyFont="1"/>
    <xf numFmtId="44" fontId="14" fillId="0" borderId="15" xfId="0" applyNumberFormat="1" applyFont="1" applyBorder="1" applyProtection="1">
      <protection locked="0"/>
    </xf>
    <xf numFmtId="44" fontId="14" fillId="0" borderId="15" xfId="1" applyFont="1" applyBorder="1" applyAlignment="1" applyProtection="1">
      <protection locked="0"/>
    </xf>
    <xf numFmtId="44" fontId="14" fillId="0" borderId="15" xfId="1" applyFont="1" applyFill="1" applyBorder="1" applyAlignment="1" applyProtection="1">
      <protection locked="0"/>
    </xf>
    <xf numFmtId="0" fontId="0" fillId="4" borderId="0" xfId="0" applyFill="1"/>
    <xf numFmtId="0" fontId="16" fillId="4" borderId="0" xfId="0" applyFont="1" applyFill="1" applyAlignment="1">
      <alignment horizontal="center"/>
    </xf>
    <xf numFmtId="0" fontId="17" fillId="4" borderId="0" xfId="0" applyFont="1" applyFill="1" applyAlignment="1">
      <alignment horizontal="center"/>
    </xf>
    <xf numFmtId="0" fontId="14" fillId="3" borderId="15" xfId="0" applyFont="1" applyFill="1" applyBorder="1"/>
    <xf numFmtId="44" fontId="14" fillId="3" borderId="15" xfId="0" applyNumberFormat="1" applyFont="1" applyFill="1" applyBorder="1"/>
    <xf numFmtId="44" fontId="12" fillId="3" borderId="15" xfId="0" applyNumberFormat="1" applyFont="1" applyFill="1" applyBorder="1"/>
    <xf numFmtId="44" fontId="14" fillId="3" borderId="15" xfId="1" applyFont="1" applyFill="1" applyBorder="1" applyAlignment="1" applyProtection="1">
      <protection locked="0"/>
    </xf>
    <xf numFmtId="44" fontId="14" fillId="3" borderId="15" xfId="1" applyFont="1" applyFill="1" applyBorder="1" applyAlignment="1"/>
    <xf numFmtId="44" fontId="12" fillId="3" borderId="15" xfId="1" applyFont="1" applyFill="1" applyBorder="1" applyAlignment="1"/>
    <xf numFmtId="44" fontId="15" fillId="3" borderId="15" xfId="1" applyFont="1" applyFill="1" applyBorder="1" applyAlignment="1"/>
    <xf numFmtId="0" fontId="14" fillId="5" borderId="24" xfId="0" applyFont="1" applyFill="1" applyBorder="1"/>
    <xf numFmtId="0" fontId="14" fillId="5" borderId="29" xfId="0" applyFont="1" applyFill="1" applyBorder="1"/>
    <xf numFmtId="0" fontId="14" fillId="5" borderId="3" xfId="0" applyFont="1" applyFill="1" applyBorder="1"/>
    <xf numFmtId="0" fontId="13" fillId="4" borderId="0" xfId="0" applyFont="1" applyFill="1"/>
    <xf numFmtId="0" fontId="18" fillId="0" borderId="0" xfId="0" applyFont="1"/>
    <xf numFmtId="49" fontId="18" fillId="0" borderId="0" xfId="0" applyNumberFormat="1" applyFont="1"/>
    <xf numFmtId="0" fontId="19" fillId="0" borderId="0" xfId="0" applyFont="1"/>
    <xf numFmtId="44" fontId="18" fillId="0" borderId="0" xfId="0" applyNumberFormat="1" applyFont="1"/>
    <xf numFmtId="44" fontId="18" fillId="0" borderId="0" xfId="0" applyNumberFormat="1" applyFont="1" applyAlignment="1">
      <alignment horizontal="center"/>
    </xf>
    <xf numFmtId="49" fontId="18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44" fontId="18" fillId="0" borderId="1" xfId="0" applyNumberFormat="1" applyFont="1" applyBorder="1"/>
    <xf numFmtId="44" fontId="18" fillId="0" borderId="1" xfId="0" applyNumberFormat="1" applyFont="1" applyBorder="1" applyAlignment="1">
      <alignment horizontal="center"/>
    </xf>
    <xf numFmtId="0" fontId="18" fillId="0" borderId="1" xfId="0" applyFont="1" applyBorder="1"/>
    <xf numFmtId="0" fontId="18" fillId="0" borderId="0" xfId="0" applyFont="1" applyAlignment="1">
      <alignment horizontal="center"/>
    </xf>
    <xf numFmtId="44" fontId="18" fillId="0" borderId="0" xfId="2" applyNumberFormat="1" applyFont="1"/>
    <xf numFmtId="9" fontId="18" fillId="0" borderId="0" xfId="2" applyFont="1" applyAlignment="1">
      <alignment horizontal="center"/>
    </xf>
    <xf numFmtId="164" fontId="18" fillId="0" borderId="0" xfId="0" applyNumberFormat="1" applyFont="1"/>
    <xf numFmtId="164" fontId="18" fillId="0" borderId="0" xfId="0" applyNumberFormat="1" applyFont="1" applyAlignment="1">
      <alignment horizontal="center"/>
    </xf>
    <xf numFmtId="2" fontId="18" fillId="0" borderId="1" xfId="0" applyNumberFormat="1" applyFont="1" applyBorder="1"/>
    <xf numFmtId="44" fontId="18" fillId="0" borderId="33" xfId="0" applyNumberFormat="1" applyFont="1" applyBorder="1"/>
    <xf numFmtId="0" fontId="20" fillId="0" borderId="0" xfId="0" applyFont="1"/>
    <xf numFmtId="44" fontId="18" fillId="0" borderId="0" xfId="0" applyNumberFormat="1" applyFont="1" applyAlignment="1">
      <alignment horizontal="right"/>
    </xf>
    <xf numFmtId="2" fontId="18" fillId="0" borderId="0" xfId="0" applyNumberFormat="1" applyFont="1"/>
    <xf numFmtId="0" fontId="18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49" fontId="18" fillId="0" borderId="0" xfId="0" applyNumberFormat="1" applyFont="1" applyAlignment="1">
      <alignment horizontal="center"/>
    </xf>
    <xf numFmtId="49" fontId="18" fillId="0" borderId="0" xfId="0" applyNumberFormat="1" applyFont="1" applyAlignment="1">
      <alignment horizontal="left"/>
    </xf>
    <xf numFmtId="49" fontId="18" fillId="0" borderId="1" xfId="0" applyNumberFormat="1" applyFont="1" applyBorder="1"/>
    <xf numFmtId="0" fontId="18" fillId="0" borderId="1" xfId="0" applyFont="1" applyBorder="1" applyAlignment="1">
      <alignment horizontal="right"/>
    </xf>
    <xf numFmtId="0" fontId="21" fillId="0" borderId="0" xfId="0" applyFont="1" applyAlignment="1">
      <alignment wrapText="1"/>
    </xf>
    <xf numFmtId="44" fontId="22" fillId="0" borderId="0" xfId="0" applyNumberFormat="1" applyFont="1"/>
    <xf numFmtId="0" fontId="21" fillId="0" borderId="0" xfId="0" applyFont="1"/>
    <xf numFmtId="0" fontId="22" fillId="0" borderId="0" xfId="0" applyFont="1"/>
    <xf numFmtId="0" fontId="18" fillId="0" borderId="0" xfId="0" applyFont="1" applyAlignment="1">
      <alignment wrapText="1"/>
    </xf>
    <xf numFmtId="4" fontId="18" fillId="0" borderId="0" xfId="0" applyNumberFormat="1" applyFont="1"/>
    <xf numFmtId="44" fontId="18" fillId="9" borderId="0" xfId="0" applyNumberFormat="1" applyFont="1" applyFill="1"/>
    <xf numFmtId="0" fontId="23" fillId="0" borderId="0" xfId="0" applyFont="1" applyAlignment="1">
      <alignment wrapText="1"/>
    </xf>
    <xf numFmtId="0" fontId="24" fillId="0" borderId="0" xfId="0" applyFont="1"/>
    <xf numFmtId="44" fontId="18" fillId="8" borderId="0" xfId="0" applyNumberFormat="1" applyFont="1" applyFill="1"/>
    <xf numFmtId="44" fontId="21" fillId="0" borderId="0" xfId="0" applyNumberFormat="1" applyFont="1"/>
    <xf numFmtId="8" fontId="18" fillId="0" borderId="0" xfId="0" applyNumberFormat="1" applyFont="1"/>
    <xf numFmtId="44" fontId="25" fillId="0" borderId="0" xfId="0" applyNumberFormat="1" applyFont="1"/>
    <xf numFmtId="9" fontId="22" fillId="0" borderId="0" xfId="2" applyFont="1"/>
    <xf numFmtId="49" fontId="26" fillId="0" borderId="0" xfId="0" applyNumberFormat="1" applyFont="1"/>
    <xf numFmtId="164" fontId="18" fillId="0" borderId="1" xfId="0" applyNumberFormat="1" applyFont="1" applyBorder="1"/>
    <xf numFmtId="164" fontId="21" fillId="0" borderId="0" xfId="0" applyNumberFormat="1" applyFont="1"/>
    <xf numFmtId="0" fontId="26" fillId="0" borderId="0" xfId="0" applyFont="1"/>
    <xf numFmtId="0" fontId="0" fillId="0" borderId="0" xfId="0" applyProtection="1">
      <protection locked="0"/>
    </xf>
    <xf numFmtId="0" fontId="27" fillId="0" borderId="0" xfId="0" applyFont="1"/>
    <xf numFmtId="44" fontId="27" fillId="0" borderId="0" xfId="0" applyNumberFormat="1" applyFont="1"/>
    <xf numFmtId="44" fontId="28" fillId="0" borderId="0" xfId="0" applyNumberFormat="1" applyFont="1"/>
    <xf numFmtId="44" fontId="28" fillId="0" borderId="0" xfId="2" applyNumberFormat="1" applyFont="1"/>
    <xf numFmtId="0" fontId="29" fillId="11" borderId="43" xfId="4" applyNumberFormat="1" applyFont="1" applyFill="1" applyBorder="1" applyAlignment="1">
      <alignment horizontal="center" vertical="center" wrapText="1"/>
    </xf>
    <xf numFmtId="44" fontId="29" fillId="11" borderId="15" xfId="1" applyFont="1" applyFill="1" applyBorder="1" applyAlignment="1">
      <alignment horizontal="center" vertical="center" wrapText="1"/>
    </xf>
    <xf numFmtId="44" fontId="29" fillId="11" borderId="44" xfId="1" applyFont="1" applyFill="1" applyBorder="1" applyAlignment="1">
      <alignment horizontal="center" vertical="center" wrapText="1"/>
    </xf>
    <xf numFmtId="0" fontId="1" fillId="9" borderId="45" xfId="4" quotePrefix="1" applyNumberFormat="1" applyFill="1" applyBorder="1" applyAlignment="1">
      <alignment horizontal="left" vertical="center"/>
    </xf>
    <xf numFmtId="44" fontId="1" fillId="0" borderId="15" xfId="1" applyFont="1" applyFill="1" applyBorder="1" applyAlignment="1">
      <alignment vertical="center"/>
    </xf>
    <xf numFmtId="44" fontId="1" fillId="0" borderId="44" xfId="1" applyFont="1" applyFill="1" applyBorder="1" applyAlignment="1">
      <alignment vertical="center"/>
    </xf>
    <xf numFmtId="0" fontId="0" fillId="0" borderId="45" xfId="4" applyNumberFormat="1" applyFont="1" applyBorder="1" applyAlignment="1">
      <alignment horizontal="left" vertical="center" wrapText="1"/>
    </xf>
    <xf numFmtId="0" fontId="1" fillId="0" borderId="45" xfId="4" applyNumberFormat="1" applyBorder="1" applyAlignment="1">
      <alignment horizontal="left" vertical="center" wrapText="1"/>
    </xf>
    <xf numFmtId="0" fontId="30" fillId="4" borderId="0" xfId="0" applyFont="1" applyFill="1" applyAlignment="1">
      <alignment vertical="center"/>
    </xf>
    <xf numFmtId="0" fontId="30" fillId="4" borderId="0" xfId="0" applyFont="1" applyFill="1" applyAlignment="1">
      <alignment horizontal="center" vertical="center"/>
    </xf>
    <xf numFmtId="0" fontId="30" fillId="4" borderId="26" xfId="0" applyFont="1" applyFill="1" applyBorder="1" applyAlignment="1">
      <alignment vertical="center"/>
    </xf>
    <xf numFmtId="0" fontId="31" fillId="0" borderId="0" xfId="0" applyFont="1" applyAlignment="1">
      <alignment vertical="center"/>
    </xf>
    <xf numFmtId="0" fontId="31" fillId="5" borderId="4" xfId="0" applyFont="1" applyFill="1" applyBorder="1" applyAlignment="1">
      <alignment vertical="center"/>
    </xf>
    <xf numFmtId="0" fontId="31" fillId="14" borderId="25" xfId="0" applyFont="1" applyFill="1" applyBorder="1" applyAlignment="1">
      <alignment vertical="center"/>
    </xf>
    <xf numFmtId="0" fontId="31" fillId="5" borderId="7" xfId="0" applyFont="1" applyFill="1" applyBorder="1" applyAlignment="1">
      <alignment horizontal="center" vertical="center" wrapText="1"/>
    </xf>
    <xf numFmtId="0" fontId="31" fillId="4" borderId="4" xfId="0" applyFont="1" applyFill="1" applyBorder="1" applyAlignment="1">
      <alignment vertical="center" wrapText="1"/>
    </xf>
    <xf numFmtId="0" fontId="31" fillId="5" borderId="41" xfId="0" applyFont="1" applyFill="1" applyBorder="1" applyAlignment="1">
      <alignment horizontal="center" vertical="center" wrapText="1"/>
    </xf>
    <xf numFmtId="0" fontId="31" fillId="5" borderId="38" xfId="0" applyFont="1" applyFill="1" applyBorder="1" applyAlignment="1">
      <alignment vertical="center"/>
    </xf>
    <xf numFmtId="0" fontId="31" fillId="13" borderId="4" xfId="0" applyFont="1" applyFill="1" applyBorder="1" applyAlignment="1">
      <alignment vertical="center"/>
    </xf>
    <xf numFmtId="0" fontId="31" fillId="3" borderId="52" xfId="0" applyFont="1" applyFill="1" applyBorder="1" applyAlignment="1" applyProtection="1">
      <alignment vertical="center"/>
      <protection locked="0"/>
    </xf>
    <xf numFmtId="0" fontId="31" fillId="3" borderId="52" xfId="0" applyFont="1" applyFill="1" applyBorder="1" applyAlignment="1" applyProtection="1">
      <alignment horizontal="center" vertical="center"/>
      <protection locked="0"/>
    </xf>
    <xf numFmtId="0" fontId="31" fillId="3" borderId="46" xfId="0" applyFont="1" applyFill="1" applyBorder="1" applyAlignment="1" applyProtection="1">
      <alignment horizontal="center" vertical="center"/>
      <protection locked="0"/>
    </xf>
    <xf numFmtId="0" fontId="31" fillId="3" borderId="47" xfId="0" applyFont="1" applyFill="1" applyBorder="1" applyAlignment="1" applyProtection="1">
      <alignment horizontal="center" vertical="center"/>
      <protection locked="0"/>
    </xf>
    <xf numFmtId="0" fontId="31" fillId="4" borderId="27" xfId="0" applyFont="1" applyFill="1" applyBorder="1" applyAlignment="1">
      <alignment horizontal="center" vertical="center"/>
    </xf>
    <xf numFmtId="164" fontId="31" fillId="10" borderId="26" xfId="0" applyNumberFormat="1" applyFont="1" applyFill="1" applyBorder="1" applyAlignment="1">
      <alignment horizontal="center" vertical="center"/>
    </xf>
    <xf numFmtId="0" fontId="31" fillId="3" borderId="53" xfId="0" applyFont="1" applyFill="1" applyBorder="1" applyAlignment="1" applyProtection="1">
      <alignment vertical="center"/>
      <protection locked="0"/>
    </xf>
    <xf numFmtId="0" fontId="31" fillId="3" borderId="53" xfId="0" applyFont="1" applyFill="1" applyBorder="1" applyAlignment="1" applyProtection="1">
      <alignment horizontal="center" vertical="center"/>
      <protection locked="0"/>
    </xf>
    <xf numFmtId="0" fontId="31" fillId="3" borderId="48" xfId="0" applyFont="1" applyFill="1" applyBorder="1" applyAlignment="1" applyProtection="1">
      <alignment horizontal="center" vertical="center"/>
      <protection locked="0"/>
    </xf>
    <xf numFmtId="0" fontId="31" fillId="3" borderId="49" xfId="0" applyFont="1" applyFill="1" applyBorder="1" applyAlignment="1" applyProtection="1">
      <alignment horizontal="center" vertical="center"/>
      <protection locked="0"/>
    </xf>
    <xf numFmtId="0" fontId="31" fillId="3" borderId="56" xfId="0" applyFont="1" applyFill="1" applyBorder="1" applyAlignment="1" applyProtection="1">
      <alignment vertical="center"/>
      <protection locked="0"/>
    </xf>
    <xf numFmtId="164" fontId="31" fillId="10" borderId="27" xfId="0" applyNumberFormat="1" applyFont="1" applyFill="1" applyBorder="1" applyAlignment="1">
      <alignment horizontal="center" vertical="center"/>
    </xf>
    <xf numFmtId="0" fontId="31" fillId="3" borderId="54" xfId="0" applyFont="1" applyFill="1" applyBorder="1" applyAlignment="1" applyProtection="1">
      <alignment vertical="center"/>
      <protection locked="0"/>
    </xf>
    <xf numFmtId="0" fontId="31" fillId="3" borderId="59" xfId="0" applyFont="1" applyFill="1" applyBorder="1" applyAlignment="1" applyProtection="1">
      <alignment horizontal="center" vertical="center"/>
      <protection locked="0"/>
    </xf>
    <xf numFmtId="0" fontId="31" fillId="3" borderId="50" xfId="0" applyFont="1" applyFill="1" applyBorder="1" applyAlignment="1" applyProtection="1">
      <alignment horizontal="center" vertical="center"/>
      <protection locked="0"/>
    </xf>
    <xf numFmtId="0" fontId="31" fillId="3" borderId="51" xfId="0" applyFont="1" applyFill="1" applyBorder="1" applyAlignment="1" applyProtection="1">
      <alignment horizontal="center" vertical="center"/>
      <protection locked="0"/>
    </xf>
    <xf numFmtId="164" fontId="31" fillId="3" borderId="2" xfId="0" applyNumberFormat="1" applyFont="1" applyFill="1" applyBorder="1" applyAlignment="1" applyProtection="1">
      <alignment horizontal="center" vertical="center"/>
      <protection locked="0"/>
    </xf>
    <xf numFmtId="0" fontId="31" fillId="3" borderId="57" xfId="0" applyFont="1" applyFill="1" applyBorder="1" applyAlignment="1" applyProtection="1">
      <alignment vertical="center"/>
      <protection locked="0"/>
    </xf>
    <xf numFmtId="0" fontId="31" fillId="3" borderId="38" xfId="0" applyFont="1" applyFill="1" applyBorder="1" applyAlignment="1" applyProtection="1">
      <alignment vertical="center"/>
      <protection locked="0"/>
    </xf>
    <xf numFmtId="0" fontId="31" fillId="14" borderId="26" xfId="0" applyFont="1" applyFill="1" applyBorder="1" applyAlignment="1">
      <alignment vertical="center"/>
    </xf>
    <xf numFmtId="0" fontId="31" fillId="3" borderId="58" xfId="0" applyFont="1" applyFill="1" applyBorder="1" applyAlignment="1" applyProtection="1">
      <alignment horizontal="center" vertical="center"/>
      <protection locked="0"/>
    </xf>
    <xf numFmtId="0" fontId="31" fillId="3" borderId="55" xfId="0" applyFont="1" applyFill="1" applyBorder="1" applyAlignment="1" applyProtection="1">
      <alignment horizontal="center" vertical="center"/>
      <protection locked="0"/>
    </xf>
    <xf numFmtId="0" fontId="31" fillId="4" borderId="4" xfId="0" applyFont="1" applyFill="1" applyBorder="1" applyAlignment="1">
      <alignment horizontal="center" vertical="center"/>
    </xf>
    <xf numFmtId="0" fontId="31" fillId="3" borderId="4" xfId="0" applyFont="1" applyFill="1" applyBorder="1" applyAlignment="1" applyProtection="1">
      <alignment horizontal="center" vertical="center"/>
      <protection locked="0"/>
    </xf>
    <xf numFmtId="0" fontId="31" fillId="14" borderId="27" xfId="0" applyFont="1" applyFill="1" applyBorder="1" applyAlignment="1">
      <alignment vertical="center"/>
    </xf>
    <xf numFmtId="164" fontId="31" fillId="5" borderId="7" xfId="0" applyNumberFormat="1" applyFont="1" applyFill="1" applyBorder="1" applyAlignment="1">
      <alignment horizontal="center" vertical="center" wrapText="1"/>
    </xf>
    <xf numFmtId="164" fontId="31" fillId="5" borderId="7" xfId="0" applyNumberFormat="1" applyFont="1" applyFill="1" applyBorder="1" applyAlignment="1">
      <alignment horizontal="right" vertical="center" wrapText="1"/>
    </xf>
    <xf numFmtId="0" fontId="31" fillId="4" borderId="26" xfId="0" applyFont="1" applyFill="1" applyBorder="1" applyAlignment="1">
      <alignment vertical="center" wrapText="1"/>
    </xf>
    <xf numFmtId="164" fontId="31" fillId="5" borderId="39" xfId="0" applyNumberFormat="1" applyFont="1" applyFill="1" applyBorder="1" applyAlignment="1">
      <alignment horizontal="right" vertical="center" wrapText="1"/>
    </xf>
    <xf numFmtId="164" fontId="31" fillId="5" borderId="4" xfId="0" applyNumberFormat="1" applyFont="1" applyFill="1" applyBorder="1" applyAlignment="1">
      <alignment horizontal="center" vertical="center"/>
    </xf>
    <xf numFmtId="44" fontId="31" fillId="4" borderId="26" xfId="0" applyNumberFormat="1" applyFont="1" applyFill="1" applyBorder="1" applyAlignment="1">
      <alignment vertical="center" wrapText="1"/>
    </xf>
    <xf numFmtId="164" fontId="31" fillId="5" borderId="7" xfId="0" applyNumberFormat="1" applyFont="1" applyFill="1" applyBorder="1" applyAlignment="1">
      <alignment horizontal="center" vertical="center"/>
    </xf>
    <xf numFmtId="164" fontId="31" fillId="10" borderId="7" xfId="0" applyNumberFormat="1" applyFont="1" applyFill="1" applyBorder="1" applyAlignment="1">
      <alignment horizontal="right" vertical="center"/>
    </xf>
    <xf numFmtId="44" fontId="31" fillId="4" borderId="4" xfId="0" applyNumberFormat="1" applyFont="1" applyFill="1" applyBorder="1" applyAlignment="1">
      <alignment horizontal="center" vertical="center"/>
    </xf>
    <xf numFmtId="164" fontId="31" fillId="10" borderId="39" xfId="0" applyNumberFormat="1" applyFont="1" applyFill="1" applyBorder="1" applyAlignment="1">
      <alignment horizontal="right" vertical="center"/>
    </xf>
    <xf numFmtId="0" fontId="31" fillId="0" borderId="0" xfId="0" applyFont="1" applyAlignment="1">
      <alignment horizontal="right" vertical="center"/>
    </xf>
    <xf numFmtId="164" fontId="31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right" vertical="center"/>
    </xf>
    <xf numFmtId="44" fontId="31" fillId="4" borderId="26" xfId="0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38" xfId="0" applyFont="1" applyBorder="1" applyAlignment="1">
      <alignment vertical="center"/>
    </xf>
    <xf numFmtId="164" fontId="31" fillId="0" borderId="4" xfId="0" applyNumberFormat="1" applyFont="1" applyBorder="1" applyAlignment="1">
      <alignment horizontal="right" vertical="center"/>
    </xf>
    <xf numFmtId="164" fontId="31" fillId="5" borderId="39" xfId="0" applyNumberFormat="1" applyFont="1" applyFill="1" applyBorder="1" applyAlignment="1">
      <alignment horizontal="center" vertical="center" wrapText="1"/>
    </xf>
    <xf numFmtId="164" fontId="31" fillId="10" borderId="7" xfId="0" applyNumberFormat="1" applyFont="1" applyFill="1" applyBorder="1" applyAlignment="1">
      <alignment horizontal="right" vertical="center" wrapText="1"/>
    </xf>
    <xf numFmtId="164" fontId="31" fillId="12" borderId="7" xfId="0" applyNumberFormat="1" applyFont="1" applyFill="1" applyBorder="1" applyAlignment="1">
      <alignment horizontal="right" vertical="center" wrapText="1"/>
    </xf>
    <xf numFmtId="164" fontId="31" fillId="5" borderId="39" xfId="0" applyNumberFormat="1" applyFont="1" applyFill="1" applyBorder="1" applyAlignment="1">
      <alignment horizontal="center" vertical="center"/>
    </xf>
    <xf numFmtId="164" fontId="31" fillId="12" borderId="7" xfId="0" applyNumberFormat="1" applyFont="1" applyFill="1" applyBorder="1" applyAlignment="1">
      <alignment horizontal="right" vertical="center"/>
    </xf>
    <xf numFmtId="44" fontId="31" fillId="4" borderId="4" xfId="0" applyNumberFormat="1" applyFont="1" applyFill="1" applyBorder="1" applyAlignment="1">
      <alignment vertical="center" wrapText="1"/>
    </xf>
    <xf numFmtId="44" fontId="31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vertical="center"/>
    </xf>
    <xf numFmtId="0" fontId="31" fillId="3" borderId="16" xfId="0" applyFont="1" applyFill="1" applyBorder="1" applyAlignment="1" applyProtection="1">
      <alignment vertical="center"/>
      <protection locked="0"/>
    </xf>
    <xf numFmtId="0" fontId="31" fillId="3" borderId="18" xfId="0" applyFont="1" applyFill="1" applyBorder="1" applyAlignment="1" applyProtection="1">
      <alignment vertical="center"/>
      <protection locked="0"/>
    </xf>
    <xf numFmtId="0" fontId="31" fillId="5" borderId="26" xfId="0" applyFont="1" applyFill="1" applyBorder="1" applyAlignment="1">
      <alignment vertical="center"/>
    </xf>
    <xf numFmtId="0" fontId="31" fillId="5" borderId="27" xfId="0" applyFont="1" applyFill="1" applyBorder="1" applyAlignment="1">
      <alignment vertical="center"/>
    </xf>
    <xf numFmtId="0" fontId="31" fillId="5" borderId="25" xfId="0" applyFont="1" applyFill="1" applyBorder="1" applyAlignment="1">
      <alignment vertical="center"/>
    </xf>
    <xf numFmtId="0" fontId="32" fillId="4" borderId="38" xfId="0" applyFont="1" applyFill="1" applyBorder="1" applyAlignment="1">
      <alignment vertical="center"/>
    </xf>
    <xf numFmtId="0" fontId="32" fillId="4" borderId="7" xfId="0" applyFont="1" applyFill="1" applyBorder="1" applyAlignment="1">
      <alignment vertical="center"/>
    </xf>
    <xf numFmtId="0" fontId="32" fillId="4" borderId="39" xfId="0" applyFont="1" applyFill="1" applyBorder="1" applyAlignment="1">
      <alignment vertical="center"/>
    </xf>
    <xf numFmtId="0" fontId="31" fillId="3" borderId="64" xfId="0" applyFont="1" applyFill="1" applyBorder="1" applyAlignment="1" applyProtection="1">
      <alignment vertical="center"/>
      <protection locked="0"/>
    </xf>
    <xf numFmtId="0" fontId="31" fillId="3" borderId="65" xfId="0" applyFont="1" applyFill="1" applyBorder="1" applyAlignment="1" applyProtection="1">
      <alignment vertical="center"/>
      <protection locked="0"/>
    </xf>
    <xf numFmtId="0" fontId="31" fillId="3" borderId="21" xfId="0" applyFont="1" applyFill="1" applyBorder="1" applyAlignment="1" applyProtection="1">
      <alignment vertical="center"/>
      <protection locked="0"/>
    </xf>
    <xf numFmtId="0" fontId="31" fillId="3" borderId="66" xfId="0" applyFont="1" applyFill="1" applyBorder="1" applyAlignment="1" applyProtection="1">
      <alignment vertical="center"/>
      <protection locked="0"/>
    </xf>
    <xf numFmtId="164" fontId="31" fillId="10" borderId="38" xfId="0" applyNumberFormat="1" applyFont="1" applyFill="1" applyBorder="1" applyAlignment="1">
      <alignment horizontal="right" vertical="center"/>
    </xf>
    <xf numFmtId="164" fontId="31" fillId="5" borderId="38" xfId="0" applyNumberFormat="1" applyFont="1" applyFill="1" applyBorder="1" applyAlignment="1">
      <alignment horizontal="right" vertical="center" wrapText="1"/>
    </xf>
    <xf numFmtId="164" fontId="31" fillId="5" borderId="41" xfId="0" applyNumberFormat="1" applyFont="1" applyFill="1" applyBorder="1" applyAlignment="1">
      <alignment horizontal="right" vertical="center" wrapText="1"/>
    </xf>
    <xf numFmtId="164" fontId="31" fillId="5" borderId="40" xfId="0" applyNumberFormat="1" applyFont="1" applyFill="1" applyBorder="1" applyAlignment="1">
      <alignment horizontal="right" vertical="center" wrapText="1"/>
    </xf>
    <xf numFmtId="164" fontId="31" fillId="5" borderId="67" xfId="0" applyNumberFormat="1" applyFont="1" applyFill="1" applyBorder="1" applyAlignment="1">
      <alignment horizontal="right" vertical="center" wrapText="1"/>
    </xf>
    <xf numFmtId="164" fontId="31" fillId="12" borderId="38" xfId="0" applyNumberFormat="1" applyFont="1" applyFill="1" applyBorder="1" applyAlignment="1">
      <alignment horizontal="right" vertical="center" wrapText="1"/>
    </xf>
    <xf numFmtId="164" fontId="31" fillId="12" borderId="39" xfId="0" applyNumberFormat="1" applyFont="1" applyFill="1" applyBorder="1" applyAlignment="1">
      <alignment horizontal="right" vertical="center" wrapText="1"/>
    </xf>
    <xf numFmtId="164" fontId="31" fillId="12" borderId="38" xfId="0" applyNumberFormat="1" applyFont="1" applyFill="1" applyBorder="1" applyAlignment="1">
      <alignment horizontal="right" vertical="center"/>
    </xf>
    <xf numFmtId="164" fontId="31" fillId="12" borderId="39" xfId="0" applyNumberFormat="1" applyFont="1" applyFill="1" applyBorder="1" applyAlignment="1">
      <alignment horizontal="right" vertical="center"/>
    </xf>
    <xf numFmtId="164" fontId="31" fillId="10" borderId="41" xfId="0" applyNumberFormat="1" applyFont="1" applyFill="1" applyBorder="1" applyAlignment="1">
      <alignment horizontal="center" vertical="center" wrapText="1"/>
    </xf>
    <xf numFmtId="164" fontId="31" fillId="3" borderId="70" xfId="0" applyNumberFormat="1" applyFont="1" applyFill="1" applyBorder="1" applyAlignment="1" applyProtection="1">
      <alignment horizontal="center" vertical="center"/>
      <protection locked="0"/>
    </xf>
    <xf numFmtId="44" fontId="31" fillId="9" borderId="68" xfId="1" applyFont="1" applyFill="1" applyBorder="1" applyAlignment="1" applyProtection="1">
      <alignment horizontal="center" vertical="center"/>
    </xf>
    <xf numFmtId="44" fontId="31" fillId="9" borderId="69" xfId="1" applyFont="1" applyFill="1" applyBorder="1" applyAlignment="1" applyProtection="1">
      <alignment horizontal="center" vertical="center"/>
    </xf>
    <xf numFmtId="44" fontId="31" fillId="9" borderId="70" xfId="1" applyFont="1" applyFill="1" applyBorder="1" applyAlignment="1" applyProtection="1">
      <alignment horizontal="center" vertical="center"/>
    </xf>
    <xf numFmtId="44" fontId="31" fillId="9" borderId="71" xfId="1" applyFont="1" applyFill="1" applyBorder="1" applyAlignment="1" applyProtection="1">
      <alignment horizontal="center" vertical="center"/>
    </xf>
    <xf numFmtId="44" fontId="31" fillId="9" borderId="72" xfId="1" applyFont="1" applyFill="1" applyBorder="1" applyAlignment="1" applyProtection="1">
      <alignment horizontal="center" vertical="center"/>
    </xf>
    <xf numFmtId="44" fontId="31" fillId="9" borderId="73" xfId="1" applyFont="1" applyFill="1" applyBorder="1" applyAlignment="1" applyProtection="1">
      <alignment horizontal="center" vertical="center"/>
    </xf>
    <xf numFmtId="44" fontId="31" fillId="9" borderId="74" xfId="1" applyFont="1" applyFill="1" applyBorder="1" applyAlignment="1" applyProtection="1">
      <alignment horizontal="center" vertical="center"/>
    </xf>
    <xf numFmtId="44" fontId="31" fillId="9" borderId="75" xfId="1" applyFont="1" applyFill="1" applyBorder="1" applyAlignment="1" applyProtection="1">
      <alignment horizontal="center" vertical="center"/>
    </xf>
    <xf numFmtId="44" fontId="31" fillId="9" borderId="76" xfId="1" applyFont="1" applyFill="1" applyBorder="1" applyAlignment="1" applyProtection="1">
      <alignment horizontal="center" vertical="center"/>
    </xf>
    <xf numFmtId="0" fontId="33" fillId="6" borderId="79" xfId="3" applyFont="1" applyFill="1" applyBorder="1" applyAlignment="1" applyProtection="1">
      <alignment vertical="center"/>
      <protection locked="0"/>
    </xf>
    <xf numFmtId="0" fontId="0" fillId="0" borderId="42" xfId="0" applyBorder="1" applyAlignment="1">
      <alignment vertical="center"/>
    </xf>
    <xf numFmtId="0" fontId="0" fillId="0" borderId="60" xfId="0" applyBorder="1" applyAlignment="1">
      <alignment vertical="center"/>
    </xf>
    <xf numFmtId="0" fontId="34" fillId="6" borderId="77" xfId="0" applyFont="1" applyFill="1" applyBorder="1" applyAlignment="1" applyProtection="1">
      <alignment vertical="center"/>
      <protection locked="0"/>
    </xf>
    <xf numFmtId="0" fontId="0" fillId="0" borderId="33" xfId="0" applyBorder="1" applyAlignment="1">
      <alignment vertical="center"/>
    </xf>
    <xf numFmtId="0" fontId="0" fillId="0" borderId="61" xfId="0" applyBorder="1" applyAlignment="1">
      <alignment vertical="center"/>
    </xf>
    <xf numFmtId="0" fontId="34" fillId="6" borderId="78" xfId="0" applyFont="1" applyFill="1" applyBorder="1" applyAlignment="1" applyProtection="1">
      <alignment vertical="center"/>
      <protection locked="0"/>
    </xf>
    <xf numFmtId="0" fontId="0" fillId="0" borderId="62" xfId="0" applyBorder="1" applyAlignment="1">
      <alignment vertical="center"/>
    </xf>
    <xf numFmtId="0" fontId="0" fillId="0" borderId="63" xfId="0" applyBorder="1" applyAlignment="1">
      <alignment vertical="center"/>
    </xf>
    <xf numFmtId="0" fontId="0" fillId="3" borderId="15" xfId="0" applyFill="1" applyBorder="1" applyAlignment="1" applyProtection="1">
      <alignment horizontal="left" indent="1"/>
      <protection locked="0"/>
    </xf>
    <xf numFmtId="0" fontId="0" fillId="3" borderId="19" xfId="0" applyFill="1" applyBorder="1" applyAlignment="1" applyProtection="1">
      <alignment horizontal="left" indent="1"/>
      <protection locked="0"/>
    </xf>
    <xf numFmtId="0" fontId="0" fillId="3" borderId="18" xfId="0" applyFill="1" applyBorder="1" applyAlignment="1" applyProtection="1">
      <alignment horizontal="left" indent="1"/>
      <protection locked="0"/>
    </xf>
    <xf numFmtId="0" fontId="0" fillId="3" borderId="3" xfId="0" applyFill="1" applyBorder="1" applyAlignment="1" applyProtection="1">
      <alignment horizontal="left" indent="1"/>
      <protection locked="0"/>
    </xf>
    <xf numFmtId="0" fontId="0" fillId="3" borderId="15" xfId="0" applyFill="1" applyBorder="1" applyAlignment="1" applyProtection="1">
      <alignment horizontal="left" vertical="top" wrapText="1" indent="1"/>
      <protection locked="0"/>
    </xf>
    <xf numFmtId="9" fontId="0" fillId="3" borderId="19" xfId="0" applyNumberFormat="1" applyFill="1" applyBorder="1" applyAlignment="1" applyProtection="1">
      <alignment horizontal="left" indent="1"/>
      <protection locked="0"/>
    </xf>
    <xf numFmtId="9" fontId="0" fillId="3" borderId="18" xfId="0" applyNumberFormat="1" applyFill="1" applyBorder="1" applyAlignment="1" applyProtection="1">
      <alignment horizontal="left" indent="1"/>
      <protection locked="0"/>
    </xf>
    <xf numFmtId="9" fontId="0" fillId="3" borderId="15" xfId="0" applyNumberFormat="1" applyFill="1" applyBorder="1" applyAlignment="1" applyProtection="1">
      <alignment horizontal="left" indent="1"/>
      <protection locked="0"/>
    </xf>
    <xf numFmtId="9" fontId="0" fillId="0" borderId="17" xfId="0" applyNumberFormat="1" applyBorder="1" applyAlignment="1">
      <alignment horizontal="left"/>
    </xf>
    <xf numFmtId="0" fontId="0" fillId="0" borderId="17" xfId="0" applyBorder="1" applyAlignment="1">
      <alignment horizontal="left"/>
    </xf>
    <xf numFmtId="0" fontId="8" fillId="4" borderId="33" xfId="0" applyFont="1" applyFill="1" applyBorder="1" applyAlignment="1">
      <alignment horizontal="center"/>
    </xf>
    <xf numFmtId="0" fontId="7" fillId="4" borderId="22" xfId="0" applyFont="1" applyFill="1" applyBorder="1" applyAlignment="1"/>
    <xf numFmtId="0" fontId="7" fillId="4" borderId="21" xfId="0" applyFont="1" applyFill="1" applyBorder="1" applyAlignment="1"/>
    <xf numFmtId="0" fontId="0" fillId="0" borderId="0" xfId="0" applyAlignment="1"/>
    <xf numFmtId="0" fontId="0" fillId="0" borderId="17" xfId="0" applyBorder="1" applyAlignment="1"/>
  </cellXfs>
  <cellStyles count="5">
    <cellStyle name="Currency" xfId="1" builtinId="4"/>
    <cellStyle name="Hyperlink" xfId="3" builtinId="8"/>
    <cellStyle name="Normal" xfId="0" builtinId="0"/>
    <cellStyle name="Normal 2" xfId="4" xr:uid="{131B0595-ECCD-45B6-AEDC-FF5578361C16}"/>
    <cellStyle name="Percent" xfId="2" builtinId="5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7E79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299357</xdr:colOff>
      <xdr:row>33</xdr:row>
      <xdr:rowOff>0</xdr:rowOff>
    </xdr:from>
    <xdr:to>
      <xdr:col>2</xdr:col>
      <xdr:colOff>0</xdr:colOff>
      <xdr:row>33</xdr:row>
      <xdr:rowOff>1702</xdr:rowOff>
    </xdr:to>
    <xdr:pic>
      <xdr:nvPicPr>
        <xdr:cNvPr id="4" name="Grafik 9">
          <a:extLst>
            <a:ext uri="{FF2B5EF4-FFF2-40B4-BE49-F238E27FC236}">
              <a16:creationId xmlns:a16="http://schemas.microsoft.com/office/drawing/2014/main" id="{4348B129-86E3-4AAE-9483-BD31A5E58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819775" y="7524750"/>
          <a:ext cx="0" cy="1702"/>
        </a:xfrm>
        <a:prstGeom prst="rect">
          <a:avLst/>
        </a:prstGeom>
      </xdr:spPr>
    </xdr:pic>
    <xdr:clientData/>
  </xdr:twoCellAnchor>
  <xdr:twoCellAnchor>
    <xdr:from>
      <xdr:col>1</xdr:col>
      <xdr:colOff>299357</xdr:colOff>
      <xdr:row>42</xdr:row>
      <xdr:rowOff>0</xdr:rowOff>
    </xdr:from>
    <xdr:to>
      <xdr:col>2</xdr:col>
      <xdr:colOff>0</xdr:colOff>
      <xdr:row>42</xdr:row>
      <xdr:rowOff>1702</xdr:rowOff>
    </xdr:to>
    <xdr:pic>
      <xdr:nvPicPr>
        <xdr:cNvPr id="5" name="Grafik 9">
          <a:extLst>
            <a:ext uri="{FF2B5EF4-FFF2-40B4-BE49-F238E27FC236}">
              <a16:creationId xmlns:a16="http://schemas.microsoft.com/office/drawing/2014/main" id="{04B949A6-8450-4556-86C1-79EAD2E3A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819775" y="9239250"/>
          <a:ext cx="0" cy="17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AE13D-100D-F24A-B564-8523C9D9E047}">
  <dimension ref="A1:D96"/>
  <sheetViews>
    <sheetView zoomScale="85" workbookViewId="0">
      <selection activeCell="D9" sqref="D9"/>
    </sheetView>
  </sheetViews>
  <sheetFormatPr defaultColWidth="11" defaultRowHeight="15.95"/>
  <cols>
    <col min="1" max="1" width="32.5" customWidth="1"/>
    <col min="2" max="2" width="22.5" customWidth="1"/>
    <col min="3" max="3" width="15" customWidth="1"/>
    <col min="4" max="4" width="68.875" customWidth="1"/>
    <col min="5" max="10" width="15" customWidth="1"/>
  </cols>
  <sheetData>
    <row r="1" spans="1:4" ht="17.100000000000001" thickBot="1">
      <c r="A1" s="18" t="s">
        <v>0</v>
      </c>
      <c r="B1" s="283" t="s">
        <v>1</v>
      </c>
      <c r="C1" s="284"/>
      <c r="D1" s="18" t="s">
        <v>2</v>
      </c>
    </row>
    <row r="2" spans="1:4">
      <c r="A2" s="19" t="s">
        <v>3</v>
      </c>
      <c r="B2" s="275"/>
      <c r="C2" s="275"/>
      <c r="D2" s="15" t="s">
        <v>4</v>
      </c>
    </row>
    <row r="3" spans="1:4">
      <c r="A3" s="20" t="s">
        <v>5</v>
      </c>
      <c r="B3" s="272"/>
      <c r="C3" s="272"/>
      <c r="D3" s="14" t="s">
        <v>6</v>
      </c>
    </row>
    <row r="4" spans="1:4">
      <c r="A4" s="20" t="s">
        <v>7</v>
      </c>
      <c r="B4" s="272"/>
      <c r="C4" s="272"/>
      <c r="D4" s="14" t="s">
        <v>8</v>
      </c>
    </row>
    <row r="5" spans="1:4">
      <c r="A5" s="20" t="s">
        <v>9</v>
      </c>
      <c r="B5" s="272"/>
      <c r="C5" s="272"/>
      <c r="D5" s="14" t="s">
        <v>10</v>
      </c>
    </row>
    <row r="6" spans="1:4">
      <c r="A6" s="20" t="s">
        <v>11</v>
      </c>
      <c r="B6" s="272"/>
      <c r="C6" s="272"/>
      <c r="D6" s="14"/>
    </row>
    <row r="7" spans="1:4">
      <c r="A7" s="20" t="s">
        <v>12</v>
      </c>
      <c r="B7" s="272"/>
      <c r="C7" s="272"/>
      <c r="D7" s="14"/>
    </row>
    <row r="8" spans="1:4">
      <c r="A8" s="20" t="s">
        <v>13</v>
      </c>
      <c r="B8" s="272"/>
      <c r="C8" s="272"/>
      <c r="D8" s="14"/>
    </row>
    <row r="9" spans="1:4">
      <c r="A9" s="20" t="s">
        <v>14</v>
      </c>
      <c r="B9" s="272"/>
      <c r="C9" s="272"/>
      <c r="D9" s="14"/>
    </row>
    <row r="10" spans="1:4">
      <c r="B10" s="285"/>
      <c r="C10" s="285"/>
    </row>
    <row r="11" spans="1:4" ht="17.100000000000001" thickBot="1">
      <c r="A11" s="18" t="s">
        <v>15</v>
      </c>
      <c r="B11" s="283" t="s">
        <v>1</v>
      </c>
      <c r="C11" s="284"/>
      <c r="D11" s="18" t="s">
        <v>2</v>
      </c>
    </row>
    <row r="12" spans="1:4">
      <c r="A12" s="20" t="s">
        <v>16</v>
      </c>
      <c r="B12" s="272"/>
      <c r="C12" s="272"/>
      <c r="D12" s="14"/>
    </row>
    <row r="13" spans="1:4">
      <c r="A13" s="20" t="s">
        <v>17</v>
      </c>
      <c r="B13" s="157"/>
      <c r="C13" s="157"/>
      <c r="D13" s="15"/>
    </row>
    <row r="14" spans="1:4">
      <c r="A14" s="20" t="s">
        <v>18</v>
      </c>
      <c r="B14" s="272"/>
      <c r="C14" s="272"/>
      <c r="D14" s="15"/>
    </row>
    <row r="15" spans="1:4">
      <c r="A15" s="20" t="s">
        <v>19</v>
      </c>
      <c r="B15" s="272"/>
      <c r="C15" s="272"/>
      <c r="D15" s="14"/>
    </row>
    <row r="16" spans="1:4">
      <c r="A16" s="20" t="s">
        <v>20</v>
      </c>
      <c r="B16" s="272"/>
      <c r="C16" s="272"/>
      <c r="D16" s="14"/>
    </row>
    <row r="17" spans="1:4">
      <c r="A17" s="20" t="s">
        <v>21</v>
      </c>
      <c r="B17" s="13"/>
      <c r="C17" s="14"/>
      <c r="D17" s="14"/>
    </row>
    <row r="18" spans="1:4">
      <c r="A18" s="20" t="s">
        <v>22</v>
      </c>
      <c r="B18" s="13"/>
      <c r="C18" s="14"/>
      <c r="D18" s="14"/>
    </row>
    <row r="19" spans="1:4">
      <c r="A19" s="20" t="s">
        <v>23</v>
      </c>
      <c r="B19" s="273"/>
      <c r="C19" s="274"/>
      <c r="D19" s="14"/>
    </row>
    <row r="20" spans="1:4">
      <c r="A20" s="20" t="s">
        <v>24</v>
      </c>
      <c r="B20" s="273"/>
      <c r="C20" s="274"/>
      <c r="D20" s="14"/>
    </row>
    <row r="21" spans="1:4">
      <c r="A21" s="20" t="s">
        <v>25</v>
      </c>
      <c r="B21" s="272"/>
      <c r="C21" s="272"/>
      <c r="D21" s="14"/>
    </row>
    <row r="22" spans="1:4">
      <c r="A22" s="20" t="s">
        <v>26</v>
      </c>
      <c r="B22" s="272"/>
      <c r="C22" s="272"/>
      <c r="D22" s="14"/>
    </row>
    <row r="23" spans="1:4">
      <c r="A23" s="20" t="s">
        <v>27</v>
      </c>
      <c r="B23" s="272"/>
      <c r="C23" s="272"/>
      <c r="D23" s="14"/>
    </row>
    <row r="24" spans="1:4">
      <c r="A24" s="20" t="s">
        <v>28</v>
      </c>
      <c r="B24" s="272"/>
      <c r="C24" s="272"/>
      <c r="D24" s="14"/>
    </row>
    <row r="25" spans="1:4">
      <c r="A25" s="20" t="s">
        <v>29</v>
      </c>
      <c r="B25" s="272"/>
      <c r="C25" s="272"/>
      <c r="D25" s="14"/>
    </row>
    <row r="26" spans="1:4">
      <c r="A26" s="20" t="s">
        <v>30</v>
      </c>
      <c r="B26" s="272"/>
      <c r="C26" s="272"/>
      <c r="D26" s="14"/>
    </row>
    <row r="27" spans="1:4">
      <c r="A27" s="20" t="s">
        <v>31</v>
      </c>
      <c r="B27" s="272"/>
      <c r="C27" s="272"/>
      <c r="D27" s="14"/>
    </row>
    <row r="28" spans="1:4">
      <c r="A28" s="21" t="s">
        <v>32</v>
      </c>
      <c r="B28" s="272"/>
      <c r="C28" s="272"/>
      <c r="D28" s="14"/>
    </row>
    <row r="29" spans="1:4" ht="120.95" customHeight="1">
      <c r="A29" s="22" t="s">
        <v>33</v>
      </c>
      <c r="B29" s="276"/>
      <c r="C29" s="276"/>
      <c r="D29" s="276"/>
    </row>
    <row r="30" spans="1:4" ht="48" customHeight="1">
      <c r="A30" s="22" t="s">
        <v>34</v>
      </c>
      <c r="B30" s="276"/>
      <c r="C30" s="276"/>
      <c r="D30" s="276"/>
    </row>
    <row r="31" spans="1:4" ht="48" customHeight="1">
      <c r="A31" s="22" t="s">
        <v>35</v>
      </c>
      <c r="B31" s="276"/>
      <c r="C31" s="276"/>
      <c r="D31" s="276"/>
    </row>
    <row r="32" spans="1:4" ht="48" customHeight="1">
      <c r="A32" s="23" t="s">
        <v>36</v>
      </c>
      <c r="B32" s="276"/>
      <c r="C32" s="276"/>
      <c r="D32" s="276"/>
    </row>
    <row r="33" spans="1:4">
      <c r="B33" s="286"/>
      <c r="C33" s="286"/>
    </row>
    <row r="34" spans="1:4" ht="17.100000000000001" thickBot="1">
      <c r="A34" s="18" t="s">
        <v>37</v>
      </c>
      <c r="B34" s="283" t="s">
        <v>1</v>
      </c>
      <c r="C34" s="284"/>
      <c r="D34" s="18" t="s">
        <v>2</v>
      </c>
    </row>
    <row r="35" spans="1:4">
      <c r="A35" s="19" t="s">
        <v>38</v>
      </c>
      <c r="B35" s="275"/>
      <c r="C35" s="275"/>
      <c r="D35" s="15"/>
    </row>
    <row r="36" spans="1:4">
      <c r="A36" s="20" t="s">
        <v>39</v>
      </c>
      <c r="B36" s="275"/>
      <c r="C36" s="275"/>
      <c r="D36" s="14"/>
    </row>
    <row r="37" spans="1:4">
      <c r="A37" s="20" t="s">
        <v>40</v>
      </c>
      <c r="B37" s="277"/>
      <c r="C37" s="278"/>
      <c r="D37" s="14"/>
    </row>
    <row r="38" spans="1:4">
      <c r="A38" s="20" t="s">
        <v>41</v>
      </c>
      <c r="B38" s="279"/>
      <c r="C38" s="272"/>
      <c r="D38" s="14"/>
    </row>
    <row r="39" spans="1:4">
      <c r="A39" s="20" t="s">
        <v>42</v>
      </c>
      <c r="B39" s="279"/>
      <c r="C39" s="272"/>
      <c r="D39" s="14"/>
    </row>
    <row r="40" spans="1:4">
      <c r="A40" s="24"/>
      <c r="B40" s="280"/>
      <c r="C40" s="281"/>
    </row>
    <row r="41" spans="1:4" ht="17.100000000000001" thickBot="1">
      <c r="A41" s="18" t="s">
        <v>43</v>
      </c>
      <c r="B41" s="25" t="s">
        <v>44</v>
      </c>
      <c r="C41" s="25" t="s">
        <v>45</v>
      </c>
      <c r="D41" s="16" t="s">
        <v>46</v>
      </c>
    </row>
    <row r="42" spans="1:4">
      <c r="A42" s="19" t="s">
        <v>47</v>
      </c>
      <c r="B42" s="15"/>
      <c r="C42" s="15"/>
      <c r="D42" s="15"/>
    </row>
    <row r="43" spans="1:4">
      <c r="A43" s="20" t="s">
        <v>48</v>
      </c>
      <c r="B43" s="14"/>
      <c r="C43" s="14"/>
      <c r="D43" s="14"/>
    </row>
    <row r="44" spans="1:4">
      <c r="A44" s="20" t="s">
        <v>49</v>
      </c>
      <c r="B44" s="14"/>
      <c r="C44" s="14"/>
      <c r="D44" s="14"/>
    </row>
    <row r="45" spans="1:4">
      <c r="A45" s="20" t="s">
        <v>50</v>
      </c>
      <c r="B45" s="14"/>
      <c r="C45" s="14"/>
      <c r="D45" s="14"/>
    </row>
    <row r="46" spans="1:4">
      <c r="A46" s="20" t="s">
        <v>51</v>
      </c>
      <c r="B46" s="14"/>
      <c r="C46" s="14"/>
      <c r="D46" s="14"/>
    </row>
    <row r="47" spans="1:4">
      <c r="A47" s="20" t="s">
        <v>52</v>
      </c>
      <c r="B47" s="14"/>
      <c r="C47" s="14"/>
      <c r="D47" s="14"/>
    </row>
    <row r="48" spans="1:4">
      <c r="A48" s="20" t="s">
        <v>53</v>
      </c>
      <c r="B48" s="14"/>
      <c r="C48" s="14"/>
      <c r="D48" s="14"/>
    </row>
    <row r="49" spans="1:4">
      <c r="A49" s="20" t="s">
        <v>54</v>
      </c>
      <c r="B49" s="14"/>
      <c r="C49" s="14"/>
      <c r="D49" s="14"/>
    </row>
    <row r="50" spans="1:4">
      <c r="A50" s="20" t="s">
        <v>55</v>
      </c>
      <c r="B50" s="14"/>
      <c r="C50" s="14"/>
      <c r="D50" s="14"/>
    </row>
    <row r="51" spans="1:4">
      <c r="A51" s="20" t="s">
        <v>56</v>
      </c>
      <c r="B51" s="14"/>
      <c r="C51" s="14"/>
      <c r="D51" s="14"/>
    </row>
    <row r="52" spans="1:4">
      <c r="A52" s="20" t="s">
        <v>57</v>
      </c>
      <c r="B52" s="14"/>
      <c r="C52" s="14"/>
      <c r="D52" s="14"/>
    </row>
    <row r="53" spans="1:4">
      <c r="B53" s="285"/>
      <c r="C53" s="285"/>
    </row>
    <row r="54" spans="1:4" ht="17.100000000000001" thickBot="1">
      <c r="A54" s="18" t="s">
        <v>58</v>
      </c>
      <c r="B54" s="18" t="s">
        <v>59</v>
      </c>
      <c r="C54" s="17" t="s">
        <v>60</v>
      </c>
      <c r="D54" s="18" t="s">
        <v>61</v>
      </c>
    </row>
    <row r="55" spans="1:4">
      <c r="A55" s="26" t="str">
        <f>"00"</f>
        <v>00</v>
      </c>
      <c r="B55" s="30" t="s">
        <v>62</v>
      </c>
      <c r="C55" s="85"/>
      <c r="D55" s="11"/>
    </row>
    <row r="56" spans="1:4">
      <c r="A56" s="28" t="str">
        <f>"00"</f>
        <v>00</v>
      </c>
      <c r="B56" s="31" t="s">
        <v>63</v>
      </c>
      <c r="C56" s="86"/>
      <c r="D56" s="12"/>
    </row>
    <row r="57" spans="1:4">
      <c r="A57" s="28" t="str">
        <f>"00"</f>
        <v>00</v>
      </c>
      <c r="B57" s="31" t="s">
        <v>64</v>
      </c>
      <c r="C57" s="86"/>
      <c r="D57" s="12"/>
    </row>
    <row r="58" spans="1:4">
      <c r="A58" s="19" t="str">
        <f>"00"</f>
        <v>00</v>
      </c>
      <c r="B58" s="27" t="s">
        <v>65</v>
      </c>
      <c r="C58" s="82"/>
      <c r="D58" s="12"/>
    </row>
    <row r="59" spans="1:4">
      <c r="A59" s="20" t="str">
        <f>"01"</f>
        <v>01</v>
      </c>
      <c r="B59" s="29" t="s">
        <v>66</v>
      </c>
      <c r="C59" s="33"/>
      <c r="D59" s="12"/>
    </row>
    <row r="60" spans="1:4">
      <c r="A60" s="28" t="str">
        <f>"02"</f>
        <v>02</v>
      </c>
      <c r="B60" s="31" t="s">
        <v>67</v>
      </c>
      <c r="C60" s="86"/>
      <c r="D60" s="12"/>
    </row>
    <row r="61" spans="1:4">
      <c r="A61" s="21" t="str">
        <f>"03"</f>
        <v>03</v>
      </c>
      <c r="B61" s="32" t="s">
        <v>68</v>
      </c>
      <c r="C61" s="87"/>
      <c r="D61" s="12"/>
    </row>
    <row r="62" spans="1:4">
      <c r="A62" s="19" t="str">
        <f>"03"</f>
        <v>03</v>
      </c>
      <c r="B62" s="27" t="s">
        <v>69</v>
      </c>
      <c r="C62" s="82"/>
      <c r="D62" s="12"/>
    </row>
    <row r="63" spans="1:4">
      <c r="A63" s="28" t="str">
        <f>"04"</f>
        <v>04</v>
      </c>
      <c r="B63" s="31" t="s">
        <v>70</v>
      </c>
      <c r="C63" s="86"/>
      <c r="D63" s="12"/>
    </row>
    <row r="64" spans="1:4">
      <c r="A64" s="21" t="str">
        <f>"05"</f>
        <v>05</v>
      </c>
      <c r="B64" s="32" t="s">
        <v>71</v>
      </c>
      <c r="C64" s="87"/>
      <c r="D64" s="12"/>
    </row>
    <row r="65" spans="1:4">
      <c r="A65" s="19" t="str">
        <f>"05"</f>
        <v>05</v>
      </c>
      <c r="B65" s="27" t="s">
        <v>72</v>
      </c>
      <c r="C65" s="82"/>
      <c r="D65" s="12"/>
    </row>
    <row r="66" spans="1:4">
      <c r="A66" s="28" t="str">
        <f>"06"</f>
        <v>06</v>
      </c>
      <c r="B66" s="31" t="s">
        <v>73</v>
      </c>
      <c r="C66" s="86"/>
      <c r="D66" s="12"/>
    </row>
    <row r="67" spans="1:4">
      <c r="A67" s="28" t="str">
        <f>"06"</f>
        <v>06</v>
      </c>
      <c r="B67" s="31" t="s">
        <v>74</v>
      </c>
      <c r="C67" s="86"/>
      <c r="D67" s="12"/>
    </row>
    <row r="68" spans="1:4">
      <c r="A68" s="20" t="str">
        <f>"07"</f>
        <v>07</v>
      </c>
      <c r="B68" s="29" t="s">
        <v>75</v>
      </c>
      <c r="C68" s="33"/>
      <c r="D68" s="12"/>
    </row>
    <row r="69" spans="1:4">
      <c r="A69" s="28" t="str">
        <f>"08"</f>
        <v>08</v>
      </c>
      <c r="B69" s="31" t="s">
        <v>76</v>
      </c>
      <c r="C69" s="86"/>
      <c r="D69" s="12"/>
    </row>
    <row r="70" spans="1:4">
      <c r="A70" s="28" t="str">
        <f>"08"</f>
        <v>08</v>
      </c>
      <c r="B70" s="31" t="s">
        <v>77</v>
      </c>
      <c r="C70" s="86"/>
      <c r="D70" s="12"/>
    </row>
    <row r="71" spans="1:4">
      <c r="A71" s="28" t="str">
        <f>"08"</f>
        <v>08</v>
      </c>
      <c r="B71" s="31" t="s">
        <v>78</v>
      </c>
      <c r="C71" s="86"/>
      <c r="D71" s="12"/>
    </row>
    <row r="72" spans="1:4">
      <c r="A72" s="28" t="str">
        <f>"08"</f>
        <v>08</v>
      </c>
      <c r="B72" s="31" t="s">
        <v>79</v>
      </c>
      <c r="C72" s="86"/>
      <c r="D72" s="12"/>
    </row>
    <row r="73" spans="1:4">
      <c r="A73" s="21" t="str">
        <f>"09"</f>
        <v>09</v>
      </c>
      <c r="B73" s="32" t="s">
        <v>80</v>
      </c>
      <c r="C73" s="87"/>
      <c r="D73" s="12"/>
    </row>
    <row r="74" spans="1:4">
      <c r="A74" s="28" t="str">
        <f>"09"</f>
        <v>09</v>
      </c>
      <c r="B74" s="31" t="s">
        <v>81</v>
      </c>
      <c r="C74" s="86"/>
      <c r="D74" s="12"/>
    </row>
    <row r="75" spans="1:4">
      <c r="A75" s="28" t="str">
        <f t="shared" ref="A75:A77" si="0">"09"</f>
        <v>09</v>
      </c>
      <c r="B75" s="31" t="s">
        <v>82</v>
      </c>
      <c r="C75" s="86"/>
      <c r="D75" s="12"/>
    </row>
    <row r="76" spans="1:4">
      <c r="A76" s="28" t="str">
        <f t="shared" si="0"/>
        <v>09</v>
      </c>
      <c r="B76" s="31" t="s">
        <v>83</v>
      </c>
      <c r="C76" s="86"/>
      <c r="D76" s="12"/>
    </row>
    <row r="77" spans="1:4">
      <c r="A77" s="19" t="str">
        <f t="shared" si="0"/>
        <v>09</v>
      </c>
      <c r="B77" s="27" t="s">
        <v>84</v>
      </c>
      <c r="C77" s="82"/>
      <c r="D77" s="12"/>
    </row>
    <row r="78" spans="1:4">
      <c r="A78" s="28" t="str">
        <f>"10"</f>
        <v>10</v>
      </c>
      <c r="B78" s="31" t="s">
        <v>85</v>
      </c>
      <c r="C78" s="86"/>
      <c r="D78" s="12"/>
    </row>
    <row r="79" spans="1:4">
      <c r="A79" s="28" t="str">
        <f>"10"</f>
        <v>10</v>
      </c>
      <c r="B79" s="31" t="s">
        <v>86</v>
      </c>
      <c r="C79" s="86"/>
      <c r="D79" s="12"/>
    </row>
    <row r="80" spans="1:4">
      <c r="A80" s="28" t="str">
        <f>"10"</f>
        <v>10</v>
      </c>
      <c r="B80" s="31" t="s">
        <v>87</v>
      </c>
      <c r="C80" s="86"/>
      <c r="D80" s="12"/>
    </row>
    <row r="81" spans="1:4">
      <c r="A81" s="28" t="str">
        <f>"10"</f>
        <v>10</v>
      </c>
      <c r="B81" s="31" t="s">
        <v>88</v>
      </c>
      <c r="C81" s="86"/>
      <c r="D81" s="12"/>
    </row>
    <row r="82" spans="1:4">
      <c r="A82" s="20" t="str">
        <f>"11"</f>
        <v>11</v>
      </c>
      <c r="B82" s="29" t="s">
        <v>89</v>
      </c>
      <c r="C82" s="33"/>
      <c r="D82" s="12"/>
    </row>
    <row r="83" spans="1:4">
      <c r="A83" s="20" t="str">
        <f>"12"</f>
        <v>12</v>
      </c>
      <c r="B83" s="29" t="s">
        <v>90</v>
      </c>
      <c r="C83" s="33"/>
      <c r="D83" s="12"/>
    </row>
    <row r="84" spans="1:4">
      <c r="A84" s="20" t="str">
        <f>"13"</f>
        <v>13</v>
      </c>
      <c r="B84" s="29" t="s">
        <v>91</v>
      </c>
      <c r="C84" s="33"/>
      <c r="D84" s="12"/>
    </row>
    <row r="85" spans="1:4">
      <c r="A85" s="20" t="str">
        <f>"14"</f>
        <v>14</v>
      </c>
      <c r="B85" s="29" t="s">
        <v>92</v>
      </c>
      <c r="C85" s="33"/>
      <c r="D85" s="12"/>
    </row>
    <row r="86" spans="1:4">
      <c r="A86" s="20" t="str">
        <f>"21"</f>
        <v>21</v>
      </c>
      <c r="B86" s="29" t="s">
        <v>93</v>
      </c>
      <c r="C86" s="33"/>
      <c r="D86" s="12"/>
    </row>
    <row r="87" spans="1:4">
      <c r="A87" s="21" t="str">
        <f>"22"</f>
        <v>22</v>
      </c>
      <c r="B87" s="31" t="s">
        <v>94</v>
      </c>
      <c r="C87" s="86"/>
      <c r="D87" s="12"/>
    </row>
    <row r="88" spans="1:4">
      <c r="A88" s="19" t="str">
        <f>"22"</f>
        <v>22</v>
      </c>
      <c r="B88" s="31" t="s">
        <v>95</v>
      </c>
      <c r="C88" s="86"/>
      <c r="D88" s="12"/>
    </row>
    <row r="89" spans="1:4">
      <c r="A89" s="28" t="str">
        <f>"23"</f>
        <v>23</v>
      </c>
      <c r="B89" s="32" t="s">
        <v>96</v>
      </c>
      <c r="C89" s="87"/>
      <c r="D89" s="12"/>
    </row>
    <row r="90" spans="1:4">
      <c r="A90" s="28" t="str">
        <f>"23"</f>
        <v>23</v>
      </c>
      <c r="B90" s="31" t="s">
        <v>97</v>
      </c>
      <c r="C90" s="86"/>
      <c r="D90" s="12"/>
    </row>
    <row r="91" spans="1:4">
      <c r="A91" s="19" t="str">
        <f>"23"</f>
        <v>23</v>
      </c>
      <c r="B91" s="27" t="s">
        <v>98</v>
      </c>
      <c r="C91" s="82"/>
      <c r="D91" s="12"/>
    </row>
    <row r="92" spans="1:4">
      <c r="A92" s="20" t="str">
        <f>"26"</f>
        <v>26</v>
      </c>
      <c r="B92" s="29" t="s">
        <v>99</v>
      </c>
      <c r="C92" s="33"/>
      <c r="D92" s="12"/>
    </row>
    <row r="93" spans="1:4">
      <c r="A93" s="28" t="str">
        <f>"27"</f>
        <v>27</v>
      </c>
      <c r="B93" s="31" t="s">
        <v>100</v>
      </c>
      <c r="C93" s="86"/>
      <c r="D93" s="12"/>
    </row>
    <row r="94" spans="1:4">
      <c r="A94" s="19" t="str">
        <f>"27"</f>
        <v>27</v>
      </c>
      <c r="B94" s="31" t="s">
        <v>101</v>
      </c>
      <c r="C94" s="86"/>
      <c r="D94" s="12"/>
    </row>
    <row r="95" spans="1:4">
      <c r="A95" s="73" t="str">
        <f>"28"</f>
        <v>28</v>
      </c>
      <c r="B95" s="32" t="s">
        <v>102</v>
      </c>
      <c r="C95" s="87"/>
      <c r="D95" s="12"/>
    </row>
    <row r="96" spans="1:4">
      <c r="A96" s="74" t="str">
        <f>"28"</f>
        <v>28</v>
      </c>
      <c r="B96" s="27" t="s">
        <v>103</v>
      </c>
      <c r="C96" s="82"/>
      <c r="D96" s="12"/>
    </row>
  </sheetData>
  <sheetProtection formatColumns="0" formatRows="0" selectLockedCells="1"/>
  <mergeCells count="38">
    <mergeCell ref="B37:C37"/>
    <mergeCell ref="B53:C53"/>
    <mergeCell ref="B38:C38"/>
    <mergeCell ref="B40:C40"/>
    <mergeCell ref="B39:C39"/>
    <mergeCell ref="B27:C27"/>
    <mergeCell ref="B28:C28"/>
    <mergeCell ref="B29:D29"/>
    <mergeCell ref="B30:D30"/>
    <mergeCell ref="B25:C25"/>
    <mergeCell ref="B26:C26"/>
    <mergeCell ref="B36:C36"/>
    <mergeCell ref="B31:D31"/>
    <mergeCell ref="B33:C33"/>
    <mergeCell ref="B34:C34"/>
    <mergeCell ref="B35:C35"/>
    <mergeCell ref="B32:D32"/>
    <mergeCell ref="B14:C14"/>
    <mergeCell ref="B8:C8"/>
    <mergeCell ref="B1:C1"/>
    <mergeCell ref="B2:C2"/>
    <mergeCell ref="B3:C3"/>
    <mergeCell ref="B4:C4"/>
    <mergeCell ref="B5:C5"/>
    <mergeCell ref="B6:C6"/>
    <mergeCell ref="B7:C7"/>
    <mergeCell ref="B9:C9"/>
    <mergeCell ref="B10:C10"/>
    <mergeCell ref="B11:C11"/>
    <mergeCell ref="B12:C12"/>
    <mergeCell ref="B24:C24"/>
    <mergeCell ref="B20:C20"/>
    <mergeCell ref="B21:C21"/>
    <mergeCell ref="B15:C15"/>
    <mergeCell ref="B19:C19"/>
    <mergeCell ref="B16:C16"/>
    <mergeCell ref="B22:C22"/>
    <mergeCell ref="B23:C23"/>
  </mergeCells>
  <phoneticPr fontId="2" type="noConversion"/>
  <conditionalFormatting sqref="C42:C52">
    <cfRule type="containsText" dxfId="35" priority="3" operator="containsText" text="TBD">
      <formula>NOT(ISERROR(SEARCH("TBD",C42)))</formula>
    </cfRule>
    <cfRule type="containsText" dxfId="34" priority="4" operator="containsText" text="Yes">
      <formula>NOT(ISERROR(SEARCH("Yes",C42)))</formula>
    </cfRule>
  </conditionalFormatting>
  <conditionalFormatting sqref="C55:C96">
    <cfRule type="containsText" dxfId="33" priority="1" operator="containsText" text="TBD">
      <formula>NOT(ISERROR(SEARCH("TBD",C55)))</formula>
    </cfRule>
    <cfRule type="containsText" dxfId="32" priority="2" operator="containsText" text="Yes">
      <formula>NOT(ISERROR(SEARCH("Yes",C55)))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8F252E56-0B83-704C-BF74-037F346A8DC6}">
          <x14:formula1>
            <xm:f>'Estimating Drop Downs'!$L$2:$L$4</xm:f>
          </x14:formula1>
          <xm:sqref>B19:C19</xm:sqref>
        </x14:dataValidation>
        <x14:dataValidation type="list" allowBlank="1" showInputMessage="1" showErrorMessage="1" xr:uid="{AF768E98-A75B-354C-BA5D-A2F1E449E309}">
          <x14:formula1>
            <xm:f>'Estimating Drop Downs'!$M$2:$M$6</xm:f>
          </x14:formula1>
          <xm:sqref>B20:C20</xm:sqref>
        </x14:dataValidation>
        <x14:dataValidation type="list" allowBlank="1" showInputMessage="1" showErrorMessage="1" xr:uid="{064929B1-9667-D443-8B78-17219E941387}">
          <x14:formula1>
            <xm:f>'Estimating Drop Downs'!$E$2:$E$22</xm:f>
          </x14:formula1>
          <xm:sqref>B17:B18</xm:sqref>
        </x14:dataValidation>
        <x14:dataValidation type="list" allowBlank="1" showInputMessage="1" showErrorMessage="1" xr:uid="{58E785C2-63A2-5545-B79F-29D949FDE74A}">
          <x14:formula1>
            <xm:f>'Estimating Drop Downs'!$F$2:$F$26</xm:f>
          </x14:formula1>
          <xm:sqref>C17:C18</xm:sqref>
        </x14:dataValidation>
        <x14:dataValidation type="list" allowBlank="1" showInputMessage="1" showErrorMessage="1" xr:uid="{38FF3258-7529-8B46-B4EF-D102E873BE57}">
          <x14:formula1>
            <xm:f>'Estimating Drop Downs'!$A$2:$A$5</xm:f>
          </x14:formula1>
          <xm:sqref>C55:C96</xm:sqref>
        </x14:dataValidation>
        <x14:dataValidation type="list" allowBlank="1" showInputMessage="1" showErrorMessage="1" xr:uid="{5E7DE889-0D0C-8A47-B261-BFE587140608}">
          <x14:formula1>
            <xm:f>'Estimating Drop Downs'!$I$2:$I$19</xm:f>
          </x14:formula1>
          <xm:sqref>B6:C6</xm:sqref>
        </x14:dataValidation>
        <x14:dataValidation type="list" allowBlank="1" showInputMessage="1" showErrorMessage="1" xr:uid="{CE942E1A-DE6F-734B-8583-C228F8D89B9B}">
          <x14:formula1>
            <xm:f>'Estimating Drop Downs'!$J$2:$J$6</xm:f>
          </x14:formula1>
          <xm:sqref>B7:C7</xm:sqref>
        </x14:dataValidation>
        <x14:dataValidation type="list" allowBlank="1" showInputMessage="1" showErrorMessage="1" xr:uid="{DC741920-659E-CE46-9C32-BDED5252FB94}">
          <x14:formula1>
            <xm:f>'Estimating Drop Downs'!$C$2:$C$5</xm:f>
          </x14:formula1>
          <xm:sqref>B35:C35</xm:sqref>
        </x14:dataValidation>
        <x14:dataValidation type="list" allowBlank="1" showInputMessage="1" showErrorMessage="1" xr:uid="{20E2652C-AD6C-524F-A62B-B21928AF8A00}">
          <x14:formula1>
            <xm:f>'Estimating Drop Downs'!$B$2:$B$5</xm:f>
          </x14:formula1>
          <xm:sqref>B36:C36</xm:sqref>
        </x14:dataValidation>
        <x14:dataValidation type="list" allowBlank="1" showInputMessage="1" showErrorMessage="1" xr:uid="{72FCC9BE-BB16-0341-96EE-0481682ABC2A}">
          <x14:formula1>
            <xm:f>'Estimating Drop Downs'!$K$2:$K$11</xm:f>
          </x14:formula1>
          <xm:sqref>B37:C39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A39C0-D297-44A8-A034-64A49B21FCF8}">
  <dimension ref="A1:D43"/>
  <sheetViews>
    <sheetView topLeftCell="A6" workbookViewId="0">
      <selection activeCell="E11" sqref="E11"/>
    </sheetView>
  </sheetViews>
  <sheetFormatPr defaultColWidth="8.875" defaultRowHeight="15.95"/>
  <cols>
    <col min="1" max="1" width="36.5" bestFit="1" customWidth="1"/>
    <col min="2" max="2" width="13.625" customWidth="1"/>
    <col min="3" max="3" width="1.5" hidden="1" customWidth="1"/>
    <col min="4" max="4" width="12.625" customWidth="1"/>
  </cols>
  <sheetData>
    <row r="1" spans="1:4" ht="240">
      <c r="A1" s="162" t="s">
        <v>104</v>
      </c>
      <c r="B1" s="163" t="s">
        <v>105</v>
      </c>
      <c r="C1" s="164" t="s">
        <v>106</v>
      </c>
      <c r="D1" s="163" t="s">
        <v>107</v>
      </c>
    </row>
    <row r="2" spans="1:4">
      <c r="A2" s="165" t="s">
        <v>108</v>
      </c>
      <c r="B2" s="166">
        <v>2425</v>
      </c>
      <c r="C2" s="167">
        <f>B2*1.05</f>
        <v>2546.25</v>
      </c>
      <c r="D2" s="166">
        <f>C2*1.1</f>
        <v>2800.875</v>
      </c>
    </row>
    <row r="3" spans="1:4">
      <c r="A3" s="165" t="s">
        <v>109</v>
      </c>
      <c r="B3" s="166">
        <v>2920</v>
      </c>
      <c r="C3" s="167">
        <f t="shared" ref="C3:C43" si="0">B3*1.05</f>
        <v>3066</v>
      </c>
      <c r="D3" s="166">
        <f t="shared" ref="D3:D43" si="1">C3*1.1</f>
        <v>3372.6000000000004</v>
      </c>
    </row>
    <row r="4" spans="1:4">
      <c r="A4" s="165" t="s">
        <v>110</v>
      </c>
      <c r="B4" s="166">
        <v>2920</v>
      </c>
      <c r="C4" s="167">
        <f t="shared" si="0"/>
        <v>3066</v>
      </c>
      <c r="D4" s="166">
        <f t="shared" si="1"/>
        <v>3372.6000000000004</v>
      </c>
    </row>
    <row r="5" spans="1:4" ht="17.100000000000001">
      <c r="A5" s="168" t="s">
        <v>111</v>
      </c>
      <c r="B5" s="166">
        <v>2135</v>
      </c>
      <c r="C5" s="167">
        <f t="shared" si="0"/>
        <v>2241.75</v>
      </c>
      <c r="D5" s="166">
        <f t="shared" si="1"/>
        <v>2465.9250000000002</v>
      </c>
    </row>
    <row r="6" spans="1:4" ht="17.100000000000001">
      <c r="A6" s="168" t="s">
        <v>112</v>
      </c>
      <c r="B6" s="166">
        <v>1815</v>
      </c>
      <c r="C6" s="167">
        <f t="shared" si="0"/>
        <v>1905.75</v>
      </c>
      <c r="D6" s="166">
        <f t="shared" si="1"/>
        <v>2096.3250000000003</v>
      </c>
    </row>
    <row r="7" spans="1:4" ht="17.100000000000001">
      <c r="A7" s="168" t="s">
        <v>113</v>
      </c>
      <c r="B7" s="166">
        <v>1695</v>
      </c>
      <c r="C7" s="167">
        <f t="shared" si="0"/>
        <v>1779.75</v>
      </c>
      <c r="D7" s="166">
        <f t="shared" si="1"/>
        <v>1957.7250000000001</v>
      </c>
    </row>
    <row r="8" spans="1:4" ht="17.100000000000001">
      <c r="A8" s="168" t="s">
        <v>114</v>
      </c>
      <c r="B8" s="166">
        <v>1395</v>
      </c>
      <c r="C8" s="167">
        <f t="shared" si="0"/>
        <v>1464.75</v>
      </c>
      <c r="D8" s="166">
        <f t="shared" si="1"/>
        <v>1611.2250000000001</v>
      </c>
    </row>
    <row r="9" spans="1:4" ht="17.100000000000001">
      <c r="A9" s="168" t="s">
        <v>115</v>
      </c>
      <c r="B9" s="166">
        <v>2235</v>
      </c>
      <c r="C9" s="167">
        <f t="shared" si="0"/>
        <v>2346.75</v>
      </c>
      <c r="D9" s="166">
        <f t="shared" si="1"/>
        <v>2581.4250000000002</v>
      </c>
    </row>
    <row r="10" spans="1:4">
      <c r="A10" s="165" t="s">
        <v>116</v>
      </c>
      <c r="B10" s="166">
        <v>2045</v>
      </c>
      <c r="C10" s="167">
        <f t="shared" si="0"/>
        <v>2147.25</v>
      </c>
      <c r="D10" s="166">
        <f t="shared" si="1"/>
        <v>2361.9750000000004</v>
      </c>
    </row>
    <row r="11" spans="1:4">
      <c r="A11" s="165" t="s">
        <v>117</v>
      </c>
      <c r="B11" s="166">
        <v>2925</v>
      </c>
      <c r="C11" s="167">
        <f t="shared" si="0"/>
        <v>3071.25</v>
      </c>
      <c r="D11" s="166">
        <f t="shared" si="1"/>
        <v>3378.3750000000005</v>
      </c>
    </row>
    <row r="12" spans="1:4">
      <c r="A12" s="165" t="s">
        <v>118</v>
      </c>
      <c r="B12" s="166">
        <v>995</v>
      </c>
      <c r="C12" s="167">
        <f t="shared" si="0"/>
        <v>1044.75</v>
      </c>
      <c r="D12" s="166">
        <f t="shared" si="1"/>
        <v>1149.2250000000001</v>
      </c>
    </row>
    <row r="13" spans="1:4">
      <c r="A13" s="165" t="s">
        <v>119</v>
      </c>
      <c r="B13" s="166">
        <v>1095</v>
      </c>
      <c r="C13" s="167">
        <f t="shared" si="0"/>
        <v>1149.75</v>
      </c>
      <c r="D13" s="166">
        <f t="shared" si="1"/>
        <v>1264.7250000000001</v>
      </c>
    </row>
    <row r="14" spans="1:4">
      <c r="A14" s="165" t="s">
        <v>120</v>
      </c>
      <c r="B14" s="166">
        <v>845</v>
      </c>
      <c r="C14" s="167">
        <f t="shared" si="0"/>
        <v>887.25</v>
      </c>
      <c r="D14" s="166">
        <f t="shared" si="1"/>
        <v>975.97500000000002</v>
      </c>
    </row>
    <row r="15" spans="1:4" ht="17.100000000000001">
      <c r="A15" s="168" t="s">
        <v>121</v>
      </c>
      <c r="B15" s="166">
        <v>895</v>
      </c>
      <c r="C15" s="167">
        <f t="shared" si="0"/>
        <v>939.75</v>
      </c>
      <c r="D15" s="166">
        <f t="shared" si="1"/>
        <v>1033.7250000000001</v>
      </c>
    </row>
    <row r="16" spans="1:4" ht="17.100000000000001">
      <c r="A16" s="168" t="s">
        <v>122</v>
      </c>
      <c r="B16" s="166">
        <v>945</v>
      </c>
      <c r="C16" s="167">
        <f t="shared" si="0"/>
        <v>992.25</v>
      </c>
      <c r="D16" s="166">
        <f t="shared" si="1"/>
        <v>1091.4750000000001</v>
      </c>
    </row>
    <row r="17" spans="1:4" ht="17.100000000000001">
      <c r="A17" s="168" t="s">
        <v>123</v>
      </c>
      <c r="B17" s="166">
        <v>7795</v>
      </c>
      <c r="C17" s="167">
        <f t="shared" si="0"/>
        <v>8184.75</v>
      </c>
      <c r="D17" s="166">
        <f t="shared" si="1"/>
        <v>9003.2250000000004</v>
      </c>
    </row>
    <row r="18" spans="1:4" ht="17.100000000000001">
      <c r="A18" s="168" t="s">
        <v>124</v>
      </c>
      <c r="B18" s="166">
        <v>12950</v>
      </c>
      <c r="C18" s="167">
        <f t="shared" si="0"/>
        <v>13597.5</v>
      </c>
      <c r="D18" s="166">
        <f t="shared" si="1"/>
        <v>14957.250000000002</v>
      </c>
    </row>
    <row r="19" spans="1:4" ht="17.100000000000001">
      <c r="A19" s="168" t="s">
        <v>125</v>
      </c>
      <c r="B19" s="166">
        <v>845</v>
      </c>
      <c r="C19" s="167">
        <f t="shared" si="0"/>
        <v>887.25</v>
      </c>
      <c r="D19" s="166">
        <f t="shared" si="1"/>
        <v>975.97500000000002</v>
      </c>
    </row>
    <row r="20" spans="1:4" ht="17.100000000000001">
      <c r="A20" s="168" t="s">
        <v>126</v>
      </c>
      <c r="B20" s="166">
        <v>95</v>
      </c>
      <c r="C20" s="167">
        <f t="shared" si="0"/>
        <v>99.75</v>
      </c>
      <c r="D20" s="166">
        <f t="shared" si="1"/>
        <v>109.72500000000001</v>
      </c>
    </row>
    <row r="21" spans="1:4" ht="17.100000000000001">
      <c r="A21" s="168" t="s">
        <v>127</v>
      </c>
      <c r="B21" s="166">
        <v>750</v>
      </c>
      <c r="C21" s="167">
        <f t="shared" si="0"/>
        <v>787.5</v>
      </c>
      <c r="D21" s="166">
        <f t="shared" si="1"/>
        <v>866.25000000000011</v>
      </c>
    </row>
    <row r="22" spans="1:4">
      <c r="A22" s="165" t="s">
        <v>128</v>
      </c>
      <c r="B22" s="166">
        <v>1125</v>
      </c>
      <c r="C22" s="167">
        <f t="shared" si="0"/>
        <v>1181.25</v>
      </c>
      <c r="D22" s="166">
        <f t="shared" si="1"/>
        <v>1299.375</v>
      </c>
    </row>
    <row r="23" spans="1:4">
      <c r="A23" s="165" t="s">
        <v>129</v>
      </c>
      <c r="B23" s="166">
        <v>1500</v>
      </c>
      <c r="C23" s="167">
        <f t="shared" si="0"/>
        <v>1575</v>
      </c>
      <c r="D23" s="166">
        <f t="shared" si="1"/>
        <v>1732.5000000000002</v>
      </c>
    </row>
    <row r="24" spans="1:4" ht="17.100000000000001">
      <c r="A24" s="168" t="s">
        <v>130</v>
      </c>
      <c r="B24" s="166">
        <v>800</v>
      </c>
      <c r="C24" s="167">
        <f t="shared" si="0"/>
        <v>840</v>
      </c>
      <c r="D24" s="166">
        <f t="shared" si="1"/>
        <v>924.00000000000011</v>
      </c>
    </row>
    <row r="25" spans="1:4" ht="17.100000000000001">
      <c r="A25" s="168" t="s">
        <v>131</v>
      </c>
      <c r="B25" s="166">
        <v>1200</v>
      </c>
      <c r="C25" s="167">
        <f t="shared" si="0"/>
        <v>1260</v>
      </c>
      <c r="D25" s="166">
        <f t="shared" si="1"/>
        <v>1386</v>
      </c>
    </row>
    <row r="26" spans="1:4" ht="17.100000000000001">
      <c r="A26" s="168" t="s">
        <v>132</v>
      </c>
      <c r="B26" s="166">
        <v>1600</v>
      </c>
      <c r="C26" s="167">
        <f t="shared" si="0"/>
        <v>1680</v>
      </c>
      <c r="D26" s="166">
        <f t="shared" si="1"/>
        <v>1848.0000000000002</v>
      </c>
    </row>
    <row r="27" spans="1:4" ht="17.100000000000001">
      <c r="A27" s="168" t="s">
        <v>133</v>
      </c>
      <c r="B27" s="166">
        <v>2000</v>
      </c>
      <c r="C27" s="167">
        <f t="shared" si="0"/>
        <v>2100</v>
      </c>
      <c r="D27" s="166">
        <f t="shared" si="1"/>
        <v>2310</v>
      </c>
    </row>
    <row r="28" spans="1:4">
      <c r="A28" s="165" t="s">
        <v>134</v>
      </c>
      <c r="B28" s="166">
        <v>1000</v>
      </c>
      <c r="C28" s="167">
        <f t="shared" si="0"/>
        <v>1050</v>
      </c>
      <c r="D28" s="166">
        <f t="shared" si="1"/>
        <v>1155</v>
      </c>
    </row>
    <row r="29" spans="1:4">
      <c r="A29" s="165" t="s">
        <v>135</v>
      </c>
      <c r="B29" s="166">
        <v>1395</v>
      </c>
      <c r="C29" s="167">
        <f t="shared" si="0"/>
        <v>1464.75</v>
      </c>
      <c r="D29" s="166">
        <f t="shared" si="1"/>
        <v>1611.2250000000001</v>
      </c>
    </row>
    <row r="30" spans="1:4">
      <c r="A30" s="165" t="s">
        <v>136</v>
      </c>
      <c r="B30" s="166">
        <f>B29*2</f>
        <v>2790</v>
      </c>
      <c r="C30" s="167">
        <f t="shared" si="0"/>
        <v>2929.5</v>
      </c>
      <c r="D30" s="166">
        <f t="shared" si="1"/>
        <v>3222.4500000000003</v>
      </c>
    </row>
    <row r="31" spans="1:4">
      <c r="A31" s="165" t="s">
        <v>137</v>
      </c>
      <c r="B31" s="166">
        <f>B29*3</f>
        <v>4185</v>
      </c>
      <c r="C31" s="167">
        <f t="shared" si="0"/>
        <v>4394.25</v>
      </c>
      <c r="D31" s="166">
        <f t="shared" si="1"/>
        <v>4833.6750000000002</v>
      </c>
    </row>
    <row r="32" spans="1:4">
      <c r="A32" s="165" t="s">
        <v>138</v>
      </c>
      <c r="B32" s="166">
        <v>1395</v>
      </c>
      <c r="C32" s="167">
        <f t="shared" si="0"/>
        <v>1464.75</v>
      </c>
      <c r="D32" s="166">
        <f t="shared" si="1"/>
        <v>1611.2250000000001</v>
      </c>
    </row>
    <row r="33" spans="1:4">
      <c r="A33" s="165" t="s">
        <v>139</v>
      </c>
      <c r="B33" s="166">
        <f>B32*2</f>
        <v>2790</v>
      </c>
      <c r="C33" s="167">
        <f t="shared" si="0"/>
        <v>2929.5</v>
      </c>
      <c r="D33" s="166">
        <f t="shared" si="1"/>
        <v>3222.4500000000003</v>
      </c>
    </row>
    <row r="34" spans="1:4">
      <c r="A34" s="165" t="s">
        <v>140</v>
      </c>
      <c r="B34" s="166">
        <f>B32*3</f>
        <v>4185</v>
      </c>
      <c r="C34" s="167">
        <f t="shared" si="0"/>
        <v>4394.25</v>
      </c>
      <c r="D34" s="166">
        <f t="shared" si="1"/>
        <v>4833.6750000000002</v>
      </c>
    </row>
    <row r="35" spans="1:4">
      <c r="A35" s="165" t="s">
        <v>141</v>
      </c>
      <c r="B35" s="166">
        <v>1395</v>
      </c>
      <c r="C35" s="167">
        <f t="shared" si="0"/>
        <v>1464.75</v>
      </c>
      <c r="D35" s="166">
        <f t="shared" si="1"/>
        <v>1611.2250000000001</v>
      </c>
    </row>
    <row r="36" spans="1:4">
      <c r="A36" s="165" t="s">
        <v>142</v>
      </c>
      <c r="B36" s="166">
        <f>B35*2</f>
        <v>2790</v>
      </c>
      <c r="C36" s="167">
        <f t="shared" si="0"/>
        <v>2929.5</v>
      </c>
      <c r="D36" s="166">
        <f t="shared" si="1"/>
        <v>3222.4500000000003</v>
      </c>
    </row>
    <row r="37" spans="1:4">
      <c r="A37" s="165" t="s">
        <v>143</v>
      </c>
      <c r="B37" s="166">
        <f>B35*3</f>
        <v>4185</v>
      </c>
      <c r="C37" s="167">
        <f t="shared" si="0"/>
        <v>4394.25</v>
      </c>
      <c r="D37" s="166">
        <f t="shared" si="1"/>
        <v>4833.6750000000002</v>
      </c>
    </row>
    <row r="38" spans="1:4" ht="17.100000000000001">
      <c r="A38" s="168" t="s">
        <v>144</v>
      </c>
      <c r="B38" s="166">
        <v>825</v>
      </c>
      <c r="C38" s="167">
        <f t="shared" si="0"/>
        <v>866.25</v>
      </c>
      <c r="D38" s="166">
        <f t="shared" si="1"/>
        <v>952.87500000000011</v>
      </c>
    </row>
    <row r="39" spans="1:4">
      <c r="A39" s="165" t="s">
        <v>145</v>
      </c>
      <c r="B39" s="166">
        <f>B38*2</f>
        <v>1650</v>
      </c>
      <c r="C39" s="167">
        <f t="shared" si="0"/>
        <v>1732.5</v>
      </c>
      <c r="D39" s="166">
        <f t="shared" si="1"/>
        <v>1905.7500000000002</v>
      </c>
    </row>
    <row r="40" spans="1:4" ht="17.100000000000001">
      <c r="A40" s="168" t="s">
        <v>146</v>
      </c>
      <c r="B40" s="166">
        <f>B38*3</f>
        <v>2475</v>
      </c>
      <c r="C40" s="167">
        <f t="shared" si="0"/>
        <v>2598.75</v>
      </c>
      <c r="D40" s="166">
        <f t="shared" si="1"/>
        <v>2858.6250000000005</v>
      </c>
    </row>
    <row r="41" spans="1:4">
      <c r="A41" s="165" t="s">
        <v>147</v>
      </c>
      <c r="B41" s="166">
        <v>825</v>
      </c>
      <c r="C41" s="167">
        <f t="shared" si="0"/>
        <v>866.25</v>
      </c>
      <c r="D41" s="166">
        <f t="shared" si="1"/>
        <v>952.87500000000011</v>
      </c>
    </row>
    <row r="42" spans="1:4">
      <c r="A42" s="165" t="s">
        <v>148</v>
      </c>
      <c r="B42" s="166">
        <f>B41*2</f>
        <v>1650</v>
      </c>
      <c r="C42" s="167">
        <f t="shared" si="0"/>
        <v>1732.5</v>
      </c>
      <c r="D42" s="166">
        <f t="shared" si="1"/>
        <v>1905.7500000000002</v>
      </c>
    </row>
    <row r="43" spans="1:4">
      <c r="A43" s="169" t="s">
        <v>149</v>
      </c>
      <c r="B43" s="166">
        <f>B41*3</f>
        <v>2475</v>
      </c>
      <c r="C43" s="167">
        <f t="shared" si="0"/>
        <v>2598.75</v>
      </c>
      <c r="D43" s="166">
        <f t="shared" si="1"/>
        <v>2858.6250000000005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38931-66FC-A942-A46B-1F08E32A8BC0}">
  <sheetPr>
    <pageSetUpPr fitToPage="1"/>
  </sheetPr>
  <dimension ref="A1:U46"/>
  <sheetViews>
    <sheetView zoomScale="111" zoomScaleNormal="110" workbookViewId="0">
      <selection activeCell="E31" sqref="E31"/>
    </sheetView>
  </sheetViews>
  <sheetFormatPr defaultColWidth="10.875" defaultRowHeight="14.1" outlineLevelRow="1" outlineLevelCol="1"/>
  <cols>
    <col min="1" max="1" width="23.875" style="173" bestFit="1" customWidth="1"/>
    <col min="2" max="2" width="6.375" style="173" customWidth="1"/>
    <col min="3" max="7" width="14.125" style="173" customWidth="1"/>
    <col min="8" max="12" width="14.125" style="173" hidden="1" customWidth="1" outlineLevel="1"/>
    <col min="13" max="13" width="1" style="173" customWidth="1" collapsed="1"/>
    <col min="14" max="16" width="11.875" style="173" hidden="1" customWidth="1" outlineLevel="1"/>
    <col min="17" max="17" width="22.875" style="173" customWidth="1" collapsed="1"/>
    <col min="18" max="18" width="12.375" style="173" customWidth="1"/>
    <col min="19" max="19" width="15" style="173" customWidth="1"/>
    <col min="20" max="20" width="14.5" style="173" customWidth="1"/>
    <col min="21" max="21" width="0" style="173" hidden="1" customWidth="1"/>
    <col min="22" max="16384" width="10.875" style="173"/>
  </cols>
  <sheetData>
    <row r="1" spans="1:18" ht="15" thickBot="1">
      <c r="A1" s="170" t="s">
        <v>150</v>
      </c>
      <c r="B1" s="171" t="s">
        <v>151</v>
      </c>
      <c r="C1" s="171" t="s">
        <v>152</v>
      </c>
      <c r="D1" s="171" t="s">
        <v>153</v>
      </c>
      <c r="E1" s="171" t="s">
        <v>154</v>
      </c>
      <c r="F1" s="171" t="s">
        <v>155</v>
      </c>
      <c r="G1" s="171" t="s">
        <v>156</v>
      </c>
      <c r="H1" s="170" t="s">
        <v>157</v>
      </c>
      <c r="I1" s="170" t="s">
        <v>158</v>
      </c>
      <c r="J1" s="170" t="s">
        <v>159</v>
      </c>
      <c r="K1" s="170" t="s">
        <v>160</v>
      </c>
      <c r="L1" s="170" t="s">
        <v>161</v>
      </c>
      <c r="M1" s="172"/>
      <c r="N1" s="170"/>
      <c r="O1" s="170"/>
      <c r="P1" s="170"/>
      <c r="Q1" s="170" t="s">
        <v>150</v>
      </c>
      <c r="R1" s="170" t="s">
        <v>162</v>
      </c>
    </row>
    <row r="2" spans="1:18" ht="60.95" thickBot="1">
      <c r="A2" s="174" t="s">
        <v>163</v>
      </c>
      <c r="B2" s="175"/>
      <c r="C2" s="176" t="str">
        <f>IF('Config #1'!B2="","",'Config #1'!B2)</f>
        <v>LED/FP (Patient Left): Camera Capable with Wall Control</v>
      </c>
      <c r="D2" s="176" t="str">
        <f>IF('Config #2'!B2="","",'Config #2'!B2)</f>
        <v>LED/FP (Patient Right)</v>
      </c>
      <c r="E2" s="176" t="str">
        <f>IF('Config #3'!B2="","",'Config #3'!B2)</f>
        <v>Equipment Boom (Patient Foot)</v>
      </c>
      <c r="F2" s="176" t="str">
        <f>IF('Config #4'!B2="","",'Config #4'!B2)</f>
        <v>Anesthesia Boom (Patient Right Shoulder)</v>
      </c>
      <c r="G2" s="176" t="str">
        <f>IF('Config #5'!B2="","",'Config #5'!B2)</f>
        <v/>
      </c>
      <c r="H2" s="176" t="str">
        <f>IF('Config #6'!B2="","",'Config #6'!B2)</f>
        <v/>
      </c>
      <c r="I2" s="176" t="str">
        <f>IF('Config #7'!B2="","",'Config #7'!B2)</f>
        <v/>
      </c>
      <c r="J2" s="176" t="str">
        <f>IF('Config #8'!B2="","",'Config #8'!B2)</f>
        <v/>
      </c>
      <c r="K2" s="176" t="str">
        <f>IF('Config #9'!B2="","",'Config #9'!B2)</f>
        <v/>
      </c>
      <c r="L2" s="176" t="str">
        <f>IF('Config #10'!B2="","",'Config #10'!B2)</f>
        <v/>
      </c>
      <c r="M2" s="177"/>
      <c r="N2" s="178" t="s">
        <v>164</v>
      </c>
      <c r="O2" s="178" t="s">
        <v>165</v>
      </c>
      <c r="P2" s="178" t="s">
        <v>166</v>
      </c>
      <c r="Q2" s="179" t="s">
        <v>163</v>
      </c>
      <c r="R2" s="180" t="s">
        <v>167</v>
      </c>
    </row>
    <row r="3" spans="1:18" ht="15" thickBot="1">
      <c r="A3" s="181" t="s">
        <v>168</v>
      </c>
      <c r="B3" s="182">
        <v>1</v>
      </c>
      <c r="C3" s="183">
        <v>1</v>
      </c>
      <c r="D3" s="184">
        <v>1</v>
      </c>
      <c r="E3" s="184">
        <v>1</v>
      </c>
      <c r="F3" s="184">
        <v>1</v>
      </c>
      <c r="G3" s="184"/>
      <c r="H3" s="184"/>
      <c r="I3" s="184"/>
      <c r="J3" s="184"/>
      <c r="K3" s="184"/>
      <c r="L3" s="184"/>
      <c r="M3" s="185"/>
      <c r="N3" s="254">
        <f>SUM(C3:L3)*250</f>
        <v>1000</v>
      </c>
      <c r="O3" s="255">
        <f>SUM(C3:L3)*2500</f>
        <v>10000</v>
      </c>
      <c r="P3" s="256">
        <f>N3*B3+O3*B3</f>
        <v>11000</v>
      </c>
      <c r="Q3" s="181" t="s">
        <v>168</v>
      </c>
      <c r="R3" s="186">
        <f>SUM(C24*C3)+(D24*D3)+(E24*E3)+(F24*F3)+(G24*G3)+(H24*H3)+(I24*I3)+(J24*J3)+(K24*K3)+(L24*L3)</f>
        <v>63322.521000000001</v>
      </c>
    </row>
    <row r="4" spans="1:18" ht="15" thickBot="1">
      <c r="A4" s="187"/>
      <c r="B4" s="188"/>
      <c r="C4" s="189"/>
      <c r="D4" s="190"/>
      <c r="E4" s="190"/>
      <c r="F4" s="190"/>
      <c r="G4" s="190"/>
      <c r="H4" s="190"/>
      <c r="I4" s="190"/>
      <c r="J4" s="190"/>
      <c r="K4" s="190"/>
      <c r="L4" s="190"/>
      <c r="M4" s="185"/>
      <c r="N4" s="257">
        <f t="shared" ref="N4:N12" si="0">SUM(C4:L4)*250</f>
        <v>0</v>
      </c>
      <c r="O4" s="258">
        <f t="shared" ref="O4:O12" si="1">SUM(C4:L4)*2500</f>
        <v>0</v>
      </c>
      <c r="P4" s="259">
        <f t="shared" ref="P4:P12" si="2">N4*B4+O4*B4</f>
        <v>0</v>
      </c>
      <c r="Q4" s="187"/>
      <c r="R4" s="192">
        <f>SUM(C24*C4)+(D24*D4)+(E24*E4)+(F24*F4)+(G24*G4)+(H24*H4)+(I24*I4)+(J24*J4)+(K24*K4)+(L24*L4)</f>
        <v>0</v>
      </c>
    </row>
    <row r="5" spans="1:18" ht="15" thickBot="1">
      <c r="A5" s="187"/>
      <c r="B5" s="188"/>
      <c r="C5" s="189"/>
      <c r="D5" s="190"/>
      <c r="E5" s="190"/>
      <c r="F5" s="190"/>
      <c r="G5" s="190"/>
      <c r="H5" s="190"/>
      <c r="I5" s="190"/>
      <c r="J5" s="190"/>
      <c r="K5" s="190"/>
      <c r="L5" s="190"/>
      <c r="M5" s="185"/>
      <c r="N5" s="257">
        <f t="shared" si="0"/>
        <v>0</v>
      </c>
      <c r="O5" s="258">
        <f t="shared" si="1"/>
        <v>0</v>
      </c>
      <c r="P5" s="259">
        <f t="shared" si="2"/>
        <v>0</v>
      </c>
      <c r="Q5" s="187"/>
      <c r="R5" s="192">
        <f>SUM(C24*C5)+(D24*D5)+(E24*E5)+(F24*F5)+(G24*G5)+(H24*H5)+(I24*I5)+(J24*J5)+(K24*K5)+(L24*L5)</f>
        <v>0</v>
      </c>
    </row>
    <row r="6" spans="1:18" ht="15" thickBot="1">
      <c r="A6" s="187"/>
      <c r="B6" s="188"/>
      <c r="C6" s="189"/>
      <c r="D6" s="190"/>
      <c r="E6" s="190"/>
      <c r="F6" s="190"/>
      <c r="G6" s="190"/>
      <c r="H6" s="190"/>
      <c r="I6" s="190"/>
      <c r="J6" s="190"/>
      <c r="K6" s="190"/>
      <c r="L6" s="190"/>
      <c r="M6" s="185"/>
      <c r="N6" s="257">
        <f t="shared" si="0"/>
        <v>0</v>
      </c>
      <c r="O6" s="258">
        <f t="shared" si="1"/>
        <v>0</v>
      </c>
      <c r="P6" s="259">
        <f t="shared" si="2"/>
        <v>0</v>
      </c>
      <c r="Q6" s="187"/>
      <c r="R6" s="192">
        <f>SUM(C24*C6)+(D24*D6)+(E24*E6)+(F24*F6)+(G24*G6)+(H24*H6)+(I24*I6)+(J24*J6)+(K24*K6)+(L24*L6)</f>
        <v>0</v>
      </c>
    </row>
    <row r="7" spans="1:18" ht="15" thickBot="1">
      <c r="A7" s="187"/>
      <c r="B7" s="188"/>
      <c r="C7" s="189"/>
      <c r="D7" s="190"/>
      <c r="E7" s="190"/>
      <c r="F7" s="190"/>
      <c r="G7" s="190"/>
      <c r="H7" s="190"/>
      <c r="I7" s="190"/>
      <c r="J7" s="190"/>
      <c r="K7" s="190"/>
      <c r="L7" s="190"/>
      <c r="M7" s="185"/>
      <c r="N7" s="257">
        <f t="shared" si="0"/>
        <v>0</v>
      </c>
      <c r="O7" s="258">
        <f t="shared" si="1"/>
        <v>0</v>
      </c>
      <c r="P7" s="259">
        <f t="shared" si="2"/>
        <v>0</v>
      </c>
      <c r="Q7" s="187"/>
      <c r="R7" s="192">
        <f>SUM(C24*C7)+(D24*D7)+(E24*E7)+(F24*F7)+(G24*G7)+(H24*H7)+(I24*I7)+(J24*J7)+(K24*K7)+(L24*L7)</f>
        <v>0</v>
      </c>
    </row>
    <row r="8" spans="1:18" ht="15" hidden="1" outlineLevel="1" thickBot="1">
      <c r="A8" s="187"/>
      <c r="B8" s="188"/>
      <c r="C8" s="189"/>
      <c r="D8" s="190"/>
      <c r="E8" s="190"/>
      <c r="F8" s="190"/>
      <c r="G8" s="190"/>
      <c r="H8" s="190"/>
      <c r="I8" s="190"/>
      <c r="J8" s="190"/>
      <c r="K8" s="190"/>
      <c r="L8" s="190"/>
      <c r="M8" s="185"/>
      <c r="N8" s="257">
        <f t="shared" si="0"/>
        <v>0</v>
      </c>
      <c r="O8" s="258">
        <f t="shared" si="1"/>
        <v>0</v>
      </c>
      <c r="P8" s="259">
        <f t="shared" si="2"/>
        <v>0</v>
      </c>
      <c r="Q8" s="191"/>
      <c r="R8" s="192">
        <f>SUM(C3*C8)+(D3*D8)+(E3*E8)+(F3*F8)+(G3*G8)+(H3*H8)+(I3*I8)+(J3*J8)+(K3*K8)+(L3*L8)</f>
        <v>0</v>
      </c>
    </row>
    <row r="9" spans="1:18" ht="15" hidden="1" outlineLevel="1" thickBot="1">
      <c r="A9" s="187"/>
      <c r="B9" s="188"/>
      <c r="C9" s="189"/>
      <c r="D9" s="190"/>
      <c r="E9" s="190"/>
      <c r="F9" s="190"/>
      <c r="G9" s="190"/>
      <c r="H9" s="190"/>
      <c r="I9" s="190"/>
      <c r="J9" s="190"/>
      <c r="K9" s="190"/>
      <c r="L9" s="190"/>
      <c r="M9" s="185"/>
      <c r="N9" s="257">
        <f t="shared" si="0"/>
        <v>0</v>
      </c>
      <c r="O9" s="258">
        <f t="shared" si="1"/>
        <v>0</v>
      </c>
      <c r="P9" s="259">
        <f t="shared" si="2"/>
        <v>0</v>
      </c>
      <c r="Q9" s="191"/>
      <c r="R9" s="192">
        <f>SUM(C4*C9)+(D4*D9)+(E4*E9)+(F4*F9)+(G4*G9)+(H4*H9)+(I4*I9)+(J4*J9)+(K4*K9)+(L4*L9)</f>
        <v>0</v>
      </c>
    </row>
    <row r="10" spans="1:18" ht="15" hidden="1" outlineLevel="1" thickBot="1">
      <c r="A10" s="187"/>
      <c r="B10" s="188"/>
      <c r="C10" s="189"/>
      <c r="D10" s="190"/>
      <c r="E10" s="190"/>
      <c r="F10" s="190"/>
      <c r="G10" s="190"/>
      <c r="H10" s="190"/>
      <c r="I10" s="190"/>
      <c r="J10" s="190"/>
      <c r="K10" s="190"/>
      <c r="L10" s="190"/>
      <c r="M10" s="185"/>
      <c r="N10" s="257">
        <f t="shared" si="0"/>
        <v>0</v>
      </c>
      <c r="O10" s="258">
        <f t="shared" si="1"/>
        <v>0</v>
      </c>
      <c r="P10" s="259">
        <f t="shared" si="2"/>
        <v>0</v>
      </c>
      <c r="Q10" s="191"/>
      <c r="R10" s="192">
        <f>SUM(C5*C10)+(D5*D10)+(E5*E10)+(F5*F10)+(G5*G10)+(H5*H10)+(I5*I10)+(J5*J10)+(K5*K10)+(L5*L10)</f>
        <v>0</v>
      </c>
    </row>
    <row r="11" spans="1:18" ht="15" hidden="1" outlineLevel="1" thickBot="1">
      <c r="A11" s="187"/>
      <c r="B11" s="188"/>
      <c r="C11" s="189"/>
      <c r="D11" s="190"/>
      <c r="E11" s="190"/>
      <c r="F11" s="190"/>
      <c r="G11" s="190"/>
      <c r="H11" s="190"/>
      <c r="I11" s="190"/>
      <c r="J11" s="190"/>
      <c r="K11" s="190"/>
      <c r="L11" s="190"/>
      <c r="M11" s="185"/>
      <c r="N11" s="257">
        <f t="shared" si="0"/>
        <v>0</v>
      </c>
      <c r="O11" s="258">
        <f t="shared" si="1"/>
        <v>0</v>
      </c>
      <c r="P11" s="259">
        <f t="shared" si="2"/>
        <v>0</v>
      </c>
      <c r="Q11" s="191"/>
      <c r="R11" s="192">
        <f>SUM(C6*C11)+(D6*D11)+(E6*E11)+(F6*F11)+(G6*G11)+(H6*H11)+(I6*I11)+(J6*J11)+(K6*K11)+(L6*L11)</f>
        <v>0</v>
      </c>
    </row>
    <row r="12" spans="1:18" ht="15" hidden="1" outlineLevel="1" thickBot="1">
      <c r="A12" s="193"/>
      <c r="B12" s="194"/>
      <c r="C12" s="195"/>
      <c r="D12" s="196"/>
      <c r="E12" s="196"/>
      <c r="F12" s="196"/>
      <c r="G12" s="196"/>
      <c r="H12" s="196"/>
      <c r="I12" s="196"/>
      <c r="J12" s="196"/>
      <c r="K12" s="196"/>
      <c r="L12" s="196"/>
      <c r="M12" s="185"/>
      <c r="N12" s="260">
        <f t="shared" si="0"/>
        <v>0</v>
      </c>
      <c r="O12" s="261">
        <f t="shared" si="1"/>
        <v>0</v>
      </c>
      <c r="P12" s="262">
        <f t="shared" si="2"/>
        <v>0</v>
      </c>
      <c r="Q12" s="198"/>
      <c r="R12" s="192">
        <f>SUM(C7*C12)+(D7*D12)+(E7*E12)+(F7*F12)+(G7*G12)+(H7*H12)+(I7*I12)+(J7*J12)+(K7*K12)+(L7*L12)</f>
        <v>0</v>
      </c>
    </row>
    <row r="13" spans="1:18" ht="15" collapsed="1" thickBot="1">
      <c r="A13" s="199" t="s">
        <v>169</v>
      </c>
      <c r="B13" s="200"/>
      <c r="C13" s="201">
        <f>IF(SUM(C3:C12)=0,"",(SUM(C3:C12)))</f>
        <v>1</v>
      </c>
      <c r="D13" s="202">
        <f t="shared" ref="D13:L13" si="3">IF(SUM(D3:D12)=0,"",(SUM(D3:D12)))</f>
        <v>1</v>
      </c>
      <c r="E13" s="202">
        <f t="shared" si="3"/>
        <v>1</v>
      </c>
      <c r="F13" s="202">
        <f t="shared" si="3"/>
        <v>1</v>
      </c>
      <c r="G13" s="202" t="str">
        <f t="shared" si="3"/>
        <v/>
      </c>
      <c r="H13" s="202" t="str">
        <f t="shared" si="3"/>
        <v/>
      </c>
      <c r="I13" s="202" t="str">
        <f t="shared" si="3"/>
        <v/>
      </c>
      <c r="J13" s="202" t="str">
        <f t="shared" si="3"/>
        <v/>
      </c>
      <c r="K13" s="202" t="str">
        <f t="shared" si="3"/>
        <v/>
      </c>
      <c r="L13" s="202" t="str">
        <f t="shared" si="3"/>
        <v/>
      </c>
      <c r="M13" s="203"/>
      <c r="N13" s="197"/>
      <c r="O13" s="197"/>
      <c r="P13" s="253"/>
      <c r="Q13" s="199" t="s">
        <v>169</v>
      </c>
      <c r="R13" s="204">
        <f>SUM(C13:L13)</f>
        <v>4</v>
      </c>
    </row>
    <row r="14" spans="1:18" ht="15" hidden="1" outlineLevel="1" thickBot="1">
      <c r="A14" s="174" t="s">
        <v>170</v>
      </c>
      <c r="B14" s="200"/>
      <c r="C14" s="206">
        <f>SUM('Config #1'!E67)</f>
        <v>19747.706000000002</v>
      </c>
      <c r="D14" s="206">
        <f>SUM('Config #2'!E67)</f>
        <v>16767.650000000001</v>
      </c>
      <c r="E14" s="206">
        <f>SUM('Config #3'!E67)</f>
        <v>0</v>
      </c>
      <c r="F14" s="206">
        <f>SUM('Config #4'!E67)</f>
        <v>0</v>
      </c>
      <c r="G14" s="206">
        <f>SUM('Config #5'!E67)</f>
        <v>0</v>
      </c>
      <c r="H14" s="206">
        <f>SUM('Config #6'!E67)</f>
        <v>0</v>
      </c>
      <c r="I14" s="206">
        <f>SUM('Config #7'!E67)</f>
        <v>0</v>
      </c>
      <c r="J14" s="206">
        <f>SUM('Config #8'!E67)</f>
        <v>16856.854999999996</v>
      </c>
      <c r="K14" s="206">
        <f>SUM('Config #9'!E67)</f>
        <v>0</v>
      </c>
      <c r="L14" s="206">
        <f>SUM('Config #10'!E67)</f>
        <v>0</v>
      </c>
      <c r="M14" s="208"/>
      <c r="N14" s="247"/>
      <c r="O14" s="245"/>
      <c r="P14" s="246"/>
    </row>
    <row r="15" spans="1:18" ht="15" hidden="1" outlineLevel="1" thickBot="1">
      <c r="A15" s="174" t="s">
        <v>171</v>
      </c>
      <c r="B15" s="205"/>
      <c r="C15" s="206">
        <f>('Config #1'!E27)+('Config #1'!E51)</f>
        <v>0</v>
      </c>
      <c r="D15" s="206">
        <f>SUM('Config #2'!E27)+('Config #2'!E51)</f>
        <v>0</v>
      </c>
      <c r="E15" s="206">
        <f>SUM('Config #3'!E27)+('Config #3'!E51)</f>
        <v>15494.532499999998</v>
      </c>
      <c r="F15" s="206">
        <f>SUM('Config #4'!E27)+('Config #4'!E51)</f>
        <v>11312.6325</v>
      </c>
      <c r="G15" s="206">
        <f>SUM('Config #5'!E27)+('Config #5'!E51)</f>
        <v>0</v>
      </c>
      <c r="H15" s="206">
        <f>SUM('Config #6'!E27)+('Config #6'!E51)</f>
        <v>0</v>
      </c>
      <c r="I15" s="206">
        <f>SUM('Config #7'!E27)+('Config #7'!E51)</f>
        <v>0</v>
      </c>
      <c r="J15" s="206">
        <f>SUM('Config #8'!E27)+('Config #8'!E51)</f>
        <v>0</v>
      </c>
      <c r="K15" s="206">
        <f>SUM('Config #9'!E27)+('Config #9'!E51)</f>
        <v>0</v>
      </c>
      <c r="L15" s="206">
        <f>SUM('Config #10'!E27)+('Config #10'!E51)</f>
        <v>0</v>
      </c>
      <c r="M15" s="211"/>
      <c r="N15" s="244"/>
      <c r="O15" s="207"/>
      <c r="P15" s="209"/>
    </row>
    <row r="16" spans="1:18" ht="15" hidden="1" outlineLevel="1" thickBot="1">
      <c r="A16" s="179" t="s">
        <v>172</v>
      </c>
      <c r="B16" s="205"/>
      <c r="C16" s="206">
        <f t="shared" ref="C16:L16" si="4">SUM(C3:C7)*C14</f>
        <v>19747.706000000002</v>
      </c>
      <c r="D16" s="206">
        <f t="shared" si="4"/>
        <v>16767.650000000001</v>
      </c>
      <c r="E16" s="206">
        <f t="shared" si="4"/>
        <v>0</v>
      </c>
      <c r="F16" s="206">
        <f t="shared" si="4"/>
        <v>0</v>
      </c>
      <c r="G16" s="206">
        <f t="shared" si="4"/>
        <v>0</v>
      </c>
      <c r="H16" s="206">
        <f t="shared" si="4"/>
        <v>0</v>
      </c>
      <c r="I16" s="206">
        <f t="shared" si="4"/>
        <v>0</v>
      </c>
      <c r="J16" s="206">
        <f t="shared" si="4"/>
        <v>0</v>
      </c>
      <c r="K16" s="206">
        <f t="shared" si="4"/>
        <v>0</v>
      </c>
      <c r="L16" s="206">
        <f t="shared" si="4"/>
        <v>0</v>
      </c>
      <c r="M16" s="208"/>
      <c r="N16" s="207"/>
      <c r="O16" s="207"/>
      <c r="P16" s="209"/>
      <c r="Q16" s="179" t="s">
        <v>172</v>
      </c>
      <c r="R16" s="210">
        <f>SUM(C16:L16)</f>
        <v>36515.356</v>
      </c>
    </row>
    <row r="17" spans="1:21" ht="15" hidden="1" outlineLevel="1" thickBot="1">
      <c r="A17" s="179" t="s">
        <v>173</v>
      </c>
      <c r="B17" s="205"/>
      <c r="C17" s="206">
        <f t="shared" ref="C17:L17" si="5">SUM(C3:C7)*C15</f>
        <v>0</v>
      </c>
      <c r="D17" s="206">
        <f t="shared" si="5"/>
        <v>0</v>
      </c>
      <c r="E17" s="206">
        <f t="shared" si="5"/>
        <v>15494.532499999998</v>
      </c>
      <c r="F17" s="206">
        <f t="shared" si="5"/>
        <v>11312.6325</v>
      </c>
      <c r="G17" s="206">
        <f t="shared" si="5"/>
        <v>0</v>
      </c>
      <c r="H17" s="206">
        <f t="shared" si="5"/>
        <v>0</v>
      </c>
      <c r="I17" s="206">
        <f t="shared" si="5"/>
        <v>0</v>
      </c>
      <c r="J17" s="206">
        <f t="shared" si="5"/>
        <v>0</v>
      </c>
      <c r="K17" s="206">
        <f t="shared" si="5"/>
        <v>0</v>
      </c>
      <c r="L17" s="206">
        <f t="shared" si="5"/>
        <v>0</v>
      </c>
      <c r="M17" s="211"/>
      <c r="N17" s="207"/>
      <c r="O17" s="207"/>
      <c r="P17" s="209"/>
      <c r="Q17" s="179" t="s">
        <v>173</v>
      </c>
      <c r="R17" s="210">
        <f>SUM(C17:L17)</f>
        <v>26807.164999999997</v>
      </c>
    </row>
    <row r="18" spans="1:21" ht="15" collapsed="1" thickBot="1">
      <c r="A18" s="179" t="s">
        <v>174</v>
      </c>
      <c r="B18" s="175"/>
      <c r="C18" s="212">
        <f t="shared" ref="C18:L18" si="6">C24*SUM(C3:C12)</f>
        <v>19747.706000000002</v>
      </c>
      <c r="D18" s="212">
        <f t="shared" si="6"/>
        <v>16767.650000000001</v>
      </c>
      <c r="E18" s="212">
        <f t="shared" si="6"/>
        <v>15494.532499999998</v>
      </c>
      <c r="F18" s="212">
        <f t="shared" si="6"/>
        <v>11312.6325</v>
      </c>
      <c r="G18" s="212">
        <f t="shared" si="6"/>
        <v>0</v>
      </c>
      <c r="H18" s="212">
        <f t="shared" si="6"/>
        <v>0</v>
      </c>
      <c r="I18" s="212">
        <f t="shared" si="6"/>
        <v>0</v>
      </c>
      <c r="J18" s="212">
        <f t="shared" si="6"/>
        <v>0</v>
      </c>
      <c r="K18" s="212">
        <f t="shared" si="6"/>
        <v>0</v>
      </c>
      <c r="L18" s="212">
        <f t="shared" si="6"/>
        <v>0</v>
      </c>
      <c r="M18" s="214"/>
      <c r="N18" s="213"/>
      <c r="O18" s="213"/>
      <c r="P18" s="215"/>
      <c r="Q18" s="179" t="s">
        <v>175</v>
      </c>
      <c r="R18" s="210">
        <f>SUM(C18:L18)</f>
        <v>63322.521000000001</v>
      </c>
      <c r="T18" s="216"/>
      <c r="U18" s="216"/>
    </row>
    <row r="19" spans="1:21" ht="15" thickBot="1">
      <c r="C19" s="217"/>
      <c r="D19" s="217"/>
      <c r="E19" s="217"/>
      <c r="F19" s="217"/>
      <c r="G19" s="217"/>
      <c r="H19" s="217"/>
      <c r="I19" s="217"/>
      <c r="J19" s="218"/>
      <c r="K19" s="218"/>
      <c r="L19" s="218"/>
      <c r="M19" s="219"/>
      <c r="N19" s="213"/>
      <c r="O19" s="213"/>
      <c r="P19" s="215"/>
      <c r="Q19" s="179" t="s">
        <v>176</v>
      </c>
      <c r="R19" s="210">
        <f>R18*0.1</f>
        <v>6332.2521000000006</v>
      </c>
      <c r="T19" s="216"/>
      <c r="U19" s="216"/>
    </row>
    <row r="20" spans="1:21" ht="15" thickBot="1">
      <c r="C20" s="217"/>
      <c r="D20" s="217"/>
      <c r="E20" s="217"/>
      <c r="F20" s="217"/>
      <c r="G20" s="217"/>
      <c r="H20" s="217"/>
      <c r="I20" s="217"/>
      <c r="J20" s="218"/>
      <c r="K20" s="218"/>
      <c r="L20" s="218"/>
      <c r="M20" s="219"/>
      <c r="N20" s="213"/>
      <c r="O20" s="213"/>
      <c r="P20" s="215"/>
      <c r="Q20" s="179" t="s">
        <v>177</v>
      </c>
      <c r="R20" s="210">
        <f>SUM(R18:R19)</f>
        <v>69654.773100000006</v>
      </c>
      <c r="T20" s="216"/>
      <c r="U20" s="216"/>
    </row>
    <row r="21" spans="1:21" ht="15" thickBot="1">
      <c r="C21" s="217"/>
      <c r="D21" s="217"/>
      <c r="E21" s="217"/>
      <c r="F21" s="217"/>
      <c r="G21" s="217"/>
      <c r="H21" s="217"/>
      <c r="I21" s="217"/>
      <c r="J21" s="218"/>
      <c r="K21" s="218"/>
      <c r="L21" s="218"/>
      <c r="M21" s="219"/>
      <c r="N21" s="213"/>
      <c r="O21" s="213"/>
      <c r="P21" s="215"/>
      <c r="Q21" s="179" t="s">
        <v>178</v>
      </c>
      <c r="R21" s="210">
        <f>SUM(P3:P12)</f>
        <v>11000</v>
      </c>
      <c r="T21" s="216"/>
      <c r="U21" s="216"/>
    </row>
    <row r="22" spans="1:21" ht="15" thickBot="1">
      <c r="B22" s="220"/>
      <c r="C22" s="217"/>
      <c r="D22" s="217"/>
      <c r="E22" s="217"/>
      <c r="F22" s="217"/>
      <c r="G22" s="217"/>
      <c r="H22" s="217"/>
      <c r="I22" s="217"/>
      <c r="J22" s="218"/>
      <c r="K22" s="218"/>
      <c r="L22" s="218"/>
      <c r="M22" s="214"/>
      <c r="N22" s="213"/>
      <c r="O22" s="213"/>
      <c r="P22" s="215"/>
      <c r="Q22" s="179" t="s">
        <v>179</v>
      </c>
      <c r="R22" s="210">
        <f>SUM(R20:R21)</f>
        <v>80654.773100000006</v>
      </c>
      <c r="T22" s="216"/>
      <c r="U22" s="216"/>
    </row>
    <row r="23" spans="1:21" ht="15" thickBot="1">
      <c r="A23" s="173" t="s">
        <v>180</v>
      </c>
      <c r="B23" s="220"/>
      <c r="C23" s="217"/>
      <c r="D23" s="217"/>
      <c r="E23" s="217"/>
      <c r="F23" s="217"/>
      <c r="G23" s="217"/>
      <c r="H23" s="217"/>
      <c r="I23" s="217"/>
      <c r="J23" s="218"/>
      <c r="K23" s="218"/>
      <c r="L23" s="218"/>
      <c r="M23" s="219"/>
      <c r="N23" s="243"/>
      <c r="O23" s="213"/>
      <c r="P23" s="215"/>
      <c r="Q23" s="221" t="s">
        <v>181</v>
      </c>
      <c r="R23" s="222">
        <f>R22/(1-0.4)</f>
        <v>134424.62183333334</v>
      </c>
      <c r="T23" s="216"/>
      <c r="U23" s="216"/>
    </row>
    <row r="24" spans="1:21" ht="15.95" hidden="1" outlineLevel="1" thickBot="1">
      <c r="A24" s="174" t="s">
        <v>182</v>
      </c>
      <c r="B24" s="200"/>
      <c r="C24" s="206">
        <f t="shared" ref="C24:L24" si="7">SUM(C14:C15)</f>
        <v>19747.706000000002</v>
      </c>
      <c r="D24" s="206">
        <f t="shared" si="7"/>
        <v>16767.650000000001</v>
      </c>
      <c r="E24" s="206">
        <f t="shared" si="7"/>
        <v>15494.532499999998</v>
      </c>
      <c r="F24" s="206">
        <f t="shared" si="7"/>
        <v>11312.6325</v>
      </c>
      <c r="G24" s="206">
        <f t="shared" si="7"/>
        <v>0</v>
      </c>
      <c r="H24" s="206">
        <f t="shared" si="7"/>
        <v>0</v>
      </c>
      <c r="I24" s="223">
        <f t="shared" si="7"/>
        <v>0</v>
      </c>
      <c r="J24" s="224">
        <f t="shared" si="7"/>
        <v>16856.854999999996</v>
      </c>
      <c r="K24" s="224">
        <f t="shared" si="7"/>
        <v>0</v>
      </c>
      <c r="L24" s="224">
        <f t="shared" si="7"/>
        <v>0</v>
      </c>
      <c r="M24" s="211"/>
      <c r="N24" s="252" t="s">
        <v>183</v>
      </c>
      <c r="O24" s="252" t="s">
        <v>184</v>
      </c>
      <c r="P24" s="252" t="s">
        <v>185</v>
      </c>
    </row>
    <row r="25" spans="1:21" ht="15" hidden="1" outlineLevel="1" thickBot="1">
      <c r="A25" s="174" t="s">
        <v>186</v>
      </c>
      <c r="B25" s="205"/>
      <c r="C25" s="206">
        <f>IF(ISBLANK('Config #1'!B70),0,'Config #1'!B70)</f>
        <v>65825.686666666661</v>
      </c>
      <c r="D25" s="206">
        <f>IF(ISBLANK('Config #2'!B70),0,'Config #2'!B70)</f>
        <v>55892.166666666664</v>
      </c>
      <c r="E25" s="206">
        <f>IF(ISBLANK('Config #3'!B70),0,'Config #3'!B70)</f>
        <v>51648.441666666658</v>
      </c>
      <c r="F25" s="206">
        <f>IF(ISBLANK('Config #4'!B70),0,'Config #4'!B70)</f>
        <v>37708.774999999994</v>
      </c>
      <c r="G25" s="206">
        <f>IF(ISBLANK('Config #5'!B70),0,'Config #5'!B70)</f>
        <v>0</v>
      </c>
      <c r="H25" s="206">
        <f>IF(ISBLANK('Config #6'!B70),0,'Config #6'!B70)</f>
        <v>0</v>
      </c>
      <c r="I25" s="223">
        <f>IF(ISBLANK('Config #7'!B70),0,'Config #7'!B70)</f>
        <v>0</v>
      </c>
      <c r="J25" s="225">
        <f>IF(ISBLANK('Config #8'!B70),0,'Config #8'!B70)</f>
        <v>56189.516666666663</v>
      </c>
      <c r="K25" s="225">
        <f>IF(ISBLANK('Config #9'!B70),0,'Config #9'!B70)</f>
        <v>0</v>
      </c>
      <c r="L25" s="225">
        <f>IF(ISBLANK('Config #10'!B70),0,'Config #10'!B70)</f>
        <v>0</v>
      </c>
      <c r="M25" s="211"/>
      <c r="N25" s="248"/>
      <c r="O25" s="225"/>
      <c r="P25" s="249"/>
    </row>
    <row r="26" spans="1:21" ht="15" hidden="1" outlineLevel="1" thickBot="1">
      <c r="A26" s="174" t="s">
        <v>187</v>
      </c>
      <c r="B26" s="175"/>
      <c r="C26" s="212">
        <f t="shared" ref="C26:L26" si="8">C25*SUM(C3:C12)</f>
        <v>65825.686666666661</v>
      </c>
      <c r="D26" s="212">
        <f t="shared" si="8"/>
        <v>55892.166666666664</v>
      </c>
      <c r="E26" s="212">
        <f t="shared" si="8"/>
        <v>51648.441666666658</v>
      </c>
      <c r="F26" s="212">
        <f t="shared" si="8"/>
        <v>37708.774999999994</v>
      </c>
      <c r="G26" s="212">
        <f t="shared" si="8"/>
        <v>0</v>
      </c>
      <c r="H26" s="212">
        <f t="shared" si="8"/>
        <v>0</v>
      </c>
      <c r="I26" s="226">
        <f t="shared" si="8"/>
        <v>0</v>
      </c>
      <c r="J26" s="227">
        <f t="shared" si="8"/>
        <v>0</v>
      </c>
      <c r="K26" s="227">
        <f t="shared" si="8"/>
        <v>0</v>
      </c>
      <c r="L26" s="227">
        <f t="shared" si="8"/>
        <v>0</v>
      </c>
      <c r="M26" s="228"/>
      <c r="N26" s="250"/>
      <c r="O26" s="227"/>
      <c r="P26" s="251"/>
    </row>
    <row r="27" spans="1:21" collapsed="1">
      <c r="C27" s="229"/>
      <c r="D27" s="229"/>
      <c r="E27" s="229"/>
      <c r="F27" s="229"/>
      <c r="G27" s="229"/>
      <c r="H27" s="229"/>
      <c r="I27" s="229"/>
      <c r="K27" s="217"/>
      <c r="M27" s="216"/>
      <c r="S27" s="216"/>
      <c r="T27" s="216"/>
    </row>
    <row r="28" spans="1:21" ht="15" thickBot="1">
      <c r="C28" s="229"/>
      <c r="D28" s="229"/>
      <c r="E28" s="229"/>
      <c r="F28" s="229"/>
      <c r="G28" s="229"/>
      <c r="H28" s="229"/>
      <c r="I28" s="229"/>
      <c r="K28" s="217"/>
      <c r="M28" s="216"/>
      <c r="R28" s="216"/>
      <c r="S28" s="216"/>
      <c r="T28" s="216"/>
    </row>
    <row r="29" spans="1:21" ht="15" thickBot="1">
      <c r="A29" s="236" t="s">
        <v>188</v>
      </c>
      <c r="B29" s="237"/>
      <c r="C29" s="237"/>
      <c r="D29" s="238"/>
    </row>
    <row r="30" spans="1:21" ht="15.95">
      <c r="A30" s="233" t="s">
        <v>189</v>
      </c>
      <c r="B30" s="263"/>
      <c r="C30" s="264"/>
      <c r="D30" s="265"/>
      <c r="Q30" s="230"/>
    </row>
    <row r="31" spans="1:21" ht="15.95">
      <c r="A31" s="234" t="s">
        <v>190</v>
      </c>
      <c r="B31" s="266"/>
      <c r="C31" s="267"/>
      <c r="D31" s="268"/>
    </row>
    <row r="32" spans="1:21" ht="15.95">
      <c r="A32" s="234" t="s">
        <v>191</v>
      </c>
      <c r="B32" s="266"/>
      <c r="C32" s="267"/>
      <c r="D32" s="268"/>
    </row>
    <row r="33" spans="1:4" ht="15.95">
      <c r="A33" s="234" t="s">
        <v>192</v>
      </c>
      <c r="B33" s="266"/>
      <c r="C33" s="267"/>
      <c r="D33" s="268"/>
    </row>
    <row r="34" spans="1:4" ht="15.95">
      <c r="A34" s="234" t="s">
        <v>22</v>
      </c>
      <c r="B34" s="266"/>
      <c r="C34" s="267"/>
      <c r="D34" s="268"/>
    </row>
    <row r="35" spans="1:4" ht="15.95">
      <c r="A35" s="234" t="s">
        <v>193</v>
      </c>
      <c r="B35" s="266"/>
      <c r="C35" s="267"/>
      <c r="D35" s="268"/>
    </row>
    <row r="36" spans="1:4" ht="15.95">
      <c r="A36" s="234" t="s">
        <v>194</v>
      </c>
      <c r="B36" s="266"/>
      <c r="C36" s="267"/>
      <c r="D36" s="268"/>
    </row>
    <row r="37" spans="1:4" ht="17.100000000000001" thickBot="1">
      <c r="A37" s="235" t="s">
        <v>195</v>
      </c>
      <c r="B37" s="269"/>
      <c r="C37" s="270"/>
      <c r="D37" s="271"/>
    </row>
    <row r="39" spans="1:4" ht="15" thickBot="1"/>
    <row r="40" spans="1:4" ht="15" thickBot="1">
      <c r="A40" s="236" t="s">
        <v>196</v>
      </c>
      <c r="B40" s="237" t="s">
        <v>197</v>
      </c>
      <c r="C40" s="238" t="s">
        <v>198</v>
      </c>
    </row>
    <row r="41" spans="1:4">
      <c r="A41" s="233" t="s">
        <v>199</v>
      </c>
      <c r="B41" s="231"/>
      <c r="C41" s="239"/>
    </row>
    <row r="42" spans="1:4">
      <c r="A42" s="234" t="s">
        <v>200</v>
      </c>
      <c r="B42" s="232"/>
      <c r="C42" s="240"/>
    </row>
    <row r="43" spans="1:4">
      <c r="A43" s="234" t="s">
        <v>201</v>
      </c>
      <c r="B43" s="232"/>
      <c r="C43" s="240"/>
    </row>
    <row r="44" spans="1:4">
      <c r="A44" s="234" t="s">
        <v>202</v>
      </c>
      <c r="B44" s="232"/>
      <c r="C44" s="240"/>
    </row>
    <row r="45" spans="1:4">
      <c r="A45" s="234" t="s">
        <v>184</v>
      </c>
      <c r="B45" s="232"/>
      <c r="C45" s="240"/>
    </row>
    <row r="46" spans="1:4" ht="15" thickBot="1">
      <c r="A46" s="235" t="s">
        <v>183</v>
      </c>
      <c r="B46" s="241"/>
      <c r="C46" s="242"/>
    </row>
  </sheetData>
  <sheetProtection formatColumns="0" formatRows="0" selectLockedCells="1"/>
  <mergeCells count="8">
    <mergeCell ref="B35:D35"/>
    <mergeCell ref="B36:D36"/>
    <mergeCell ref="B37:D37"/>
    <mergeCell ref="B30:D30"/>
    <mergeCell ref="B31:D31"/>
    <mergeCell ref="B32:D32"/>
    <mergeCell ref="B33:D33"/>
    <mergeCell ref="B34:D34"/>
  </mergeCells>
  <phoneticPr fontId="2" type="noConversion"/>
  <pageMargins left="0.7" right="0.7" top="0.75" bottom="0.75" header="0.3" footer="0.3"/>
  <pageSetup scale="68" orientation="landscape" r:id="rId1"/>
  <ignoredErrors>
    <ignoredError sqref="C13:L13 R13 P3:P12" unlockedFormula="1"/>
    <ignoredError sqref="R21" formula="1"/>
    <ignoredError sqref="N3 N4:N12 O3 O4:O12" formulaRange="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9644C5-2200-9844-AE4F-67C105C02CDC}">
          <x14:formula1>
            <xm:f>'BnL Drop Downs'!#REF!</xm:f>
          </x14:formula1>
          <xm:sqref>E44:E45 B41:C46 C38:E38</xm:sqref>
        </x14:dataValidation>
        <x14:dataValidation type="list" allowBlank="1" showInputMessage="1" showErrorMessage="1" xr:uid="{1C689A47-118D-2C4C-A1D0-4A098E1CFD12}">
          <x14:formula1>
            <xm:f>'Estimating Drop Downs'!$D$2:$D$22</xm:f>
          </x14:formula1>
          <xm:sqref>C18:L18 C3:L15 C24:L24</xm:sqref>
        </x14:dataValidation>
        <x14:dataValidation type="list" allowBlank="1" showInputMessage="1" showErrorMessage="1" xr:uid="{E26CD0E4-7B1F-A44F-AFA3-BCBE512C6275}">
          <x14:formula1>
            <xm:f>'Estimating Drop Downs'!$N$2:$N$4</xm:f>
          </x14:formula1>
          <xm:sqref>B32</xm:sqref>
        </x14:dataValidation>
        <x14:dataValidation type="list" allowBlank="1" showInputMessage="1" showErrorMessage="1" xr:uid="{702E98A1-2BF4-EE4A-9CF8-86BACBB04884}">
          <x14:formula1>
            <xm:f>'Estimating Drop Downs'!$O$2:$O$7</xm:f>
          </x14:formula1>
          <xm:sqref>B33</xm:sqref>
        </x14:dataValidation>
        <x14:dataValidation type="list" allowBlank="1" showInputMessage="1" showErrorMessage="1" xr:uid="{81766915-AE1F-C949-8942-3B345C91B053}">
          <x14:formula1>
            <xm:f>'Estimating Drop Downs'!$C$2:$C$5</xm:f>
          </x14:formula1>
          <xm:sqref>B35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9BC98-6F7E-554C-85D6-2F0C612B36B1}">
  <dimension ref="A1:R43"/>
  <sheetViews>
    <sheetView workbookViewId="0">
      <selection activeCell="G12" sqref="G12"/>
    </sheetView>
  </sheetViews>
  <sheetFormatPr defaultColWidth="11" defaultRowHeight="15.95"/>
  <cols>
    <col min="1" max="3" width="16.875" customWidth="1"/>
    <col min="4" max="4" width="11.375" customWidth="1"/>
    <col min="5" max="5" width="7.5" customWidth="1"/>
    <col min="6" max="6" width="8.875" customWidth="1"/>
    <col min="7" max="8" width="16.875" customWidth="1"/>
    <col min="9" max="9" width="22.125" customWidth="1"/>
    <col min="10" max="10" width="24" customWidth="1"/>
    <col min="11" max="12" width="16.875" customWidth="1"/>
    <col min="13" max="13" width="16.5" customWidth="1"/>
    <col min="14" max="14" width="24.875" customWidth="1"/>
    <col min="15" max="15" width="22.375" customWidth="1"/>
  </cols>
  <sheetData>
    <row r="1" spans="1:18" ht="17.100000000000001" thickBot="1">
      <c r="A1" s="5" t="s">
        <v>203</v>
      </c>
      <c r="B1" s="5" t="s">
        <v>204</v>
      </c>
      <c r="C1" s="5" t="s">
        <v>205</v>
      </c>
      <c r="D1" s="5" t="s">
        <v>206</v>
      </c>
      <c r="E1" s="5" t="s">
        <v>207</v>
      </c>
      <c r="F1" s="5" t="s">
        <v>208</v>
      </c>
      <c r="G1" s="5" t="s">
        <v>209</v>
      </c>
      <c r="H1" s="5" t="s">
        <v>210</v>
      </c>
      <c r="I1" s="5" t="s">
        <v>11</v>
      </c>
      <c r="J1" s="5" t="s">
        <v>12</v>
      </c>
      <c r="K1" s="5" t="s">
        <v>211</v>
      </c>
      <c r="L1" s="5" t="s">
        <v>101</v>
      </c>
      <c r="M1" s="5" t="s">
        <v>212</v>
      </c>
      <c r="N1" s="5" t="s">
        <v>191</v>
      </c>
      <c r="O1" s="5" t="s">
        <v>192</v>
      </c>
      <c r="P1" s="5"/>
      <c r="Q1" s="5"/>
      <c r="R1" s="5"/>
    </row>
    <row r="2" spans="1:18">
      <c r="K2" s="6"/>
    </row>
    <row r="3" spans="1:18">
      <c r="A3" t="s">
        <v>213</v>
      </c>
      <c r="B3" t="s">
        <v>214</v>
      </c>
      <c r="C3" t="s">
        <v>215</v>
      </c>
      <c r="D3">
        <v>1</v>
      </c>
      <c r="E3" t="s">
        <v>216</v>
      </c>
      <c r="F3" t="s">
        <v>217</v>
      </c>
      <c r="G3" t="s">
        <v>218</v>
      </c>
      <c r="H3" t="s">
        <v>218</v>
      </c>
      <c r="I3" t="s">
        <v>219</v>
      </c>
      <c r="J3" t="s">
        <v>220</v>
      </c>
      <c r="K3" s="6" t="s">
        <v>221</v>
      </c>
      <c r="L3" t="s">
        <v>222</v>
      </c>
      <c r="M3" t="s">
        <v>223</v>
      </c>
      <c r="N3" t="s">
        <v>224</v>
      </c>
      <c r="O3" t="s">
        <v>225</v>
      </c>
    </row>
    <row r="4" spans="1:18">
      <c r="A4" t="s">
        <v>218</v>
      </c>
      <c r="B4" t="s">
        <v>226</v>
      </c>
      <c r="C4" t="s">
        <v>227</v>
      </c>
      <c r="D4">
        <v>2</v>
      </c>
      <c r="E4" t="s">
        <v>228</v>
      </c>
      <c r="F4" t="s">
        <v>229</v>
      </c>
      <c r="G4" t="s">
        <v>213</v>
      </c>
      <c r="H4" t="s">
        <v>213</v>
      </c>
      <c r="I4" t="s">
        <v>230</v>
      </c>
      <c r="J4" t="s">
        <v>231</v>
      </c>
      <c r="K4" s="6" t="s">
        <v>232</v>
      </c>
      <c r="L4" t="s">
        <v>233</v>
      </c>
      <c r="M4" t="s">
        <v>234</v>
      </c>
      <c r="N4" t="s">
        <v>235</v>
      </c>
      <c r="O4" t="s">
        <v>236</v>
      </c>
    </row>
    <row r="5" spans="1:18">
      <c r="A5" t="s">
        <v>237</v>
      </c>
      <c r="B5" t="s">
        <v>238</v>
      </c>
      <c r="C5" t="s">
        <v>239</v>
      </c>
      <c r="D5">
        <v>3</v>
      </c>
      <c r="E5" t="s">
        <v>240</v>
      </c>
      <c r="F5" t="s">
        <v>241</v>
      </c>
      <c r="I5" t="s">
        <v>242</v>
      </c>
      <c r="J5" t="s">
        <v>243</v>
      </c>
      <c r="K5" s="6" t="s">
        <v>244</v>
      </c>
      <c r="M5" t="s">
        <v>245</v>
      </c>
      <c r="O5" t="s">
        <v>246</v>
      </c>
    </row>
    <row r="6" spans="1:18">
      <c r="D6">
        <v>4</v>
      </c>
      <c r="E6" t="s">
        <v>247</v>
      </c>
      <c r="F6" t="s">
        <v>248</v>
      </c>
      <c r="I6" t="s">
        <v>249</v>
      </c>
      <c r="J6" t="s">
        <v>250</v>
      </c>
      <c r="K6" s="6" t="s">
        <v>251</v>
      </c>
      <c r="M6" t="s">
        <v>252</v>
      </c>
      <c r="O6" t="s">
        <v>253</v>
      </c>
    </row>
    <row r="7" spans="1:18">
      <c r="D7">
        <v>5</v>
      </c>
      <c r="E7" t="s">
        <v>254</v>
      </c>
      <c r="F7" t="s">
        <v>255</v>
      </c>
      <c r="I7" t="s">
        <v>256</v>
      </c>
      <c r="K7" s="6" t="s">
        <v>257</v>
      </c>
      <c r="O7" t="s">
        <v>252</v>
      </c>
    </row>
    <row r="8" spans="1:18">
      <c r="D8">
        <v>6</v>
      </c>
      <c r="E8" t="s">
        <v>258</v>
      </c>
      <c r="F8" t="s">
        <v>259</v>
      </c>
      <c r="I8" t="s">
        <v>260</v>
      </c>
      <c r="K8" s="6" t="s">
        <v>261</v>
      </c>
    </row>
    <row r="9" spans="1:18">
      <c r="D9">
        <v>7</v>
      </c>
      <c r="E9" t="s">
        <v>262</v>
      </c>
      <c r="F9" t="s">
        <v>263</v>
      </c>
      <c r="I9" t="s">
        <v>264</v>
      </c>
      <c r="K9" s="6" t="s">
        <v>265</v>
      </c>
    </row>
    <row r="10" spans="1:18">
      <c r="D10">
        <v>8</v>
      </c>
      <c r="E10" t="s">
        <v>266</v>
      </c>
      <c r="F10" t="s">
        <v>267</v>
      </c>
      <c r="I10" t="s">
        <v>268</v>
      </c>
      <c r="K10" s="6" t="s">
        <v>269</v>
      </c>
    </row>
    <row r="11" spans="1:18">
      <c r="D11">
        <v>9</v>
      </c>
      <c r="E11" t="s">
        <v>270</v>
      </c>
      <c r="F11" t="s">
        <v>271</v>
      </c>
      <c r="I11" t="s">
        <v>272</v>
      </c>
      <c r="K11" s="6" t="s">
        <v>252</v>
      </c>
    </row>
    <row r="12" spans="1:18">
      <c r="D12">
        <v>10</v>
      </c>
      <c r="E12" t="s">
        <v>273</v>
      </c>
      <c r="F12" t="s">
        <v>274</v>
      </c>
      <c r="I12" t="s">
        <v>275</v>
      </c>
      <c r="K12" s="6"/>
    </row>
    <row r="13" spans="1:18">
      <c r="D13">
        <v>11</v>
      </c>
      <c r="E13" t="s">
        <v>276</v>
      </c>
      <c r="F13" t="s">
        <v>277</v>
      </c>
      <c r="I13" t="s">
        <v>252</v>
      </c>
    </row>
    <row r="14" spans="1:18">
      <c r="D14">
        <v>12</v>
      </c>
      <c r="E14" t="s">
        <v>278</v>
      </c>
      <c r="F14" t="s">
        <v>279</v>
      </c>
      <c r="I14" t="s">
        <v>280</v>
      </c>
    </row>
    <row r="15" spans="1:18">
      <c r="D15">
        <v>13</v>
      </c>
      <c r="E15" t="s">
        <v>281</v>
      </c>
      <c r="F15" t="s">
        <v>282</v>
      </c>
      <c r="I15" t="s">
        <v>283</v>
      </c>
    </row>
    <row r="16" spans="1:18">
      <c r="D16">
        <v>14</v>
      </c>
      <c r="E16" t="s">
        <v>284</v>
      </c>
      <c r="F16" t="s">
        <v>285</v>
      </c>
      <c r="I16" t="s">
        <v>286</v>
      </c>
    </row>
    <row r="17" spans="4:9">
      <c r="D17">
        <v>15</v>
      </c>
      <c r="E17" t="s">
        <v>287</v>
      </c>
      <c r="F17" t="s">
        <v>288</v>
      </c>
      <c r="I17" t="s">
        <v>289</v>
      </c>
    </row>
    <row r="18" spans="4:9">
      <c r="D18">
        <v>16</v>
      </c>
      <c r="E18" t="s">
        <v>290</v>
      </c>
      <c r="F18" t="s">
        <v>291</v>
      </c>
      <c r="I18" t="s">
        <v>292</v>
      </c>
    </row>
    <row r="19" spans="4:9">
      <c r="D19">
        <v>17</v>
      </c>
      <c r="E19" t="s">
        <v>293</v>
      </c>
      <c r="F19" t="s">
        <v>294</v>
      </c>
      <c r="I19" t="s">
        <v>295</v>
      </c>
    </row>
    <row r="20" spans="4:9">
      <c r="D20">
        <v>18</v>
      </c>
      <c r="E20" t="s">
        <v>296</v>
      </c>
      <c r="F20" t="s">
        <v>297</v>
      </c>
    </row>
    <row r="21" spans="4:9">
      <c r="D21">
        <v>19</v>
      </c>
      <c r="E21" t="s">
        <v>298</v>
      </c>
      <c r="F21" t="s">
        <v>299</v>
      </c>
    </row>
    <row r="22" spans="4:9">
      <c r="D22">
        <v>20</v>
      </c>
      <c r="E22" t="s">
        <v>300</v>
      </c>
      <c r="F22" t="s">
        <v>301</v>
      </c>
    </row>
    <row r="23" spans="4:9">
      <c r="F23" t="s">
        <v>302</v>
      </c>
    </row>
    <row r="24" spans="4:9">
      <c r="F24" t="s">
        <v>303</v>
      </c>
    </row>
    <row r="25" spans="4:9">
      <c r="F25" t="s">
        <v>304</v>
      </c>
    </row>
    <row r="27" spans="4:9">
      <c r="I27" s="10"/>
    </row>
    <row r="28" spans="4:9">
      <c r="I28" s="10"/>
    </row>
    <row r="29" spans="4:9">
      <c r="I29" s="10"/>
    </row>
    <row r="30" spans="4:9">
      <c r="I30" s="10"/>
    </row>
    <row r="31" spans="4:9" ht="17.100000000000001">
      <c r="I31" s="9"/>
    </row>
    <row r="32" spans="4:9">
      <c r="I32" s="10"/>
    </row>
    <row r="33" spans="9:9" ht="17.100000000000001">
      <c r="I33" s="9"/>
    </row>
    <row r="34" spans="9:9">
      <c r="I34" s="10"/>
    </row>
    <row r="35" spans="9:9" ht="17.100000000000001">
      <c r="I35" s="9"/>
    </row>
    <row r="36" spans="9:9">
      <c r="I36" s="10"/>
    </row>
    <row r="37" spans="9:9">
      <c r="I37" s="10"/>
    </row>
    <row r="38" spans="9:9">
      <c r="I38" s="10"/>
    </row>
    <row r="39" spans="9:9" ht="17.100000000000001">
      <c r="I39" s="9"/>
    </row>
    <row r="40" spans="9:9" ht="17.100000000000001">
      <c r="I40" s="9"/>
    </row>
    <row r="41" spans="9:9">
      <c r="I41" s="10"/>
    </row>
    <row r="42" spans="9:9">
      <c r="I42" s="10"/>
    </row>
    <row r="43" spans="9:9">
      <c r="I43" s="10"/>
    </row>
  </sheetData>
  <sheetProtection sheet="1" formatColumns="0" formatRows="0" selectLockedCell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A0DC-DA9E-F44D-988F-428B5DCC35DD}">
  <dimension ref="A1:G14"/>
  <sheetViews>
    <sheetView workbookViewId="0">
      <selection activeCell="F18" sqref="F18"/>
    </sheetView>
  </sheetViews>
  <sheetFormatPr defaultColWidth="11" defaultRowHeight="15.95"/>
  <cols>
    <col min="1" max="1" width="13.5" customWidth="1"/>
    <col min="2" max="2" width="22.5" customWidth="1"/>
    <col min="3" max="3" width="19" customWidth="1"/>
    <col min="6" max="6" width="16.125" customWidth="1"/>
    <col min="7" max="7" width="25.125" customWidth="1"/>
    <col min="8" max="8" width="2.5" customWidth="1"/>
  </cols>
  <sheetData>
    <row r="1" spans="1:7">
      <c r="A1" t="s">
        <v>305</v>
      </c>
      <c r="B1" t="s">
        <v>306</v>
      </c>
      <c r="C1" t="s">
        <v>307</v>
      </c>
      <c r="D1" t="s">
        <v>308</v>
      </c>
      <c r="E1" t="s">
        <v>191</v>
      </c>
      <c r="F1" t="s">
        <v>309</v>
      </c>
      <c r="G1" t="s">
        <v>310</v>
      </c>
    </row>
    <row r="2" spans="1:7">
      <c r="B2" t="s">
        <v>311</v>
      </c>
      <c r="C2" t="str">
        <f>"--Not Selected--"</f>
        <v>--Not Selected--</v>
      </c>
    </row>
    <row r="3" spans="1:7">
      <c r="A3" t="s">
        <v>312</v>
      </c>
      <c r="B3" t="s">
        <v>313</v>
      </c>
      <c r="C3" t="s">
        <v>314</v>
      </c>
      <c r="D3" t="s">
        <v>225</v>
      </c>
      <c r="E3" t="s">
        <v>315</v>
      </c>
      <c r="F3" t="s">
        <v>316</v>
      </c>
      <c r="G3" s="38" t="s">
        <v>317</v>
      </c>
    </row>
    <row r="4" spans="1:7">
      <c r="A4" t="s">
        <v>318</v>
      </c>
      <c r="B4" t="s">
        <v>319</v>
      </c>
      <c r="C4" t="s">
        <v>320</v>
      </c>
      <c r="D4" t="s">
        <v>236</v>
      </c>
      <c r="E4" t="s">
        <v>321</v>
      </c>
      <c r="F4" t="s">
        <v>322</v>
      </c>
      <c r="G4" s="38" t="s">
        <v>323</v>
      </c>
    </row>
    <row r="5" spans="1:7">
      <c r="A5" t="s">
        <v>324</v>
      </c>
      <c r="B5" t="s">
        <v>325</v>
      </c>
      <c r="D5" t="s">
        <v>246</v>
      </c>
      <c r="F5" t="s">
        <v>326</v>
      </c>
      <c r="G5" s="38" t="s">
        <v>327</v>
      </c>
    </row>
    <row r="6" spans="1:7">
      <c r="A6" t="s">
        <v>328</v>
      </c>
      <c r="B6" t="s">
        <v>329</v>
      </c>
      <c r="D6" t="s">
        <v>253</v>
      </c>
    </row>
    <row r="7" spans="1:7">
      <c r="A7" t="s">
        <v>330</v>
      </c>
      <c r="B7" t="s">
        <v>331</v>
      </c>
    </row>
    <row r="8" spans="1:7">
      <c r="A8" t="s">
        <v>332</v>
      </c>
      <c r="B8" t="s">
        <v>333</v>
      </c>
    </row>
    <row r="9" spans="1:7">
      <c r="A9" t="s">
        <v>334</v>
      </c>
    </row>
    <row r="10" spans="1:7">
      <c r="A10" t="s">
        <v>335</v>
      </c>
    </row>
    <row r="11" spans="1:7">
      <c r="A11" s="2" t="s">
        <v>336</v>
      </c>
    </row>
    <row r="12" spans="1:7">
      <c r="A12" t="s">
        <v>100</v>
      </c>
    </row>
    <row r="13" spans="1:7">
      <c r="A13" t="s">
        <v>337</v>
      </c>
    </row>
    <row r="14" spans="1:7">
      <c r="A14" t="s">
        <v>338</v>
      </c>
    </row>
  </sheetData>
  <sheetProtection sheet="1" selectLockedCells="1"/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FCCD5-A513-7746-8CA9-CFDEBE8C636A}">
  <sheetPr>
    <pageSetUpPr fitToPage="1"/>
  </sheetPr>
  <dimension ref="A1:U219"/>
  <sheetViews>
    <sheetView topLeftCell="B1" zoomScale="114" zoomScaleNormal="89" workbookViewId="0">
      <selection activeCell="H9" sqref="H9"/>
    </sheetView>
  </sheetViews>
  <sheetFormatPr defaultColWidth="11" defaultRowHeight="15.75" customHeight="1"/>
  <cols>
    <col min="1" max="1" width="19.5" customWidth="1"/>
    <col min="2" max="2" width="40.125" customWidth="1"/>
    <col min="3" max="3" width="16" customWidth="1"/>
    <col min="4" max="4" width="17.875" customWidth="1"/>
    <col min="5" max="5" width="19.875" customWidth="1"/>
    <col min="6" max="11" width="14.875" customWidth="1"/>
    <col min="12" max="12" width="20.625" customWidth="1"/>
    <col min="13" max="28" width="14.875" customWidth="1"/>
    <col min="29" max="31" width="13" customWidth="1"/>
  </cols>
  <sheetData>
    <row r="1" spans="1:13" ht="15.95">
      <c r="C1" s="37"/>
      <c r="D1" s="37"/>
      <c r="E1" s="37"/>
    </row>
    <row r="2" spans="1:13" ht="15.95">
      <c r="A2" s="3" t="s">
        <v>339</v>
      </c>
      <c r="B2" s="39" t="s">
        <v>340</v>
      </c>
      <c r="C2" s="81" t="s">
        <v>341</v>
      </c>
      <c r="D2" s="81" t="s">
        <v>342</v>
      </c>
      <c r="E2" s="81" t="s">
        <v>343</v>
      </c>
      <c r="H2" s="3" t="s">
        <v>344</v>
      </c>
      <c r="I2" s="37" t="s">
        <v>345</v>
      </c>
    </row>
    <row r="3" spans="1:13" ht="15.95">
      <c r="B3" s="36" t="str">
        <f>""</f>
        <v/>
      </c>
      <c r="C3" s="37"/>
      <c r="D3" s="37"/>
      <c r="E3" s="37"/>
    </row>
    <row r="4" spans="1:13" ht="15.95">
      <c r="A4">
        <v>1</v>
      </c>
      <c r="B4" t="s">
        <v>346</v>
      </c>
      <c r="C4" s="37">
        <f t="shared" ref="C4:C10" si="0">C14-$C$206</f>
        <v>10983.36</v>
      </c>
      <c r="D4" s="37">
        <f t="shared" ref="D4:D10" si="1">C4*(1-$H$4)</f>
        <v>8237.52</v>
      </c>
      <c r="E4" s="37">
        <f t="shared" ref="E4:E10" si="2">D4/(1-$I$4)*2</f>
        <v>27458.400000000001</v>
      </c>
      <c r="F4" s="37"/>
      <c r="G4" s="37"/>
      <c r="H4" s="6">
        <v>0.25</v>
      </c>
      <c r="I4" s="6">
        <v>0.4</v>
      </c>
    </row>
    <row r="5" spans="1:13" ht="15.95">
      <c r="A5">
        <v>2</v>
      </c>
      <c r="B5" t="s">
        <v>347</v>
      </c>
      <c r="C5" s="37">
        <f t="shared" si="0"/>
        <v>12891.69</v>
      </c>
      <c r="D5" s="37">
        <f t="shared" si="1"/>
        <v>9668.7674999999999</v>
      </c>
      <c r="E5" s="37">
        <f t="shared" si="2"/>
        <v>32229.225000000002</v>
      </c>
    </row>
    <row r="6" spans="1:13" ht="15.95">
      <c r="A6">
        <v>3</v>
      </c>
      <c r="B6" t="s">
        <v>348</v>
      </c>
      <c r="C6" s="37">
        <f t="shared" si="0"/>
        <v>11815.050000000001</v>
      </c>
      <c r="D6" s="37">
        <f t="shared" si="1"/>
        <v>8861.2875000000004</v>
      </c>
      <c r="E6" s="37">
        <f t="shared" si="2"/>
        <v>29537.625000000004</v>
      </c>
      <c r="F6" s="37"/>
      <c r="G6" s="37"/>
    </row>
    <row r="7" spans="1:13" ht="15.95">
      <c r="A7">
        <v>4</v>
      </c>
      <c r="B7" t="s">
        <v>349</v>
      </c>
      <c r="C7" s="37">
        <f t="shared" si="0"/>
        <v>13425.94</v>
      </c>
      <c r="D7" s="37">
        <f t="shared" si="1"/>
        <v>10069.455</v>
      </c>
      <c r="E7" s="37">
        <f t="shared" si="2"/>
        <v>33564.85</v>
      </c>
    </row>
    <row r="8" spans="1:13" ht="15.95">
      <c r="A8">
        <v>5</v>
      </c>
      <c r="B8" t="s">
        <v>350</v>
      </c>
      <c r="C8" s="37">
        <f t="shared" si="0"/>
        <v>7473.1900000000005</v>
      </c>
      <c r="D8" s="37">
        <f t="shared" si="1"/>
        <v>5604.8924999999999</v>
      </c>
      <c r="E8" s="37">
        <f t="shared" si="2"/>
        <v>18682.975000000002</v>
      </c>
      <c r="F8" s="37"/>
      <c r="G8" s="37"/>
    </row>
    <row r="9" spans="1:13" ht="15.95">
      <c r="A9">
        <v>6</v>
      </c>
      <c r="B9" t="s">
        <v>351</v>
      </c>
      <c r="C9" s="37">
        <f t="shared" si="0"/>
        <v>8900.5</v>
      </c>
      <c r="D9" s="37">
        <f t="shared" si="1"/>
        <v>6675.375</v>
      </c>
      <c r="E9" s="37">
        <f t="shared" si="2"/>
        <v>22251.25</v>
      </c>
    </row>
    <row r="10" spans="1:13" ht="15.95">
      <c r="A10">
        <v>7</v>
      </c>
      <c r="B10" t="s">
        <v>352</v>
      </c>
      <c r="C10" s="37">
        <f t="shared" si="0"/>
        <v>10274.960000000001</v>
      </c>
      <c r="D10" s="37">
        <f t="shared" si="1"/>
        <v>7706.2200000000012</v>
      </c>
      <c r="E10" s="37">
        <f t="shared" si="2"/>
        <v>25687.400000000005</v>
      </c>
    </row>
    <row r="11" spans="1:13" ht="15.95">
      <c r="C11" s="37"/>
      <c r="D11" s="37"/>
      <c r="E11" s="37"/>
    </row>
    <row r="12" spans="1:13" ht="15.95">
      <c r="B12" s="39" t="s">
        <v>339</v>
      </c>
      <c r="C12" s="81" t="s">
        <v>341</v>
      </c>
      <c r="D12" s="81" t="s">
        <v>342</v>
      </c>
      <c r="E12" s="81" t="s">
        <v>343</v>
      </c>
      <c r="F12" s="42" t="s">
        <v>353</v>
      </c>
      <c r="H12" s="42" t="s">
        <v>310</v>
      </c>
      <c r="I12" s="42" t="s">
        <v>354</v>
      </c>
      <c r="J12" s="3" t="s">
        <v>355</v>
      </c>
      <c r="K12" s="42" t="s">
        <v>356</v>
      </c>
      <c r="L12" s="42" t="s">
        <v>357</v>
      </c>
      <c r="M12" s="42" t="s">
        <v>358</v>
      </c>
    </row>
    <row r="13" spans="1:13" ht="15.95">
      <c r="B13" s="36" t="str">
        <f>""</f>
        <v/>
      </c>
      <c r="C13" s="37"/>
      <c r="D13" s="37"/>
      <c r="E13" s="37"/>
    </row>
    <row r="14" spans="1:13" ht="15.95">
      <c r="A14">
        <v>1</v>
      </c>
      <c r="B14" t="s">
        <v>346</v>
      </c>
      <c r="C14" s="37">
        <v>11372.18</v>
      </c>
      <c r="D14" s="37">
        <f t="shared" ref="D14:D20" si="3">C14*(1-$H$4)</f>
        <v>8529.1350000000002</v>
      </c>
      <c r="E14" s="37">
        <f t="shared" ref="E14:E20" si="4">D14/(1-$I$4)*2</f>
        <v>28430.45</v>
      </c>
      <c r="F14" s="37">
        <v>0</v>
      </c>
      <c r="G14" s="37"/>
      <c r="H14" t="s">
        <v>317</v>
      </c>
      <c r="I14" t="s">
        <v>316</v>
      </c>
      <c r="J14" s="6" t="str">
        <f>B68</f>
        <v>1200mm</v>
      </c>
      <c r="K14" t="s">
        <v>359</v>
      </c>
      <c r="L14" t="s">
        <v>360</v>
      </c>
    </row>
    <row r="15" spans="1:13" ht="15.95">
      <c r="A15">
        <v>2</v>
      </c>
      <c r="B15" t="s">
        <v>347</v>
      </c>
      <c r="C15" s="37">
        <v>13280.51</v>
      </c>
      <c r="D15" s="37">
        <f t="shared" si="3"/>
        <v>9960.3824999999997</v>
      </c>
      <c r="E15" s="37">
        <f t="shared" si="4"/>
        <v>33201.275000000001</v>
      </c>
      <c r="F15" s="37">
        <v>0</v>
      </c>
      <c r="G15" s="37"/>
      <c r="H15" t="s">
        <v>317</v>
      </c>
      <c r="I15" t="s">
        <v>361</v>
      </c>
      <c r="J15" s="6" t="str">
        <f>B72</f>
        <v>1200mm XL</v>
      </c>
      <c r="K15" t="s">
        <v>359</v>
      </c>
      <c r="L15" t="s">
        <v>360</v>
      </c>
    </row>
    <row r="16" spans="1:13" ht="15.95">
      <c r="A16">
        <v>3</v>
      </c>
      <c r="B16" t="s">
        <v>348</v>
      </c>
      <c r="C16" s="37">
        <v>12203.87</v>
      </c>
      <c r="D16" s="37">
        <f t="shared" si="3"/>
        <v>9152.9025000000001</v>
      </c>
      <c r="E16" s="37">
        <f t="shared" si="4"/>
        <v>30509.675000000003</v>
      </c>
      <c r="F16" s="37">
        <v>0</v>
      </c>
      <c r="G16" s="37"/>
      <c r="H16" t="s">
        <v>317</v>
      </c>
      <c r="I16" t="s">
        <v>316</v>
      </c>
      <c r="J16" s="6" t="str">
        <f>B68</f>
        <v>1200mm</v>
      </c>
      <c r="K16" t="s">
        <v>362</v>
      </c>
      <c r="L16" t="s">
        <v>360</v>
      </c>
    </row>
    <row r="17" spans="1:12" ht="15.95">
      <c r="A17">
        <v>4</v>
      </c>
      <c r="B17" t="s">
        <v>349</v>
      </c>
      <c r="C17" s="37">
        <v>13814.76</v>
      </c>
      <c r="D17" s="37">
        <f t="shared" si="3"/>
        <v>10361.07</v>
      </c>
      <c r="E17" s="37">
        <f t="shared" si="4"/>
        <v>34536.9</v>
      </c>
      <c r="F17" s="37">
        <v>0</v>
      </c>
      <c r="H17" t="s">
        <v>317</v>
      </c>
      <c r="I17" t="s">
        <v>361</v>
      </c>
      <c r="J17" s="6" t="str">
        <f>B72</f>
        <v>1200mm XL</v>
      </c>
      <c r="K17" t="s">
        <v>362</v>
      </c>
      <c r="L17" t="s">
        <v>360</v>
      </c>
    </row>
    <row r="18" spans="1:12" ht="15.95">
      <c r="A18">
        <v>5</v>
      </c>
      <c r="B18" t="s">
        <v>350</v>
      </c>
      <c r="C18" s="37">
        <v>7862.01</v>
      </c>
      <c r="D18" s="37">
        <f t="shared" si="3"/>
        <v>5896.5074999999997</v>
      </c>
      <c r="E18" s="37">
        <f t="shared" si="4"/>
        <v>19655.025000000001</v>
      </c>
      <c r="F18" s="37">
        <v>0</v>
      </c>
      <c r="G18" s="37"/>
      <c r="H18" t="s">
        <v>317</v>
      </c>
      <c r="I18" t="s">
        <v>316</v>
      </c>
      <c r="J18" s="6" t="str">
        <f>B68</f>
        <v>1200mm</v>
      </c>
      <c r="K18" t="s">
        <v>363</v>
      </c>
      <c r="L18" t="s">
        <v>360</v>
      </c>
    </row>
    <row r="19" spans="1:12" ht="15.95">
      <c r="A19">
        <v>6</v>
      </c>
      <c r="B19" t="s">
        <v>351</v>
      </c>
      <c r="C19" s="37">
        <v>9289.32</v>
      </c>
      <c r="D19" s="37">
        <f t="shared" si="3"/>
        <v>6966.99</v>
      </c>
      <c r="E19" s="37">
        <f t="shared" si="4"/>
        <v>23223.3</v>
      </c>
      <c r="F19" s="37">
        <v>0</v>
      </c>
      <c r="H19" t="s">
        <v>317</v>
      </c>
      <c r="I19" t="s">
        <v>361</v>
      </c>
      <c r="J19" s="6" t="str">
        <f>B72</f>
        <v>1200mm XL</v>
      </c>
      <c r="K19" t="s">
        <v>363</v>
      </c>
      <c r="L19" t="s">
        <v>360</v>
      </c>
    </row>
    <row r="20" spans="1:12" ht="15.95">
      <c r="A20">
        <v>7</v>
      </c>
      <c r="B20" t="s">
        <v>352</v>
      </c>
      <c r="C20" s="37">
        <v>10663.78</v>
      </c>
      <c r="D20" s="37">
        <f t="shared" si="3"/>
        <v>7997.8350000000009</v>
      </c>
      <c r="E20" s="37">
        <f t="shared" si="4"/>
        <v>26659.450000000004</v>
      </c>
      <c r="F20" s="37">
        <v>0</v>
      </c>
      <c r="H20" t="s">
        <v>317</v>
      </c>
      <c r="I20" t="s">
        <v>361</v>
      </c>
      <c r="J20" s="6" t="str">
        <f>B72</f>
        <v>1200mm XL</v>
      </c>
      <c r="K20" t="s">
        <v>363</v>
      </c>
      <c r="L20" t="s">
        <v>360</v>
      </c>
    </row>
    <row r="21" spans="1:12" ht="15.95">
      <c r="C21" s="37"/>
      <c r="D21" s="37"/>
      <c r="E21" s="37"/>
      <c r="J21" s="6"/>
    </row>
    <row r="22" spans="1:12" ht="15.95">
      <c r="B22" t="s">
        <v>364</v>
      </c>
      <c r="C22" s="37">
        <f>16600.73</f>
        <v>16600.73</v>
      </c>
      <c r="D22" s="37">
        <f t="shared" ref="D22:D44" si="5">C22*(1-$H$4)</f>
        <v>12450.547500000001</v>
      </c>
      <c r="E22" s="37">
        <f t="shared" ref="E22:E38" si="6">D22/(1-$I$4)*2</f>
        <v>41501.825000000004</v>
      </c>
      <c r="F22" s="37">
        <f>C22-C14</f>
        <v>5228.5499999999993</v>
      </c>
      <c r="H22" t="s">
        <v>317</v>
      </c>
      <c r="I22" t="s">
        <v>316</v>
      </c>
      <c r="J22" s="6" t="str">
        <f>B68</f>
        <v>1200mm</v>
      </c>
      <c r="K22" t="s">
        <v>359</v>
      </c>
      <c r="L22" t="str">
        <f>B106</f>
        <v>Large Monitor Carrier</v>
      </c>
    </row>
    <row r="23" spans="1:12" ht="15.95">
      <c r="B23" t="s">
        <v>365</v>
      </c>
      <c r="C23" s="37">
        <f>18509.06</f>
        <v>18509.060000000001</v>
      </c>
      <c r="D23" s="37">
        <f t="shared" si="5"/>
        <v>13881.795000000002</v>
      </c>
      <c r="E23" s="37">
        <f t="shared" si="6"/>
        <v>46272.650000000009</v>
      </c>
      <c r="F23" s="37">
        <f>C23-C15</f>
        <v>5228.5500000000011</v>
      </c>
      <c r="H23" t="s">
        <v>317</v>
      </c>
      <c r="I23" t="s">
        <v>361</v>
      </c>
      <c r="J23" s="6" t="str">
        <f>B72</f>
        <v>1200mm XL</v>
      </c>
      <c r="K23" t="s">
        <v>359</v>
      </c>
      <c r="L23" t="s">
        <v>366</v>
      </c>
    </row>
    <row r="24" spans="1:12" ht="15.95">
      <c r="B24" t="s">
        <v>367</v>
      </c>
      <c r="C24" s="37">
        <v>11707.68</v>
      </c>
      <c r="D24" s="37">
        <f t="shared" si="5"/>
        <v>8780.76</v>
      </c>
      <c r="E24" s="37">
        <f t="shared" si="6"/>
        <v>29269.200000000001</v>
      </c>
      <c r="F24" s="37">
        <f t="shared" ref="F24:F40" si="7">(C24-$C$16)</f>
        <v>-496.19000000000051</v>
      </c>
      <c r="H24" t="s">
        <v>317</v>
      </c>
      <c r="I24" t="s">
        <v>316</v>
      </c>
      <c r="J24" s="6" t="str">
        <f t="shared" ref="J24:J32" si="8">$B$68</f>
        <v>1200mm</v>
      </c>
      <c r="K24" t="s">
        <v>359</v>
      </c>
      <c r="L24" t="s">
        <v>368</v>
      </c>
    </row>
    <row r="25" spans="1:12" ht="15.95">
      <c r="B25" t="s">
        <v>369</v>
      </c>
      <c r="C25" s="37">
        <v>12701.91</v>
      </c>
      <c r="D25" s="37">
        <f t="shared" si="5"/>
        <v>9526.432499999999</v>
      </c>
      <c r="E25" s="37">
        <f t="shared" si="6"/>
        <v>31754.774999999998</v>
      </c>
      <c r="F25" s="37">
        <f t="shared" si="7"/>
        <v>498.03999999999905</v>
      </c>
      <c r="H25" t="s">
        <v>317</v>
      </c>
      <c r="I25" t="s">
        <v>316</v>
      </c>
      <c r="J25" s="6" t="str">
        <f t="shared" si="8"/>
        <v>1200mm</v>
      </c>
      <c r="K25" t="s">
        <v>359</v>
      </c>
      <c r="L25" t="s">
        <v>313</v>
      </c>
    </row>
    <row r="26" spans="1:12" ht="15.95">
      <c r="B26" t="s">
        <v>370</v>
      </c>
      <c r="C26" s="37">
        <v>13222.18</v>
      </c>
      <c r="D26" s="37">
        <f t="shared" si="5"/>
        <v>9916.6350000000002</v>
      </c>
      <c r="E26" s="37">
        <f t="shared" si="6"/>
        <v>33055.450000000004</v>
      </c>
      <c r="F26" s="37">
        <f t="shared" si="7"/>
        <v>1018.3099999999995</v>
      </c>
      <c r="H26" t="s">
        <v>317</v>
      </c>
      <c r="I26" t="s">
        <v>316</v>
      </c>
      <c r="J26" s="6" t="str">
        <f t="shared" si="8"/>
        <v>1200mm</v>
      </c>
      <c r="K26" t="s">
        <v>359</v>
      </c>
      <c r="L26" t="s">
        <v>319</v>
      </c>
    </row>
    <row r="27" spans="1:12" ht="15.95">
      <c r="B27" t="s">
        <v>371</v>
      </c>
      <c r="C27" s="37">
        <v>13740.59</v>
      </c>
      <c r="D27" s="37">
        <f t="shared" si="5"/>
        <v>10305.442500000001</v>
      </c>
      <c r="E27" s="37">
        <f t="shared" si="6"/>
        <v>34351.475000000006</v>
      </c>
      <c r="F27" s="37">
        <f t="shared" si="7"/>
        <v>1536.7199999999993</v>
      </c>
      <c r="H27" t="s">
        <v>317</v>
      </c>
      <c r="I27" t="s">
        <v>316</v>
      </c>
      <c r="J27" s="6" t="str">
        <f t="shared" si="8"/>
        <v>1200mm</v>
      </c>
      <c r="K27" t="s">
        <v>359</v>
      </c>
      <c r="L27" t="s">
        <v>325</v>
      </c>
    </row>
    <row r="28" spans="1:12" ht="15.95">
      <c r="B28" t="s">
        <v>372</v>
      </c>
      <c r="C28" s="37">
        <v>12993.59</v>
      </c>
      <c r="D28" s="37">
        <f t="shared" si="5"/>
        <v>9745.192500000001</v>
      </c>
      <c r="E28" s="37">
        <f t="shared" si="6"/>
        <v>32483.975000000006</v>
      </c>
      <c r="F28" s="37">
        <f t="shared" si="7"/>
        <v>789.71999999999935</v>
      </c>
      <c r="H28" t="s">
        <v>317</v>
      </c>
      <c r="I28" t="s">
        <v>316</v>
      </c>
      <c r="J28" s="6" t="str">
        <f t="shared" si="8"/>
        <v>1200mm</v>
      </c>
      <c r="K28" t="s">
        <v>359</v>
      </c>
      <c r="L28" t="s">
        <v>325</v>
      </c>
    </row>
    <row r="29" spans="1:12" ht="15.95">
      <c r="B29" t="s">
        <v>373</v>
      </c>
      <c r="C29" s="37">
        <v>13746.19</v>
      </c>
      <c r="D29" s="37">
        <f t="shared" si="5"/>
        <v>10309.6425</v>
      </c>
      <c r="E29" s="37">
        <f t="shared" si="6"/>
        <v>34365.474999999999</v>
      </c>
      <c r="F29" s="37">
        <f t="shared" si="7"/>
        <v>1542.3199999999997</v>
      </c>
      <c r="H29" t="s">
        <v>317</v>
      </c>
      <c r="I29" t="s">
        <v>316</v>
      </c>
      <c r="J29" s="6" t="str">
        <f t="shared" si="8"/>
        <v>1200mm</v>
      </c>
      <c r="K29" t="s">
        <v>359</v>
      </c>
      <c r="L29" t="s">
        <v>316</v>
      </c>
    </row>
    <row r="30" spans="1:12" ht="15.95">
      <c r="B30" t="s">
        <v>374</v>
      </c>
      <c r="C30" s="37">
        <v>14534.92</v>
      </c>
      <c r="D30" s="37">
        <f t="shared" si="5"/>
        <v>10901.19</v>
      </c>
      <c r="E30" s="37">
        <f t="shared" si="6"/>
        <v>36337.300000000003</v>
      </c>
      <c r="F30" s="37">
        <f t="shared" si="7"/>
        <v>2331.0499999999993</v>
      </c>
      <c r="H30" t="s">
        <v>317</v>
      </c>
      <c r="I30" t="s">
        <v>316</v>
      </c>
      <c r="J30" s="6" t="str">
        <f t="shared" si="8"/>
        <v>1200mm</v>
      </c>
      <c r="K30" t="s">
        <v>359</v>
      </c>
      <c r="L30" t="s">
        <v>316</v>
      </c>
    </row>
    <row r="31" spans="1:12" ht="15.95">
      <c r="B31" t="s">
        <v>375</v>
      </c>
      <c r="C31" s="37">
        <v>12258.3</v>
      </c>
      <c r="D31" s="37">
        <f t="shared" si="5"/>
        <v>9193.7249999999985</v>
      </c>
      <c r="E31" s="37">
        <f t="shared" si="6"/>
        <v>30645.749999999996</v>
      </c>
      <c r="F31" s="37">
        <f t="shared" si="7"/>
        <v>54.429999999998472</v>
      </c>
      <c r="H31" t="s">
        <v>317</v>
      </c>
      <c r="I31" t="s">
        <v>316</v>
      </c>
      <c r="J31" s="6" t="str">
        <f t="shared" si="8"/>
        <v>1200mm</v>
      </c>
      <c r="K31" t="s">
        <v>359</v>
      </c>
      <c r="L31" t="s">
        <v>316</v>
      </c>
    </row>
    <row r="32" spans="1:12" ht="15.95">
      <c r="B32" t="s">
        <v>376</v>
      </c>
      <c r="C32" s="37">
        <v>12389.02</v>
      </c>
      <c r="D32" s="37">
        <f t="shared" si="5"/>
        <v>9291.7649999999994</v>
      </c>
      <c r="E32" s="37">
        <f t="shared" si="6"/>
        <v>30972.55</v>
      </c>
      <c r="F32" s="37">
        <f t="shared" si="7"/>
        <v>185.14999999999964</v>
      </c>
      <c r="H32" t="s">
        <v>317</v>
      </c>
      <c r="I32" t="s">
        <v>316</v>
      </c>
      <c r="J32" s="6" t="str">
        <f t="shared" si="8"/>
        <v>1200mm</v>
      </c>
      <c r="K32" t="s">
        <v>359</v>
      </c>
      <c r="L32" t="s">
        <v>316</v>
      </c>
    </row>
    <row r="33" spans="1:12" ht="15.95">
      <c r="B33" t="s">
        <v>377</v>
      </c>
      <c r="C33" s="37">
        <v>12590.84</v>
      </c>
      <c r="D33" s="37">
        <f t="shared" si="5"/>
        <v>9443.130000000001</v>
      </c>
      <c r="E33" s="37">
        <f t="shared" si="6"/>
        <v>31477.100000000006</v>
      </c>
      <c r="F33" s="37">
        <f t="shared" si="7"/>
        <v>386.96999999999935</v>
      </c>
      <c r="H33" t="s">
        <v>317</v>
      </c>
      <c r="I33" t="s">
        <v>316</v>
      </c>
      <c r="J33" s="6" t="s">
        <v>378</v>
      </c>
      <c r="K33" t="s">
        <v>359</v>
      </c>
      <c r="L33" t="s">
        <v>316</v>
      </c>
    </row>
    <row r="34" spans="1:12" ht="15.95">
      <c r="B34" t="s">
        <v>379</v>
      </c>
      <c r="C34" s="37">
        <v>12855.61</v>
      </c>
      <c r="D34" s="37">
        <f t="shared" si="5"/>
        <v>9641.7075000000004</v>
      </c>
      <c r="E34" s="37">
        <f t="shared" si="6"/>
        <v>32139.025000000001</v>
      </c>
      <c r="F34" s="37">
        <f t="shared" si="7"/>
        <v>651.73999999999978</v>
      </c>
      <c r="H34" t="s">
        <v>317</v>
      </c>
      <c r="I34" t="s">
        <v>316</v>
      </c>
      <c r="J34" s="6" t="s">
        <v>378</v>
      </c>
      <c r="K34" t="s">
        <v>359</v>
      </c>
      <c r="L34" t="s">
        <v>316</v>
      </c>
    </row>
    <row r="35" spans="1:12" ht="15.95">
      <c r="B35" t="s">
        <v>380</v>
      </c>
      <c r="C35" s="37">
        <v>13120.38</v>
      </c>
      <c r="D35" s="37">
        <f t="shared" si="5"/>
        <v>9840.2849999999999</v>
      </c>
      <c r="E35" s="37">
        <f t="shared" si="6"/>
        <v>32800.950000000004</v>
      </c>
      <c r="F35" s="37">
        <f t="shared" si="7"/>
        <v>916.5099999999984</v>
      </c>
      <c r="H35" t="s">
        <v>317</v>
      </c>
      <c r="I35" t="s">
        <v>316</v>
      </c>
      <c r="J35" s="6" t="s">
        <v>378</v>
      </c>
      <c r="K35" t="s">
        <v>359</v>
      </c>
      <c r="L35" t="s">
        <v>316</v>
      </c>
    </row>
    <row r="36" spans="1:12" ht="15.95">
      <c r="B36" t="s">
        <v>381</v>
      </c>
      <c r="C36" s="37">
        <v>13385.15</v>
      </c>
      <c r="D36" s="37">
        <f t="shared" si="5"/>
        <v>10038.862499999999</v>
      </c>
      <c r="E36" s="37">
        <f t="shared" si="6"/>
        <v>33462.875</v>
      </c>
      <c r="F36" s="37">
        <f t="shared" si="7"/>
        <v>1181.2799999999988</v>
      </c>
      <c r="H36" t="s">
        <v>317</v>
      </c>
      <c r="I36" t="s">
        <v>316</v>
      </c>
      <c r="J36" s="6" t="s">
        <v>378</v>
      </c>
      <c r="K36" t="s">
        <v>359</v>
      </c>
      <c r="L36" t="s">
        <v>316</v>
      </c>
    </row>
    <row r="37" spans="1:12" ht="15.95">
      <c r="B37" t="s">
        <v>382</v>
      </c>
      <c r="C37" s="37">
        <v>12529.74</v>
      </c>
      <c r="D37" s="37">
        <f t="shared" si="5"/>
        <v>9397.3050000000003</v>
      </c>
      <c r="E37" s="37">
        <f t="shared" si="6"/>
        <v>31324.350000000002</v>
      </c>
      <c r="F37" s="37">
        <f t="shared" si="7"/>
        <v>325.86999999999898</v>
      </c>
      <c r="H37" t="s">
        <v>317</v>
      </c>
      <c r="I37" t="s">
        <v>316</v>
      </c>
      <c r="J37" s="6" t="s">
        <v>378</v>
      </c>
      <c r="K37" t="s">
        <v>359</v>
      </c>
      <c r="L37" t="s">
        <v>316</v>
      </c>
    </row>
    <row r="38" spans="1:12" ht="15.95">
      <c r="B38" t="s">
        <v>383</v>
      </c>
      <c r="C38" s="37">
        <v>12700.07</v>
      </c>
      <c r="D38" s="37">
        <f t="shared" si="5"/>
        <v>9525.0524999999998</v>
      </c>
      <c r="E38" s="37">
        <f t="shared" si="6"/>
        <v>31750.174999999999</v>
      </c>
      <c r="F38" s="37">
        <f t="shared" si="7"/>
        <v>496.19999999999891</v>
      </c>
      <c r="H38" t="s">
        <v>317</v>
      </c>
      <c r="I38" t="s">
        <v>316</v>
      </c>
      <c r="J38" s="6" t="s">
        <v>378</v>
      </c>
      <c r="K38" t="s">
        <v>359</v>
      </c>
      <c r="L38" t="s">
        <v>316</v>
      </c>
    </row>
    <row r="39" spans="1:12" ht="15.95">
      <c r="B39" t="s">
        <v>384</v>
      </c>
      <c r="C39" s="37">
        <v>12855.61</v>
      </c>
      <c r="D39" s="37">
        <f t="shared" si="5"/>
        <v>9641.7075000000004</v>
      </c>
      <c r="E39" s="37">
        <f t="shared" ref="E39:E40" si="9">D39/(1-0.4)*2</f>
        <v>32139.025000000001</v>
      </c>
      <c r="F39" s="37">
        <f t="shared" si="7"/>
        <v>651.73999999999978</v>
      </c>
      <c r="H39" t="s">
        <v>317</v>
      </c>
      <c r="I39" t="s">
        <v>316</v>
      </c>
      <c r="J39" s="6" t="s">
        <v>378</v>
      </c>
      <c r="K39" t="s">
        <v>359</v>
      </c>
      <c r="L39" t="s">
        <v>316</v>
      </c>
    </row>
    <row r="40" spans="1:12" ht="15.95">
      <c r="B40" t="s">
        <v>385</v>
      </c>
      <c r="C40" s="37">
        <v>13125.91</v>
      </c>
      <c r="D40" s="37">
        <f t="shared" si="5"/>
        <v>9844.432499999999</v>
      </c>
      <c r="E40" s="37">
        <f t="shared" si="9"/>
        <v>32814.775000000001</v>
      </c>
      <c r="F40" s="37">
        <f t="shared" si="7"/>
        <v>922.03999999999905</v>
      </c>
      <c r="H40" t="s">
        <v>317</v>
      </c>
      <c r="I40" t="s">
        <v>316</v>
      </c>
      <c r="J40" s="6" t="s">
        <v>378</v>
      </c>
      <c r="K40" t="s">
        <v>359</v>
      </c>
      <c r="L40" t="s">
        <v>316</v>
      </c>
    </row>
    <row r="41" spans="1:12" ht="15.95">
      <c r="B41" t="s">
        <v>386</v>
      </c>
      <c r="C41" s="37">
        <v>13471.21</v>
      </c>
      <c r="D41" s="37">
        <f t="shared" si="5"/>
        <v>10103.407499999999</v>
      </c>
      <c r="E41" s="37">
        <f>D41/(1-$I$4)*2</f>
        <v>33678.025000000001</v>
      </c>
      <c r="F41" s="37">
        <f>(C41-$C$15)</f>
        <v>190.69999999999891</v>
      </c>
      <c r="H41" t="s">
        <v>317</v>
      </c>
      <c r="I41" t="s">
        <v>316</v>
      </c>
      <c r="J41" s="6" t="s">
        <v>378</v>
      </c>
      <c r="K41" t="s">
        <v>359</v>
      </c>
      <c r="L41" t="s">
        <v>316</v>
      </c>
    </row>
    <row r="42" spans="1:12" ht="15.95">
      <c r="B42" t="s">
        <v>387</v>
      </c>
      <c r="C42" s="37">
        <v>13735.58</v>
      </c>
      <c r="D42" s="37">
        <f t="shared" si="5"/>
        <v>10301.684999999999</v>
      </c>
      <c r="E42" s="37">
        <f>D42/(1-$I$4)*2</f>
        <v>34338.949999999997</v>
      </c>
      <c r="F42" s="37">
        <f>(C42-$C$15)</f>
        <v>455.06999999999971</v>
      </c>
      <c r="H42" t="s">
        <v>317</v>
      </c>
      <c r="I42" t="s">
        <v>316</v>
      </c>
      <c r="J42" s="6" t="s">
        <v>378</v>
      </c>
      <c r="K42" t="s">
        <v>359</v>
      </c>
      <c r="L42" t="s">
        <v>316</v>
      </c>
    </row>
    <row r="43" spans="1:12" ht="15.95">
      <c r="B43" t="s">
        <v>388</v>
      </c>
      <c r="C43" s="37">
        <v>13937.61</v>
      </c>
      <c r="D43" s="37">
        <f t="shared" si="5"/>
        <v>10453.2075</v>
      </c>
      <c r="E43" s="37">
        <f>D43/(1-$I$4)*2</f>
        <v>34844.025000000001</v>
      </c>
      <c r="F43" s="37">
        <f>(C43-$C$15)</f>
        <v>657.10000000000036</v>
      </c>
      <c r="H43" t="s">
        <v>317</v>
      </c>
      <c r="I43" t="s">
        <v>316</v>
      </c>
      <c r="J43" s="6" t="s">
        <v>378</v>
      </c>
      <c r="K43" t="s">
        <v>359</v>
      </c>
      <c r="L43" t="s">
        <v>316</v>
      </c>
    </row>
    <row r="44" spans="1:12" ht="15.95">
      <c r="B44" t="s">
        <v>389</v>
      </c>
      <c r="C44" s="37">
        <v>14633.59</v>
      </c>
      <c r="D44" s="37">
        <f t="shared" si="5"/>
        <v>10975.192500000001</v>
      </c>
      <c r="E44" s="37">
        <f>D44/(1-$I$4)*2</f>
        <v>36583.975000000006</v>
      </c>
      <c r="F44" s="37">
        <f>(C44-$C$15)</f>
        <v>1353.08</v>
      </c>
      <c r="H44" t="s">
        <v>317</v>
      </c>
      <c r="I44" t="s">
        <v>316</v>
      </c>
      <c r="J44" s="6" t="s">
        <v>378</v>
      </c>
      <c r="K44" t="s">
        <v>359</v>
      </c>
      <c r="L44" t="s">
        <v>316</v>
      </c>
    </row>
    <row r="45" spans="1:12" ht="15.95">
      <c r="C45" s="37"/>
      <c r="D45" s="37"/>
      <c r="E45" s="37"/>
      <c r="I45" s="37"/>
      <c r="J45" s="37"/>
    </row>
    <row r="46" spans="1:12" ht="15.95">
      <c r="C46" s="37"/>
      <c r="D46" s="37"/>
      <c r="E46" s="37"/>
      <c r="I46" s="37"/>
      <c r="J46" s="37"/>
    </row>
    <row r="47" spans="1:12" ht="15.95">
      <c r="A47" s="3" t="s">
        <v>390</v>
      </c>
      <c r="B47" s="39" t="s">
        <v>310</v>
      </c>
      <c r="C47" s="81" t="s">
        <v>341</v>
      </c>
      <c r="D47" s="81" t="s">
        <v>342</v>
      </c>
      <c r="E47" s="81" t="s">
        <v>343</v>
      </c>
      <c r="H47" s="37" t="s">
        <v>391</v>
      </c>
      <c r="I47" s="37" t="s">
        <v>310</v>
      </c>
      <c r="J47" s="6" t="s">
        <v>392</v>
      </c>
    </row>
    <row r="48" spans="1:12" ht="15.95">
      <c r="C48" s="37"/>
      <c r="D48" s="37"/>
      <c r="E48" s="37"/>
    </row>
    <row r="49" spans="1:10" ht="15.95">
      <c r="A49" s="41" t="s">
        <v>393</v>
      </c>
      <c r="B49" t="s">
        <v>394</v>
      </c>
      <c r="C49" s="37">
        <f>SUM(H49:K49)</f>
        <v>1616.3600000000001</v>
      </c>
      <c r="D49" s="37">
        <f>C49*(1-$H$4)</f>
        <v>1212.27</v>
      </c>
      <c r="E49" s="37">
        <f>D49/(1-$I$4)*2</f>
        <v>4040.9</v>
      </c>
      <c r="H49" s="37">
        <f>C205</f>
        <v>1005.36</v>
      </c>
      <c r="I49" s="37">
        <f>C208</f>
        <v>611</v>
      </c>
      <c r="J49">
        <v>0</v>
      </c>
    </row>
    <row r="50" spans="1:10" ht="15.95">
      <c r="A50" s="41" t="s">
        <v>395</v>
      </c>
      <c r="B50" t="s">
        <v>396</v>
      </c>
      <c r="C50" s="37">
        <f>SUM(H50:K50)</f>
        <v>1393.8899999999999</v>
      </c>
      <c r="D50" s="37">
        <f>C50*(1-$H$4)</f>
        <v>1045.4175</v>
      </c>
      <c r="E50" s="37">
        <f>D50/(1-$I$4)*2</f>
        <v>3484.7250000000004</v>
      </c>
      <c r="H50" s="37">
        <f>C205</f>
        <v>1005.36</v>
      </c>
      <c r="I50" s="37">
        <f>C207</f>
        <v>388.53</v>
      </c>
      <c r="J50">
        <v>0</v>
      </c>
    </row>
    <row r="51" spans="1:10" ht="15.95">
      <c r="A51" s="41" t="s">
        <v>397</v>
      </c>
      <c r="B51" t="s">
        <v>323</v>
      </c>
      <c r="C51" s="37">
        <f>SUM(C210:C212)</f>
        <v>1646.49</v>
      </c>
      <c r="D51" s="37">
        <f>C51*(1-$H$4)</f>
        <v>1234.8675000000001</v>
      </c>
      <c r="E51" s="37">
        <f>D51/(1-$I$4)*2</f>
        <v>4116.2250000000004</v>
      </c>
      <c r="H51" s="37">
        <f>C210</f>
        <v>1005.36</v>
      </c>
      <c r="I51" s="37">
        <f>C211</f>
        <v>379.56</v>
      </c>
      <c r="J51" s="37">
        <f>C212</f>
        <v>261.57</v>
      </c>
    </row>
    <row r="52" spans="1:10" ht="15.95">
      <c r="A52" s="41" t="s">
        <v>398</v>
      </c>
      <c r="B52" t="s">
        <v>327</v>
      </c>
      <c r="C52" s="37">
        <v>0</v>
      </c>
      <c r="D52" s="37">
        <f>C52*(1-$H$4)</f>
        <v>0</v>
      </c>
      <c r="E52" s="37">
        <f>D52/(1-$I$4)*2</f>
        <v>0</v>
      </c>
      <c r="H52" s="37">
        <f>C206</f>
        <v>388.82</v>
      </c>
      <c r="I52" s="37">
        <f>C210</f>
        <v>1005.36</v>
      </c>
      <c r="J52">
        <v>0</v>
      </c>
    </row>
    <row r="53" spans="1:10" ht="15.95">
      <c r="C53" s="37"/>
      <c r="D53" s="37"/>
      <c r="E53" s="37"/>
      <c r="F53" s="37"/>
      <c r="G53" s="37"/>
    </row>
    <row r="54" spans="1:10" ht="15.95">
      <c r="B54" s="36" t="s">
        <v>309</v>
      </c>
      <c r="C54" s="37"/>
      <c r="D54" s="37"/>
      <c r="E54" s="37"/>
    </row>
    <row r="55" spans="1:10" ht="15.95">
      <c r="B55" s="36"/>
      <c r="C55" s="81" t="s">
        <v>341</v>
      </c>
      <c r="D55" s="81" t="s">
        <v>342</v>
      </c>
      <c r="E55" s="81" t="s">
        <v>343</v>
      </c>
    </row>
    <row r="56" spans="1:10" ht="15.95">
      <c r="B56" s="75" t="s">
        <v>316</v>
      </c>
      <c r="C56" s="37">
        <v>0</v>
      </c>
      <c r="D56" s="37">
        <f t="shared" ref="D56:D61" si="10">C56*(1-$H$4)</f>
        <v>0</v>
      </c>
      <c r="E56" s="37">
        <f t="shared" ref="E56:E61" si="11">D56/(1-$I$4)*2</f>
        <v>0</v>
      </c>
    </row>
    <row r="57" spans="1:10" ht="15.95">
      <c r="B57" s="75" t="s">
        <v>322</v>
      </c>
      <c r="C57" s="37">
        <f>F31</f>
        <v>54.429999999998472</v>
      </c>
      <c r="D57" s="37">
        <f t="shared" si="10"/>
        <v>40.822499999998854</v>
      </c>
      <c r="E57" s="37">
        <f t="shared" si="11"/>
        <v>136.07499999999618</v>
      </c>
    </row>
    <row r="58" spans="1:10" ht="15.95">
      <c r="B58" s="75" t="s">
        <v>326</v>
      </c>
      <c r="C58" s="37">
        <f>F32</f>
        <v>185.14999999999964</v>
      </c>
      <c r="D58" s="37">
        <f t="shared" si="10"/>
        <v>138.86249999999973</v>
      </c>
      <c r="E58" s="37">
        <f t="shared" si="11"/>
        <v>462.87499999999909</v>
      </c>
    </row>
    <row r="59" spans="1:10" ht="15.95">
      <c r="B59" s="75" t="s">
        <v>361</v>
      </c>
      <c r="C59" s="37">
        <v>0</v>
      </c>
      <c r="D59" s="37">
        <f t="shared" si="10"/>
        <v>0</v>
      </c>
      <c r="E59" s="37">
        <f t="shared" si="11"/>
        <v>0</v>
      </c>
    </row>
    <row r="60" spans="1:10" ht="15.95">
      <c r="B60" s="75" t="s">
        <v>399</v>
      </c>
      <c r="C60" s="37">
        <f>F41</f>
        <v>190.69999999999891</v>
      </c>
      <c r="D60" s="37">
        <f t="shared" si="10"/>
        <v>143.02499999999918</v>
      </c>
      <c r="E60" s="37">
        <f t="shared" si="11"/>
        <v>476.74999999999727</v>
      </c>
    </row>
    <row r="61" spans="1:10" ht="15.95">
      <c r="B61" s="75" t="s">
        <v>400</v>
      </c>
      <c r="C61" s="37">
        <f>F42</f>
        <v>455.06999999999971</v>
      </c>
      <c r="D61" s="37">
        <f t="shared" si="10"/>
        <v>341.30249999999978</v>
      </c>
      <c r="E61" s="37">
        <f t="shared" si="11"/>
        <v>1137.6749999999993</v>
      </c>
    </row>
    <row r="62" spans="1:10" ht="15.95">
      <c r="C62" s="37"/>
      <c r="D62" s="37"/>
      <c r="E62" s="37"/>
    </row>
    <row r="63" spans="1:10" ht="15.95">
      <c r="B63" s="36" t="s">
        <v>355</v>
      </c>
      <c r="C63" s="37"/>
      <c r="D63" s="37"/>
      <c r="E63" s="37"/>
    </row>
    <row r="64" spans="1:10" ht="15.95">
      <c r="B64" s="36"/>
      <c r="C64" s="81" t="s">
        <v>341</v>
      </c>
      <c r="D64" s="81" t="s">
        <v>342</v>
      </c>
      <c r="E64" s="81" t="s">
        <v>343</v>
      </c>
    </row>
    <row r="65" spans="2:6" ht="15.95">
      <c r="B65" s="75" t="s">
        <v>313</v>
      </c>
      <c r="C65" s="37">
        <v>0</v>
      </c>
      <c r="D65" s="37">
        <f t="shared" ref="D65:D74" si="12">C65*(1-$H$4)</f>
        <v>0</v>
      </c>
      <c r="E65" s="37">
        <f t="shared" ref="E65:E74" si="13">D65/(1-$I$4)*2</f>
        <v>0</v>
      </c>
    </row>
    <row r="66" spans="2:6" ht="15.95">
      <c r="B66" s="75" t="s">
        <v>319</v>
      </c>
      <c r="C66" s="37">
        <v>0</v>
      </c>
      <c r="D66" s="37">
        <f t="shared" si="12"/>
        <v>0</v>
      </c>
      <c r="E66" s="37">
        <f t="shared" si="13"/>
        <v>0</v>
      </c>
    </row>
    <row r="67" spans="2:6" ht="15.95">
      <c r="B67" s="75" t="s">
        <v>325</v>
      </c>
      <c r="C67" s="37">
        <v>0</v>
      </c>
      <c r="D67" s="37">
        <f t="shared" si="12"/>
        <v>0</v>
      </c>
      <c r="E67" s="37">
        <f t="shared" si="13"/>
        <v>0</v>
      </c>
    </row>
    <row r="68" spans="2:6" ht="15.95">
      <c r="B68" s="75" t="s">
        <v>329</v>
      </c>
      <c r="C68" s="37">
        <v>0</v>
      </c>
      <c r="D68" s="37">
        <f t="shared" si="12"/>
        <v>0</v>
      </c>
      <c r="E68" s="37">
        <f t="shared" si="13"/>
        <v>0</v>
      </c>
    </row>
    <row r="69" spans="2:6" ht="15.95">
      <c r="B69" s="75" t="s">
        <v>401</v>
      </c>
      <c r="C69" s="37">
        <v>0</v>
      </c>
      <c r="D69" s="37">
        <f t="shared" si="12"/>
        <v>0</v>
      </c>
      <c r="E69" s="37">
        <f t="shared" si="13"/>
        <v>0</v>
      </c>
      <c r="F69" t="s">
        <v>402</v>
      </c>
    </row>
    <row r="70" spans="2:6" ht="15.95">
      <c r="B70" s="75" t="s">
        <v>403</v>
      </c>
      <c r="C70" s="37">
        <v>0</v>
      </c>
      <c r="D70" s="37">
        <f t="shared" si="12"/>
        <v>0</v>
      </c>
      <c r="E70" s="37">
        <f t="shared" si="13"/>
        <v>0</v>
      </c>
      <c r="F70" t="s">
        <v>402</v>
      </c>
    </row>
    <row r="71" spans="2:6" ht="15.95">
      <c r="B71" s="75" t="s">
        <v>404</v>
      </c>
      <c r="C71" s="37">
        <v>0</v>
      </c>
      <c r="D71" s="37">
        <f t="shared" si="12"/>
        <v>0</v>
      </c>
      <c r="E71" s="37">
        <f t="shared" si="13"/>
        <v>0</v>
      </c>
      <c r="F71" t="s">
        <v>402</v>
      </c>
    </row>
    <row r="72" spans="2:6" ht="15.95">
      <c r="B72" s="75" t="s">
        <v>378</v>
      </c>
      <c r="C72" s="37">
        <v>0</v>
      </c>
      <c r="D72" s="37">
        <f t="shared" si="12"/>
        <v>0</v>
      </c>
      <c r="E72" s="37">
        <f t="shared" si="13"/>
        <v>0</v>
      </c>
      <c r="F72" t="s">
        <v>402</v>
      </c>
    </row>
    <row r="73" spans="2:6" ht="15.95">
      <c r="B73" s="75" t="s">
        <v>405</v>
      </c>
      <c r="C73" s="37">
        <f>C43-C15</f>
        <v>657.10000000000036</v>
      </c>
      <c r="D73" s="37">
        <f t="shared" si="12"/>
        <v>492.82500000000027</v>
      </c>
      <c r="E73" s="37">
        <f t="shared" si="13"/>
        <v>1642.7500000000009</v>
      </c>
      <c r="F73" t="s">
        <v>402</v>
      </c>
    </row>
    <row r="74" spans="2:6" ht="15.95">
      <c r="B74" s="75" t="s">
        <v>406</v>
      </c>
      <c r="C74" s="37">
        <f>C44-C15</f>
        <v>1353.08</v>
      </c>
      <c r="D74" s="37">
        <f t="shared" si="12"/>
        <v>1014.81</v>
      </c>
      <c r="E74" s="37">
        <f t="shared" si="13"/>
        <v>3382.7</v>
      </c>
      <c r="F74" t="s">
        <v>402</v>
      </c>
    </row>
    <row r="75" spans="2:6" ht="15.95">
      <c r="C75" s="37"/>
      <c r="D75" s="37"/>
      <c r="E75" s="37"/>
    </row>
    <row r="76" spans="2:6" ht="15.95">
      <c r="B76" s="36" t="s">
        <v>356</v>
      </c>
      <c r="C76" s="37"/>
      <c r="D76" s="37"/>
      <c r="E76" s="37"/>
    </row>
    <row r="77" spans="2:6" ht="15.95">
      <c r="B77" s="36"/>
      <c r="C77" s="81" t="s">
        <v>341</v>
      </c>
      <c r="D77" s="81" t="s">
        <v>342</v>
      </c>
      <c r="E77" s="81" t="s">
        <v>343</v>
      </c>
    </row>
    <row r="78" spans="2:6" ht="15.95">
      <c r="B78" s="75" t="s">
        <v>407</v>
      </c>
      <c r="C78" s="37">
        <v>0</v>
      </c>
      <c r="D78" s="37">
        <f t="shared" ref="D78:D87" si="14">C78*(1-$H$4)</f>
        <v>0</v>
      </c>
      <c r="E78" s="37">
        <f t="shared" ref="E78:E87" si="15">D78/(1-$I$4)*2</f>
        <v>0</v>
      </c>
      <c r="F78" t="s">
        <v>348</v>
      </c>
    </row>
    <row r="79" spans="2:6" ht="15.95">
      <c r="B79" s="75" t="s">
        <v>408</v>
      </c>
      <c r="C79" s="37">
        <v>0</v>
      </c>
      <c r="D79" s="37">
        <f t="shared" si="14"/>
        <v>0</v>
      </c>
      <c r="E79" s="37">
        <f t="shared" si="15"/>
        <v>0</v>
      </c>
      <c r="F79" t="s">
        <v>346</v>
      </c>
    </row>
    <row r="80" spans="2:6" ht="15.95">
      <c r="B80" s="75" t="s">
        <v>409</v>
      </c>
      <c r="C80" s="37">
        <v>0</v>
      </c>
      <c r="D80" s="37">
        <f t="shared" si="14"/>
        <v>0</v>
      </c>
      <c r="E80" s="37">
        <f t="shared" si="15"/>
        <v>0</v>
      </c>
      <c r="F80" t="s">
        <v>350</v>
      </c>
    </row>
    <row r="81" spans="2:6" ht="15.95">
      <c r="B81" s="75" t="s">
        <v>410</v>
      </c>
      <c r="C81" s="37">
        <v>0</v>
      </c>
      <c r="D81" s="37">
        <f t="shared" si="14"/>
        <v>0</v>
      </c>
      <c r="E81" s="37">
        <f t="shared" si="15"/>
        <v>0</v>
      </c>
      <c r="F81" t="s">
        <v>350</v>
      </c>
    </row>
    <row r="82" spans="2:6" ht="15.95">
      <c r="B82" s="75" t="s">
        <v>411</v>
      </c>
      <c r="C82" s="37">
        <v>0</v>
      </c>
      <c r="D82" s="37">
        <f t="shared" si="14"/>
        <v>0</v>
      </c>
      <c r="E82" s="37">
        <f t="shared" si="15"/>
        <v>0</v>
      </c>
      <c r="F82" t="s">
        <v>350</v>
      </c>
    </row>
    <row r="83" spans="2:6" ht="15.95">
      <c r="B83" s="75" t="s">
        <v>412</v>
      </c>
      <c r="C83" s="37">
        <v>0</v>
      </c>
      <c r="D83" s="37">
        <f t="shared" si="14"/>
        <v>0</v>
      </c>
      <c r="E83" s="37">
        <f t="shared" si="15"/>
        <v>0</v>
      </c>
      <c r="F83" t="s">
        <v>350</v>
      </c>
    </row>
    <row r="84" spans="2:6" ht="15.95">
      <c r="B84" s="75" t="s">
        <v>413</v>
      </c>
      <c r="C84" s="37">
        <v>0</v>
      </c>
      <c r="D84" s="37">
        <f t="shared" si="14"/>
        <v>0</v>
      </c>
      <c r="E84" s="37">
        <f t="shared" si="15"/>
        <v>0</v>
      </c>
      <c r="F84" t="s">
        <v>414</v>
      </c>
    </row>
    <row r="85" spans="2:6" ht="15.95">
      <c r="B85" s="75" t="s">
        <v>415</v>
      </c>
      <c r="C85" s="37">
        <v>0</v>
      </c>
      <c r="D85" s="37">
        <f t="shared" si="14"/>
        <v>0</v>
      </c>
      <c r="E85" s="37">
        <f t="shared" si="15"/>
        <v>0</v>
      </c>
      <c r="F85" t="s">
        <v>414</v>
      </c>
    </row>
    <row r="86" spans="2:6" ht="15.95">
      <c r="B86" s="75" t="s">
        <v>416</v>
      </c>
      <c r="C86" s="37">
        <v>0</v>
      </c>
      <c r="D86" s="37">
        <f t="shared" si="14"/>
        <v>0</v>
      </c>
      <c r="E86" s="37">
        <f t="shared" si="15"/>
        <v>0</v>
      </c>
      <c r="F86" t="s">
        <v>414</v>
      </c>
    </row>
    <row r="87" spans="2:6" ht="15.95">
      <c r="B87" s="75" t="s">
        <v>417</v>
      </c>
      <c r="C87" s="37">
        <v>0</v>
      </c>
      <c r="D87" s="37">
        <f t="shared" si="14"/>
        <v>0</v>
      </c>
      <c r="E87" s="37">
        <f t="shared" si="15"/>
        <v>0</v>
      </c>
      <c r="F87" t="s">
        <v>414</v>
      </c>
    </row>
    <row r="88" spans="2:6" ht="15.95">
      <c r="C88" s="37"/>
      <c r="D88" s="37"/>
      <c r="E88" s="37"/>
    </row>
    <row r="89" spans="2:6" ht="15.95">
      <c r="B89" s="36" t="s">
        <v>418</v>
      </c>
      <c r="C89" s="37"/>
      <c r="D89" s="37"/>
      <c r="E89" s="37"/>
    </row>
    <row r="90" spans="2:6" ht="15.95">
      <c r="B90" s="36"/>
      <c r="C90" s="81" t="s">
        <v>341</v>
      </c>
      <c r="D90" s="81" t="s">
        <v>342</v>
      </c>
      <c r="E90" s="81" t="s">
        <v>343</v>
      </c>
    </row>
    <row r="91" spans="2:6" ht="15.95">
      <c r="B91" s="75" t="s">
        <v>419</v>
      </c>
      <c r="C91" s="37">
        <v>0</v>
      </c>
      <c r="D91" s="37">
        <f t="shared" ref="D91:D96" si="16">C91*(1-$H$4)</f>
        <v>0</v>
      </c>
      <c r="E91" s="37">
        <f t="shared" ref="E91:E96" si="17">D91/(1-$I$4)*2</f>
        <v>0</v>
      </c>
    </row>
    <row r="92" spans="2:6" ht="15.95">
      <c r="B92" s="75" t="s">
        <v>420</v>
      </c>
      <c r="C92" s="37">
        <v>0</v>
      </c>
      <c r="D92" s="37">
        <f t="shared" si="16"/>
        <v>0</v>
      </c>
      <c r="E92" s="37">
        <f t="shared" si="17"/>
        <v>0</v>
      </c>
    </row>
    <row r="93" spans="2:6" ht="15.95">
      <c r="B93" s="75" t="s">
        <v>421</v>
      </c>
      <c r="C93" s="37">
        <v>0</v>
      </c>
      <c r="D93" s="37">
        <f t="shared" si="16"/>
        <v>0</v>
      </c>
      <c r="E93" s="37">
        <f t="shared" si="17"/>
        <v>0</v>
      </c>
    </row>
    <row r="94" spans="2:6" ht="15.95">
      <c r="B94" s="75" t="s">
        <v>422</v>
      </c>
      <c r="C94" s="37">
        <v>0</v>
      </c>
      <c r="D94" s="37">
        <f t="shared" si="16"/>
        <v>0</v>
      </c>
      <c r="E94" s="37">
        <f t="shared" si="17"/>
        <v>0</v>
      </c>
    </row>
    <row r="95" spans="2:6" ht="15.95">
      <c r="B95" s="75" t="s">
        <v>423</v>
      </c>
      <c r="C95" s="37">
        <v>0</v>
      </c>
      <c r="D95" s="37">
        <f t="shared" si="16"/>
        <v>0</v>
      </c>
      <c r="E95" s="37">
        <f t="shared" si="17"/>
        <v>0</v>
      </c>
    </row>
    <row r="96" spans="2:6" ht="15.95">
      <c r="B96" s="75" t="s">
        <v>424</v>
      </c>
      <c r="C96" s="37">
        <v>0</v>
      </c>
      <c r="D96" s="37">
        <f t="shared" si="16"/>
        <v>0</v>
      </c>
      <c r="E96" s="37">
        <f t="shared" si="17"/>
        <v>0</v>
      </c>
    </row>
    <row r="97" spans="2:7" ht="15.95">
      <c r="C97" s="37"/>
      <c r="D97" s="37"/>
      <c r="E97" s="37"/>
    </row>
    <row r="98" spans="2:7" ht="15.95">
      <c r="B98" s="36" t="s">
        <v>355</v>
      </c>
      <c r="C98" s="37"/>
      <c r="D98" s="37"/>
      <c r="E98" s="37"/>
    </row>
    <row r="99" spans="2:7" ht="15.95">
      <c r="B99" s="36" t="s">
        <v>357</v>
      </c>
      <c r="C99" s="37"/>
      <c r="D99" s="37"/>
      <c r="E99" s="37"/>
    </row>
    <row r="100" spans="2:7" ht="15.95">
      <c r="B100" s="36"/>
      <c r="C100" s="81" t="s">
        <v>341</v>
      </c>
      <c r="D100" s="81" t="s">
        <v>342</v>
      </c>
      <c r="E100" s="81" t="s">
        <v>343</v>
      </c>
      <c r="F100" t="s">
        <v>425</v>
      </c>
    </row>
    <row r="101" spans="2:7" ht="15.95">
      <c r="B101" s="75" t="s">
        <v>426</v>
      </c>
      <c r="C101" s="37">
        <v>0</v>
      </c>
      <c r="D101" s="37">
        <f t="shared" ref="D101:D106" si="18">C101*(1-$H$4)</f>
        <v>0</v>
      </c>
      <c r="E101" s="37">
        <f t="shared" ref="E101:E106" si="19">D101/(1-$I$4)*2</f>
        <v>0</v>
      </c>
    </row>
    <row r="102" spans="2:7" ht="15.95">
      <c r="B102" s="75" t="s">
        <v>427</v>
      </c>
      <c r="C102" s="37">
        <v>0</v>
      </c>
      <c r="D102" s="37">
        <f t="shared" si="18"/>
        <v>0</v>
      </c>
      <c r="E102" s="37">
        <f t="shared" si="19"/>
        <v>0</v>
      </c>
      <c r="F102" s="37">
        <f>C24-$C$14</f>
        <v>335.5</v>
      </c>
      <c r="G102" s="37"/>
    </row>
    <row r="103" spans="2:7" ht="15.95">
      <c r="B103" s="75" t="s">
        <v>428</v>
      </c>
      <c r="C103" s="37">
        <v>0</v>
      </c>
      <c r="D103" s="37">
        <f t="shared" si="18"/>
        <v>0</v>
      </c>
      <c r="E103" s="37">
        <f t="shared" si="19"/>
        <v>0</v>
      </c>
      <c r="F103" s="37">
        <f>C25-$C$14</f>
        <v>1329.7299999999996</v>
      </c>
      <c r="G103" s="37"/>
    </row>
    <row r="104" spans="2:7" ht="15.95">
      <c r="B104" s="75" t="s">
        <v>429</v>
      </c>
      <c r="C104" s="37">
        <v>0</v>
      </c>
      <c r="D104" s="37">
        <f t="shared" si="18"/>
        <v>0</v>
      </c>
      <c r="E104" s="37">
        <f t="shared" si="19"/>
        <v>0</v>
      </c>
      <c r="F104" s="37">
        <f>C26-$C$14</f>
        <v>1850</v>
      </c>
      <c r="G104" s="37"/>
    </row>
    <row r="105" spans="2:7" ht="15.95">
      <c r="B105" s="75" t="s">
        <v>430</v>
      </c>
      <c r="C105" s="37">
        <v>0</v>
      </c>
      <c r="D105" s="37">
        <f t="shared" si="18"/>
        <v>0</v>
      </c>
      <c r="E105" s="37">
        <f t="shared" si="19"/>
        <v>0</v>
      </c>
      <c r="F105" s="37">
        <f>C27-C14</f>
        <v>2368.41</v>
      </c>
      <c r="G105" s="37"/>
    </row>
    <row r="106" spans="2:7" ht="15.95">
      <c r="B106" s="75" t="s">
        <v>366</v>
      </c>
      <c r="C106" s="37">
        <f>F22</f>
        <v>5228.5499999999993</v>
      </c>
      <c r="D106" s="37">
        <f t="shared" si="18"/>
        <v>3921.4124999999995</v>
      </c>
      <c r="E106" s="37">
        <f t="shared" si="19"/>
        <v>13071.374999999998</v>
      </c>
    </row>
    <row r="107" spans="2:7" ht="15.95">
      <c r="C107" s="37"/>
      <c r="D107" s="37"/>
      <c r="E107" s="37"/>
    </row>
    <row r="108" spans="2:7" ht="15.95">
      <c r="B108" s="36" t="s">
        <v>431</v>
      </c>
      <c r="C108" s="37"/>
      <c r="D108" s="37"/>
      <c r="E108" s="37"/>
    </row>
    <row r="109" spans="2:7" ht="15.95">
      <c r="B109" s="36"/>
      <c r="C109" s="81" t="s">
        <v>341</v>
      </c>
      <c r="D109" s="81" t="s">
        <v>342</v>
      </c>
      <c r="E109" s="81" t="s">
        <v>343</v>
      </c>
    </row>
    <row r="110" spans="2:7" ht="15.95">
      <c r="B110" s="75" t="str">
        <f>F110&amp;" Duplexes"</f>
        <v>0 Duplexes</v>
      </c>
      <c r="C110" s="37">
        <f>F110*93.88</f>
        <v>0</v>
      </c>
      <c r="D110" s="37">
        <f>C110*(1-$H$4)</f>
        <v>0</v>
      </c>
      <c r="E110" s="37">
        <f>D110/(1-$I$4)*2</f>
        <v>0</v>
      </c>
      <c r="F110">
        <v>0</v>
      </c>
    </row>
    <row r="111" spans="2:7" ht="15.95">
      <c r="B111" s="75" t="str">
        <f t="shared" ref="B111:B128" si="20">F111&amp;" Duplexes"</f>
        <v>1 Duplexes</v>
      </c>
      <c r="C111" s="37">
        <f t="shared" ref="C111:C128" si="21">F111*93.88</f>
        <v>93.88</v>
      </c>
      <c r="D111" s="37">
        <f t="shared" ref="D111:D128" si="22">C111*(1-$H$4)</f>
        <v>70.41</v>
      </c>
      <c r="E111" s="37">
        <f t="shared" ref="E111:E128" si="23">D111/(1-$I$4)*2</f>
        <v>234.7</v>
      </c>
      <c r="F111">
        <v>1</v>
      </c>
    </row>
    <row r="112" spans="2:7" ht="15.95">
      <c r="B112" s="75" t="str">
        <f t="shared" si="20"/>
        <v>2 Duplexes</v>
      </c>
      <c r="C112" s="37">
        <f t="shared" si="21"/>
        <v>187.76</v>
      </c>
      <c r="D112" s="37">
        <f t="shared" si="22"/>
        <v>140.82</v>
      </c>
      <c r="E112" s="37">
        <f t="shared" si="23"/>
        <v>469.4</v>
      </c>
      <c r="F112">
        <v>2</v>
      </c>
    </row>
    <row r="113" spans="2:6" ht="15.95">
      <c r="B113" s="75" t="str">
        <f t="shared" si="20"/>
        <v>3 Duplexes</v>
      </c>
      <c r="C113" s="37">
        <f t="shared" si="21"/>
        <v>281.64</v>
      </c>
      <c r="D113" s="37">
        <f t="shared" si="22"/>
        <v>211.23</v>
      </c>
      <c r="E113" s="37">
        <f t="shared" si="23"/>
        <v>704.1</v>
      </c>
      <c r="F113">
        <v>3</v>
      </c>
    </row>
    <row r="114" spans="2:6" ht="15.95">
      <c r="B114" s="75" t="str">
        <f t="shared" si="20"/>
        <v>4 Duplexes</v>
      </c>
      <c r="C114" s="37">
        <f t="shared" si="21"/>
        <v>375.52</v>
      </c>
      <c r="D114" s="37">
        <f t="shared" si="22"/>
        <v>281.64</v>
      </c>
      <c r="E114" s="37">
        <f t="shared" si="23"/>
        <v>938.8</v>
      </c>
      <c r="F114">
        <v>4</v>
      </c>
    </row>
    <row r="115" spans="2:6" ht="15.95">
      <c r="B115" s="75" t="str">
        <f t="shared" si="20"/>
        <v>5 Duplexes</v>
      </c>
      <c r="C115" s="37">
        <f t="shared" si="21"/>
        <v>469.4</v>
      </c>
      <c r="D115" s="37">
        <f t="shared" si="22"/>
        <v>352.04999999999995</v>
      </c>
      <c r="E115" s="37">
        <f t="shared" si="23"/>
        <v>1173.5</v>
      </c>
      <c r="F115">
        <v>5</v>
      </c>
    </row>
    <row r="116" spans="2:6" ht="15.95">
      <c r="B116" s="75" t="str">
        <f t="shared" si="20"/>
        <v>6 Duplexes</v>
      </c>
      <c r="C116" s="37">
        <f t="shared" si="21"/>
        <v>563.28</v>
      </c>
      <c r="D116" s="37">
        <f t="shared" si="22"/>
        <v>422.46</v>
      </c>
      <c r="E116" s="37">
        <f t="shared" si="23"/>
        <v>1408.2</v>
      </c>
      <c r="F116">
        <v>6</v>
      </c>
    </row>
    <row r="117" spans="2:6" ht="15.95">
      <c r="B117" s="75" t="str">
        <f t="shared" si="20"/>
        <v>7 Duplexes</v>
      </c>
      <c r="C117" s="37">
        <f t="shared" si="21"/>
        <v>657.16</v>
      </c>
      <c r="D117" s="37">
        <f t="shared" si="22"/>
        <v>492.87</v>
      </c>
      <c r="E117" s="37">
        <f t="shared" si="23"/>
        <v>1642.9</v>
      </c>
      <c r="F117">
        <v>7</v>
      </c>
    </row>
    <row r="118" spans="2:6" ht="15.95">
      <c r="B118" s="75" t="str">
        <f t="shared" si="20"/>
        <v>8 Duplexes</v>
      </c>
      <c r="C118" s="37">
        <f t="shared" si="21"/>
        <v>751.04</v>
      </c>
      <c r="D118" s="37">
        <f t="shared" si="22"/>
        <v>563.28</v>
      </c>
      <c r="E118" s="37">
        <f t="shared" si="23"/>
        <v>1877.6</v>
      </c>
      <c r="F118">
        <v>8</v>
      </c>
    </row>
    <row r="119" spans="2:6" ht="15.95">
      <c r="B119" s="75" t="str">
        <f t="shared" si="20"/>
        <v>9 Duplexes</v>
      </c>
      <c r="C119" s="37">
        <f t="shared" si="21"/>
        <v>844.92</v>
      </c>
      <c r="D119" s="37">
        <f t="shared" si="22"/>
        <v>633.68999999999994</v>
      </c>
      <c r="E119" s="37">
        <f t="shared" si="23"/>
        <v>2112.2999999999997</v>
      </c>
      <c r="F119">
        <v>9</v>
      </c>
    </row>
    <row r="120" spans="2:6" ht="15.95">
      <c r="B120" s="75" t="str">
        <f t="shared" si="20"/>
        <v>10 Duplexes</v>
      </c>
      <c r="C120" s="37">
        <f t="shared" si="21"/>
        <v>938.8</v>
      </c>
      <c r="D120" s="37">
        <f t="shared" si="22"/>
        <v>704.09999999999991</v>
      </c>
      <c r="E120" s="37">
        <f t="shared" si="23"/>
        <v>2347</v>
      </c>
      <c r="F120">
        <v>10</v>
      </c>
    </row>
    <row r="121" spans="2:6" ht="15.95">
      <c r="B121" s="75" t="str">
        <f t="shared" si="20"/>
        <v>11 Duplexes</v>
      </c>
      <c r="C121" s="37">
        <f t="shared" si="21"/>
        <v>1032.6799999999998</v>
      </c>
      <c r="D121" s="37">
        <f t="shared" si="22"/>
        <v>774.50999999999988</v>
      </c>
      <c r="E121" s="37">
        <f t="shared" si="23"/>
        <v>2581.6999999999998</v>
      </c>
      <c r="F121">
        <v>11</v>
      </c>
    </row>
    <row r="122" spans="2:6" ht="15.95">
      <c r="B122" s="75" t="str">
        <f t="shared" si="20"/>
        <v>12 Duplexes</v>
      </c>
      <c r="C122" s="37">
        <f t="shared" si="21"/>
        <v>1126.56</v>
      </c>
      <c r="D122" s="37">
        <f t="shared" si="22"/>
        <v>844.92</v>
      </c>
      <c r="E122" s="37">
        <f t="shared" si="23"/>
        <v>2816.4</v>
      </c>
      <c r="F122">
        <v>12</v>
      </c>
    </row>
    <row r="123" spans="2:6" ht="15.95">
      <c r="B123" s="75" t="str">
        <f t="shared" si="20"/>
        <v>13 Duplexes</v>
      </c>
      <c r="C123" s="37">
        <f t="shared" si="21"/>
        <v>1220.44</v>
      </c>
      <c r="D123" s="37">
        <f t="shared" si="22"/>
        <v>915.33</v>
      </c>
      <c r="E123" s="37">
        <f t="shared" si="23"/>
        <v>3051.1000000000004</v>
      </c>
      <c r="F123">
        <v>13</v>
      </c>
    </row>
    <row r="124" spans="2:6" ht="15.95">
      <c r="B124" s="75" t="str">
        <f t="shared" si="20"/>
        <v>14 Duplexes</v>
      </c>
      <c r="C124" s="37">
        <f t="shared" si="21"/>
        <v>1314.32</v>
      </c>
      <c r="D124" s="37">
        <f t="shared" si="22"/>
        <v>985.74</v>
      </c>
      <c r="E124" s="37">
        <f t="shared" si="23"/>
        <v>3285.8</v>
      </c>
      <c r="F124">
        <v>14</v>
      </c>
    </row>
    <row r="125" spans="2:6" ht="15.95">
      <c r="B125" s="75" t="str">
        <f t="shared" si="20"/>
        <v>15 Duplexes</v>
      </c>
      <c r="C125" s="37">
        <f t="shared" si="21"/>
        <v>1408.1999999999998</v>
      </c>
      <c r="D125" s="37">
        <f t="shared" si="22"/>
        <v>1056.1499999999999</v>
      </c>
      <c r="E125" s="37">
        <f t="shared" si="23"/>
        <v>3520.4999999999995</v>
      </c>
      <c r="F125">
        <v>15</v>
      </c>
    </row>
    <row r="126" spans="2:6" ht="15.95">
      <c r="B126" s="75" t="str">
        <f t="shared" si="20"/>
        <v>16 Duplexes</v>
      </c>
      <c r="C126" s="37">
        <f t="shared" si="21"/>
        <v>1502.08</v>
      </c>
      <c r="D126" s="37">
        <f t="shared" si="22"/>
        <v>1126.56</v>
      </c>
      <c r="E126" s="37">
        <f t="shared" si="23"/>
        <v>3755.2</v>
      </c>
      <c r="F126">
        <v>16</v>
      </c>
    </row>
    <row r="127" spans="2:6" ht="15.95">
      <c r="B127" s="75" t="str">
        <f t="shared" si="20"/>
        <v>17 Duplexes</v>
      </c>
      <c r="C127" s="37">
        <f t="shared" si="21"/>
        <v>1595.96</v>
      </c>
      <c r="D127" s="37">
        <f t="shared" si="22"/>
        <v>1196.97</v>
      </c>
      <c r="E127" s="37">
        <f t="shared" si="23"/>
        <v>3989.9</v>
      </c>
      <c r="F127">
        <v>17</v>
      </c>
    </row>
    <row r="128" spans="2:6" ht="15.95">
      <c r="B128" s="75" t="str">
        <f t="shared" si="20"/>
        <v>18 Duplexes</v>
      </c>
      <c r="C128" s="37">
        <f t="shared" si="21"/>
        <v>1689.84</v>
      </c>
      <c r="D128" s="37">
        <f t="shared" si="22"/>
        <v>1267.3799999999999</v>
      </c>
      <c r="E128" s="37">
        <f t="shared" si="23"/>
        <v>4224.5999999999995</v>
      </c>
      <c r="F128">
        <v>18</v>
      </c>
    </row>
    <row r="129" spans="2:6" ht="15.95">
      <c r="B129" s="75"/>
      <c r="C129" s="37"/>
      <c r="D129" s="37"/>
      <c r="E129" s="37"/>
    </row>
    <row r="130" spans="2:6" ht="15.95">
      <c r="B130" s="75"/>
      <c r="C130" s="37"/>
      <c r="D130" s="37"/>
      <c r="E130" s="37"/>
    </row>
    <row r="131" spans="2:6" ht="15.95">
      <c r="B131" s="75" t="str">
        <f>F131&amp;" Outlets"</f>
        <v>0 Outlets</v>
      </c>
      <c r="C131" s="37">
        <f>$F$34/2*F131</f>
        <v>0</v>
      </c>
      <c r="D131" s="37">
        <f t="shared" ref="D131:D142" si="24">C131*(1-$H$4)</f>
        <v>0</v>
      </c>
      <c r="E131" s="37">
        <f t="shared" ref="E131:E142" si="25">D131/(1-$I$4)*2</f>
        <v>0</v>
      </c>
      <c r="F131">
        <v>0</v>
      </c>
    </row>
    <row r="132" spans="2:6" ht="15.95">
      <c r="B132" s="75" t="str">
        <f t="shared" ref="B132:B142" si="26">F132&amp;" Outlets"</f>
        <v>1 Outlets</v>
      </c>
      <c r="C132" s="37">
        <f t="shared" ref="C132:C142" si="27">$F$34/2*F132</f>
        <v>325.86999999999989</v>
      </c>
      <c r="D132" s="37">
        <f t="shared" si="24"/>
        <v>244.40249999999992</v>
      </c>
      <c r="E132" s="37">
        <f t="shared" si="25"/>
        <v>814.67499999999973</v>
      </c>
      <c r="F132">
        <v>1</v>
      </c>
    </row>
    <row r="133" spans="2:6" ht="15.95">
      <c r="B133" s="75" t="str">
        <f t="shared" si="26"/>
        <v>2 Outlets</v>
      </c>
      <c r="C133" s="37">
        <f t="shared" si="27"/>
        <v>651.73999999999978</v>
      </c>
      <c r="D133" s="37">
        <f t="shared" si="24"/>
        <v>488.80499999999984</v>
      </c>
      <c r="E133" s="37">
        <f t="shared" si="25"/>
        <v>1629.3499999999995</v>
      </c>
      <c r="F133">
        <v>2</v>
      </c>
    </row>
    <row r="134" spans="2:6" ht="15.95">
      <c r="B134" s="75" t="str">
        <f t="shared" si="26"/>
        <v>3 Outlets</v>
      </c>
      <c r="C134" s="37">
        <f t="shared" si="27"/>
        <v>977.60999999999967</v>
      </c>
      <c r="D134" s="37">
        <f t="shared" si="24"/>
        <v>733.20749999999975</v>
      </c>
      <c r="E134" s="37">
        <f t="shared" si="25"/>
        <v>2444.0249999999992</v>
      </c>
      <c r="F134">
        <v>3</v>
      </c>
    </row>
    <row r="135" spans="2:6" ht="15.95">
      <c r="B135" s="75" t="str">
        <f t="shared" si="26"/>
        <v>4 Outlets</v>
      </c>
      <c r="C135" s="37">
        <f t="shared" si="27"/>
        <v>1303.4799999999996</v>
      </c>
      <c r="D135" s="37">
        <f t="shared" si="24"/>
        <v>977.60999999999967</v>
      </c>
      <c r="E135" s="37">
        <f t="shared" si="25"/>
        <v>3258.6999999999989</v>
      </c>
      <c r="F135">
        <v>4</v>
      </c>
    </row>
    <row r="136" spans="2:6" ht="15.95">
      <c r="B136" s="75" t="str">
        <f t="shared" si="26"/>
        <v>5 Outlets</v>
      </c>
      <c r="C136" s="37">
        <f t="shared" si="27"/>
        <v>1629.3499999999995</v>
      </c>
      <c r="D136" s="37">
        <f t="shared" si="24"/>
        <v>1222.0124999999996</v>
      </c>
      <c r="E136" s="37">
        <f t="shared" si="25"/>
        <v>4073.3749999999986</v>
      </c>
      <c r="F136">
        <v>5</v>
      </c>
    </row>
    <row r="137" spans="2:6" ht="15.95">
      <c r="B137" s="75" t="str">
        <f t="shared" si="26"/>
        <v>6 Outlets</v>
      </c>
      <c r="C137" s="37">
        <f t="shared" si="27"/>
        <v>1955.2199999999993</v>
      </c>
      <c r="D137" s="37">
        <f t="shared" si="24"/>
        <v>1466.4149999999995</v>
      </c>
      <c r="E137" s="37">
        <f t="shared" si="25"/>
        <v>4888.0499999999984</v>
      </c>
      <c r="F137">
        <v>6</v>
      </c>
    </row>
    <row r="138" spans="2:6" ht="15.95">
      <c r="B138" s="75" t="str">
        <f t="shared" si="26"/>
        <v>7 Outlets</v>
      </c>
      <c r="C138" s="37">
        <f t="shared" si="27"/>
        <v>2281.0899999999992</v>
      </c>
      <c r="D138" s="37">
        <f t="shared" si="24"/>
        <v>1710.8174999999994</v>
      </c>
      <c r="E138" s="37">
        <f t="shared" si="25"/>
        <v>5702.7249999999985</v>
      </c>
      <c r="F138">
        <v>7</v>
      </c>
    </row>
    <row r="139" spans="2:6" ht="15.95">
      <c r="B139" s="75" t="str">
        <f t="shared" si="26"/>
        <v>8 Outlets</v>
      </c>
      <c r="C139" s="37">
        <f t="shared" si="27"/>
        <v>2606.9599999999991</v>
      </c>
      <c r="D139" s="37">
        <f t="shared" si="24"/>
        <v>1955.2199999999993</v>
      </c>
      <c r="E139" s="37">
        <f t="shared" si="25"/>
        <v>6517.3999999999978</v>
      </c>
      <c r="F139">
        <v>8</v>
      </c>
    </row>
    <row r="140" spans="2:6" ht="15.95">
      <c r="B140" s="75" t="str">
        <f t="shared" si="26"/>
        <v>9 Outlets</v>
      </c>
      <c r="C140" s="37">
        <f t="shared" si="27"/>
        <v>2932.829999999999</v>
      </c>
      <c r="D140" s="37">
        <f t="shared" si="24"/>
        <v>2199.6224999999995</v>
      </c>
      <c r="E140" s="37">
        <f t="shared" si="25"/>
        <v>7332.0749999999989</v>
      </c>
      <c r="F140">
        <v>9</v>
      </c>
    </row>
    <row r="141" spans="2:6" ht="15.95">
      <c r="B141" s="75" t="str">
        <f t="shared" si="26"/>
        <v>10 Outlets</v>
      </c>
      <c r="C141" s="37">
        <f t="shared" si="27"/>
        <v>3258.6999999999989</v>
      </c>
      <c r="D141" s="37">
        <f t="shared" si="24"/>
        <v>2444.0249999999992</v>
      </c>
      <c r="E141" s="37">
        <f t="shared" si="25"/>
        <v>8146.7499999999973</v>
      </c>
      <c r="F141">
        <v>10</v>
      </c>
    </row>
    <row r="142" spans="2:6" ht="15.95">
      <c r="B142" s="75" t="str">
        <f t="shared" si="26"/>
        <v>11 Outlets</v>
      </c>
      <c r="C142" s="37">
        <f t="shared" si="27"/>
        <v>3584.5699999999988</v>
      </c>
      <c r="D142" s="37">
        <f t="shared" si="24"/>
        <v>2688.4274999999989</v>
      </c>
      <c r="E142" s="37">
        <f t="shared" si="25"/>
        <v>8961.4249999999975</v>
      </c>
      <c r="F142">
        <v>11</v>
      </c>
    </row>
    <row r="143" spans="2:6" ht="15.95">
      <c r="B143" s="36"/>
      <c r="C143" s="37"/>
      <c r="D143" s="37"/>
      <c r="E143" s="37"/>
    </row>
    <row r="144" spans="2:6" ht="15.95">
      <c r="B144" s="36" t="s">
        <v>432</v>
      </c>
      <c r="C144" s="37"/>
      <c r="D144" s="37"/>
      <c r="E144" s="37"/>
    </row>
    <row r="145" spans="2:8" ht="15.75" customHeight="1">
      <c r="B145" s="76"/>
      <c r="C145" s="81" t="s">
        <v>341</v>
      </c>
      <c r="D145" s="81" t="s">
        <v>342</v>
      </c>
      <c r="E145" s="81" t="s">
        <v>343</v>
      </c>
    </row>
    <row r="146" spans="2:8" ht="15.75" customHeight="1">
      <c r="B146" s="75" t="str">
        <f>"("&amp;F146&amp;") 500mm Shelves"</f>
        <v>(0) 500mm Shelves</v>
      </c>
      <c r="C146" s="37">
        <f>$F$29/3*F146</f>
        <v>0</v>
      </c>
      <c r="D146" s="37">
        <f>C146*(1-$H$4)</f>
        <v>0</v>
      </c>
      <c r="E146" s="37">
        <f>D146/(1-$I$4)*2</f>
        <v>0</v>
      </c>
      <c r="F146">
        <v>0</v>
      </c>
      <c r="H146" s="1"/>
    </row>
    <row r="147" spans="2:8" ht="15.75" customHeight="1">
      <c r="B147" s="75" t="str">
        <f t="shared" ref="B147:B150" si="28">"("&amp;F147&amp;") 500mm Shelves"</f>
        <v>(1) 500mm Shelves</v>
      </c>
      <c r="C147" s="37">
        <f>$F$29/3*F147</f>
        <v>514.10666666666657</v>
      </c>
      <c r="D147" s="37">
        <f>C147*(1-$H$4)</f>
        <v>385.57999999999993</v>
      </c>
      <c r="E147" s="37">
        <f>D147/(1-$I$4)*2</f>
        <v>1285.2666666666664</v>
      </c>
      <c r="F147">
        <v>1</v>
      </c>
      <c r="H147" s="1"/>
    </row>
    <row r="148" spans="2:8" ht="15.75" customHeight="1">
      <c r="B148" s="75" t="str">
        <f t="shared" si="28"/>
        <v>(2) 500mm Shelves</v>
      </c>
      <c r="C148" s="37">
        <f>$F$29/3*F148</f>
        <v>1028.2133333333331</v>
      </c>
      <c r="D148" s="37">
        <f>C148*(1-$H$4)</f>
        <v>771.15999999999985</v>
      </c>
      <c r="E148" s="37">
        <f>D148/(1-$I$4)*2</f>
        <v>2570.5333333333328</v>
      </c>
      <c r="F148">
        <v>2</v>
      </c>
      <c r="H148" s="1"/>
    </row>
    <row r="149" spans="2:8" ht="15.75" customHeight="1">
      <c r="B149" s="75" t="str">
        <f t="shared" si="28"/>
        <v>(3) 500mm Shelves</v>
      </c>
      <c r="C149" s="37">
        <f>$F$29/3*F149</f>
        <v>1542.3199999999997</v>
      </c>
      <c r="D149" s="37">
        <f>C149*(1-$H$4)</f>
        <v>1156.7399999999998</v>
      </c>
      <c r="E149" s="37">
        <f>D149/(1-$I$4)*2</f>
        <v>3855.7999999999993</v>
      </c>
      <c r="F149">
        <v>3</v>
      </c>
      <c r="H149" s="1"/>
    </row>
    <row r="150" spans="2:8" ht="15.75" customHeight="1">
      <c r="B150" s="75" t="str">
        <f t="shared" si="28"/>
        <v>(4) 500mm Shelves</v>
      </c>
      <c r="C150" s="37">
        <f>$F$29/3*F150</f>
        <v>2056.4266666666663</v>
      </c>
      <c r="D150" s="37">
        <f>C150*(1-$H$4)</f>
        <v>1542.3199999999997</v>
      </c>
      <c r="E150" s="37">
        <f>D150/(1-$I$4)*2</f>
        <v>5141.0666666666657</v>
      </c>
      <c r="F150">
        <v>4</v>
      </c>
      <c r="H150" s="1"/>
    </row>
    <row r="151" spans="2:8" ht="15.75" customHeight="1">
      <c r="B151" s="75"/>
      <c r="C151" s="37"/>
      <c r="D151" s="37"/>
      <c r="E151" s="37"/>
      <c r="H151" s="1"/>
    </row>
    <row r="152" spans="2:8" ht="15.95">
      <c r="B152" s="36"/>
      <c r="C152" s="81" t="s">
        <v>341</v>
      </c>
      <c r="D152" s="81" t="s">
        <v>342</v>
      </c>
      <c r="E152" s="81" t="s">
        <v>343</v>
      </c>
    </row>
    <row r="153" spans="2:8" ht="15.95">
      <c r="B153" s="75" t="str">
        <f>"("&amp;F153&amp;") 750mm Shelves"</f>
        <v>(0) 750mm Shelves</v>
      </c>
      <c r="C153" s="37">
        <f>$F$30/3*F153</f>
        <v>0</v>
      </c>
      <c r="D153" s="37">
        <f>C153*(1-$H$4)</f>
        <v>0</v>
      </c>
      <c r="E153" s="37">
        <f>D153/(1-$I$4)*2</f>
        <v>0</v>
      </c>
      <c r="F153">
        <v>0</v>
      </c>
      <c r="H153" s="1"/>
    </row>
    <row r="154" spans="2:8" ht="15.95">
      <c r="B154" s="75" t="str">
        <f t="shared" ref="B154:B157" si="29">"("&amp;F154&amp;") 750mm Shelves"</f>
        <v>(1) 750mm Shelves</v>
      </c>
      <c r="C154" s="37">
        <f>$F$30/3*F154</f>
        <v>777.01666666666642</v>
      </c>
      <c r="D154" s="37">
        <f>C154*(1-$H$4)</f>
        <v>582.76249999999982</v>
      </c>
      <c r="E154" s="37">
        <f>D154/(1-$I$4)*2</f>
        <v>1942.5416666666661</v>
      </c>
      <c r="F154">
        <v>1</v>
      </c>
      <c r="H154" s="1"/>
    </row>
    <row r="155" spans="2:8" ht="15.95">
      <c r="B155" s="75" t="str">
        <f t="shared" si="29"/>
        <v>(2) 750mm Shelves</v>
      </c>
      <c r="C155" s="37">
        <f>$F$30/3*F155</f>
        <v>1554.0333333333328</v>
      </c>
      <c r="D155" s="37">
        <f>C155*(1-$H$4)</f>
        <v>1165.5249999999996</v>
      </c>
      <c r="E155" s="37">
        <f>D155/(1-$I$4)*2</f>
        <v>3885.0833333333321</v>
      </c>
      <c r="F155">
        <v>2</v>
      </c>
      <c r="H155" s="1"/>
    </row>
    <row r="156" spans="2:8" ht="15.95">
      <c r="B156" s="75" t="str">
        <f t="shared" si="29"/>
        <v>(3) 750mm Shelves</v>
      </c>
      <c r="C156" s="37">
        <f>$F$30/3*F156</f>
        <v>2331.0499999999993</v>
      </c>
      <c r="D156" s="37">
        <f>C156*(1-$H$4)</f>
        <v>1748.2874999999995</v>
      </c>
      <c r="E156" s="37">
        <f>D156/(1-$I$4)*2</f>
        <v>5827.6249999999982</v>
      </c>
      <c r="F156">
        <v>3</v>
      </c>
      <c r="H156" s="1"/>
    </row>
    <row r="157" spans="2:8" ht="15.95">
      <c r="B157" s="75" t="str">
        <f t="shared" si="29"/>
        <v>(4) 750mm Shelves</v>
      </c>
      <c r="C157" s="37">
        <f>$F$30/3*F157</f>
        <v>3108.0666666666657</v>
      </c>
      <c r="D157" s="37">
        <f>C157*(1-$H$4)</f>
        <v>2331.0499999999993</v>
      </c>
      <c r="E157" s="37">
        <f>D157/(1-$I$4)*2</f>
        <v>7770.1666666666642</v>
      </c>
      <c r="F157">
        <v>4</v>
      </c>
      <c r="H157" s="1"/>
    </row>
    <row r="158" spans="2:8" ht="15.95">
      <c r="B158" s="36" t="s">
        <v>433</v>
      </c>
      <c r="C158" s="37"/>
      <c r="D158" s="37"/>
      <c r="E158" s="37"/>
    </row>
    <row r="159" spans="2:8" ht="15.75" customHeight="1">
      <c r="B159" s="76"/>
      <c r="C159" s="81" t="s">
        <v>341</v>
      </c>
      <c r="D159" s="81" t="s">
        <v>342</v>
      </c>
      <c r="E159" s="81" t="s">
        <v>343</v>
      </c>
    </row>
    <row r="160" spans="2:8" ht="15.75" customHeight="1">
      <c r="B160" s="75" t="str">
        <f>"("&amp;F160&amp;") Circuits"</f>
        <v>(0) Circuits</v>
      </c>
      <c r="C160" s="37">
        <v>0</v>
      </c>
      <c r="D160" s="37">
        <f t="shared" ref="D160:D166" si="30">C160*(1-$H$4)</f>
        <v>0</v>
      </c>
      <c r="E160" s="37">
        <f t="shared" ref="E160:E166" si="31">D160/(1-$I$4)*2</f>
        <v>0</v>
      </c>
      <c r="F160">
        <v>0</v>
      </c>
      <c r="H160" s="1"/>
    </row>
    <row r="161" spans="1:21" ht="15.75" customHeight="1">
      <c r="B161" s="75" t="str">
        <f t="shared" ref="B161:B164" si="32">"("&amp;F161&amp;") Circuits"</f>
        <v>(1) Circuits</v>
      </c>
      <c r="C161" s="37">
        <v>0</v>
      </c>
      <c r="D161" s="37">
        <f t="shared" si="30"/>
        <v>0</v>
      </c>
      <c r="E161" s="37">
        <f t="shared" si="31"/>
        <v>0</v>
      </c>
      <c r="F161">
        <v>1</v>
      </c>
      <c r="H161" s="1"/>
    </row>
    <row r="162" spans="1:21" ht="15.75" customHeight="1">
      <c r="B162" s="75" t="str">
        <f t="shared" si="32"/>
        <v>(2) Circuits</v>
      </c>
      <c r="C162" s="37">
        <v>0</v>
      </c>
      <c r="D162" s="37">
        <f t="shared" si="30"/>
        <v>0</v>
      </c>
      <c r="E162" s="37">
        <f t="shared" si="31"/>
        <v>0</v>
      </c>
      <c r="F162">
        <v>2</v>
      </c>
      <c r="H162" s="1"/>
    </row>
    <row r="163" spans="1:21" ht="15.75" customHeight="1">
      <c r="B163" s="75" t="str">
        <f t="shared" si="32"/>
        <v>(3) Circuits</v>
      </c>
      <c r="C163" s="37">
        <v>0</v>
      </c>
      <c r="D163" s="37">
        <f t="shared" si="30"/>
        <v>0</v>
      </c>
      <c r="E163" s="37">
        <f t="shared" si="31"/>
        <v>0</v>
      </c>
      <c r="F163">
        <v>3</v>
      </c>
      <c r="H163" s="1"/>
    </row>
    <row r="164" spans="1:21" ht="15.75" customHeight="1">
      <c r="B164" s="75" t="str">
        <f t="shared" si="32"/>
        <v>(4) Circuits</v>
      </c>
      <c r="C164" s="37">
        <v>0</v>
      </c>
      <c r="D164" s="37">
        <f t="shared" si="30"/>
        <v>0</v>
      </c>
      <c r="E164" s="37">
        <f t="shared" si="31"/>
        <v>0</v>
      </c>
      <c r="F164">
        <v>4</v>
      </c>
      <c r="H164" s="1"/>
    </row>
    <row r="165" spans="1:21" ht="15.95">
      <c r="B165" s="75" t="str">
        <f t="shared" ref="B165:B166" si="33">"("&amp;F165&amp;") Circuits"</f>
        <v>(5) Circuits</v>
      </c>
      <c r="C165" s="37">
        <v>0</v>
      </c>
      <c r="D165" s="37">
        <f t="shared" si="30"/>
        <v>0</v>
      </c>
      <c r="E165" s="37">
        <f t="shared" si="31"/>
        <v>0</v>
      </c>
      <c r="F165">
        <v>5</v>
      </c>
      <c r="H165" s="1"/>
    </row>
    <row r="166" spans="1:21" ht="15.75" customHeight="1">
      <c r="B166" s="75" t="str">
        <f t="shared" si="33"/>
        <v>(6) Circuits</v>
      </c>
      <c r="C166" s="37">
        <v>0</v>
      </c>
      <c r="D166" s="37">
        <f t="shared" si="30"/>
        <v>0</v>
      </c>
      <c r="E166" s="37">
        <f t="shared" si="31"/>
        <v>0</v>
      </c>
      <c r="F166">
        <v>6</v>
      </c>
    </row>
    <row r="167" spans="1:21" ht="15.75" customHeight="1">
      <c r="B167" s="75"/>
      <c r="C167" s="37"/>
      <c r="D167" s="37"/>
      <c r="E167" s="37"/>
    </row>
    <row r="168" spans="1:21" ht="15.75" customHeight="1">
      <c r="A168" s="3" t="s">
        <v>434</v>
      </c>
      <c r="B168" s="3"/>
      <c r="C168" s="81" t="s">
        <v>341</v>
      </c>
      <c r="D168" s="81" t="s">
        <v>342</v>
      </c>
      <c r="E168" s="81" t="s">
        <v>343</v>
      </c>
    </row>
    <row r="169" spans="1:21" ht="15.75" customHeight="1">
      <c r="C169" s="37">
        <v>0</v>
      </c>
      <c r="D169" s="37">
        <f t="shared" ref="D169:D179" si="34">C169*(1-$H$4)</f>
        <v>0</v>
      </c>
      <c r="E169" s="37">
        <f t="shared" ref="E169:E180" si="35">D169/(1-$I$4)*2</f>
        <v>0</v>
      </c>
    </row>
    <row r="170" spans="1:21" ht="15.95">
      <c r="B170" s="75" t="s">
        <v>320</v>
      </c>
      <c r="C170" s="37">
        <f>F28</f>
        <v>789.71999999999935</v>
      </c>
      <c r="D170" s="37">
        <f>C170*(1-$H$4)</f>
        <v>592.28999999999951</v>
      </c>
      <c r="E170" s="37">
        <f>D170/(1-$I$4)*2</f>
        <v>1974.2999999999984</v>
      </c>
    </row>
    <row r="171" spans="1:21" ht="15.95">
      <c r="B171" t="s">
        <v>435</v>
      </c>
      <c r="C171" s="37">
        <f>C199</f>
        <v>453.6200000000008</v>
      </c>
      <c r="D171" s="37">
        <f t="shared" si="34"/>
        <v>340.2150000000006</v>
      </c>
      <c r="E171" s="37">
        <f t="shared" si="35"/>
        <v>1134.050000000002</v>
      </c>
    </row>
    <row r="172" spans="1:21" ht="15.95">
      <c r="B172" t="s">
        <v>436</v>
      </c>
      <c r="C172" s="37">
        <f>C200</f>
        <v>862.80000000000109</v>
      </c>
      <c r="D172" s="37">
        <f t="shared" si="34"/>
        <v>647.10000000000082</v>
      </c>
      <c r="E172" s="37">
        <f t="shared" si="35"/>
        <v>2157.0000000000027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.95">
      <c r="B173" t="s">
        <v>437</v>
      </c>
      <c r="C173" s="37">
        <f>C201</f>
        <v>738.1200000000008</v>
      </c>
      <c r="D173" s="37">
        <f t="shared" si="34"/>
        <v>553.5900000000006</v>
      </c>
      <c r="E173" s="37">
        <f t="shared" si="35"/>
        <v>1845.300000000002</v>
      </c>
    </row>
    <row r="174" spans="1:21" ht="15.95">
      <c r="B174" t="s">
        <v>438</v>
      </c>
      <c r="C174" s="37">
        <f>C187</f>
        <v>161.08000000000175</v>
      </c>
      <c r="D174" s="37">
        <f t="shared" si="34"/>
        <v>120.81000000000131</v>
      </c>
      <c r="E174" s="37">
        <f t="shared" si="35"/>
        <v>402.70000000000437</v>
      </c>
    </row>
    <row r="175" spans="1:21" ht="15.95">
      <c r="B175" t="s">
        <v>439</v>
      </c>
      <c r="C175" s="37">
        <f>C188</f>
        <v>138.8600000000024</v>
      </c>
      <c r="D175" s="37">
        <f t="shared" si="34"/>
        <v>104.1450000000018</v>
      </c>
      <c r="E175" s="37">
        <f t="shared" si="35"/>
        <v>347.150000000006</v>
      </c>
    </row>
    <row r="176" spans="1:21" ht="15.95">
      <c r="B176" t="s">
        <v>440</v>
      </c>
      <c r="C176" s="37">
        <f>C189</f>
        <v>107.39000000000124</v>
      </c>
      <c r="D176" s="37">
        <f t="shared" si="34"/>
        <v>80.542500000000928</v>
      </c>
      <c r="E176" s="37">
        <f t="shared" si="35"/>
        <v>268.47500000000309</v>
      </c>
    </row>
    <row r="177" spans="1:10" ht="15.95">
      <c r="B177" t="s">
        <v>441</v>
      </c>
      <c r="C177" s="37">
        <f>C190</f>
        <v>731.34000000000015</v>
      </c>
      <c r="D177" s="37">
        <f t="shared" si="34"/>
        <v>548.50500000000011</v>
      </c>
      <c r="E177" s="37">
        <f t="shared" si="35"/>
        <v>1828.3500000000004</v>
      </c>
    </row>
    <row r="178" spans="1:10" ht="15.75" customHeight="1">
      <c r="B178" t="s">
        <v>442</v>
      </c>
      <c r="C178" s="37">
        <f>C192</f>
        <v>1944.9599999999991</v>
      </c>
      <c r="D178" s="37">
        <f t="shared" si="34"/>
        <v>1458.7199999999993</v>
      </c>
      <c r="E178" s="37">
        <f t="shared" si="35"/>
        <v>4862.3999999999978</v>
      </c>
    </row>
    <row r="179" spans="1:10" ht="15.75" customHeight="1">
      <c r="B179" t="s">
        <v>443</v>
      </c>
      <c r="C179" s="37">
        <v>935.02</v>
      </c>
      <c r="D179" s="37">
        <f t="shared" si="34"/>
        <v>701.26499999999999</v>
      </c>
      <c r="E179" s="37">
        <f t="shared" si="35"/>
        <v>2337.5500000000002</v>
      </c>
    </row>
    <row r="180" spans="1:10" ht="15.75" customHeight="1">
      <c r="A180">
        <v>1957353</v>
      </c>
      <c r="B180" t="s">
        <v>444</v>
      </c>
      <c r="C180" s="37">
        <v>850</v>
      </c>
      <c r="D180" s="37">
        <f t="shared" ref="D180" si="36">C180*(1-$H$4)</f>
        <v>637.5</v>
      </c>
      <c r="E180" s="37">
        <f t="shared" si="35"/>
        <v>2125</v>
      </c>
    </row>
    <row r="181" spans="1:10" ht="15.75" customHeight="1">
      <c r="C181" s="37"/>
      <c r="D181" s="37"/>
      <c r="E181" s="37"/>
    </row>
    <row r="182" spans="1:10" ht="15.75" customHeight="1">
      <c r="B182" s="1"/>
      <c r="C182" s="37"/>
      <c r="D182" s="37"/>
      <c r="E182" s="37"/>
      <c r="F182" s="1"/>
      <c r="G182" s="1"/>
      <c r="H182" s="1"/>
      <c r="I182" s="1"/>
      <c r="J182" s="1"/>
    </row>
    <row r="183" spans="1:10" ht="15.75" customHeight="1">
      <c r="A183" s="3" t="s">
        <v>390</v>
      </c>
      <c r="B183" s="3"/>
      <c r="C183" s="81" t="s">
        <v>341</v>
      </c>
      <c r="D183" s="81" t="s">
        <v>342</v>
      </c>
      <c r="E183" s="81" t="s">
        <v>343</v>
      </c>
    </row>
    <row r="184" spans="1:10" ht="15.75" customHeight="1">
      <c r="C184" s="37"/>
      <c r="D184" s="37"/>
      <c r="E184" s="37"/>
    </row>
    <row r="185" spans="1:10" ht="15.75" customHeight="1">
      <c r="A185" t="s">
        <v>445</v>
      </c>
      <c r="C185" s="37"/>
      <c r="D185" s="37"/>
      <c r="E185" s="37"/>
    </row>
    <row r="186" spans="1:10" ht="15.75" customHeight="1">
      <c r="A186" s="3" t="s">
        <v>446</v>
      </c>
      <c r="B186" s="3" t="s">
        <v>1</v>
      </c>
      <c r="C186" s="81" t="s">
        <v>341</v>
      </c>
      <c r="D186" s="81" t="s">
        <v>342</v>
      </c>
      <c r="E186" s="81" t="s">
        <v>343</v>
      </c>
    </row>
    <row r="187" spans="1:10" ht="15.75" customHeight="1">
      <c r="B187" t="s">
        <v>447</v>
      </c>
      <c r="C187" s="37">
        <f>13430.09-C4-C195-C197</f>
        <v>161.08000000000175</v>
      </c>
      <c r="D187" s="37">
        <f t="shared" ref="D187:D192" si="37">C187*(1-$H$4)</f>
        <v>120.81000000000131</v>
      </c>
      <c r="E187" s="37">
        <f t="shared" ref="E187:E193" si="38">D187/(1-$I$4)*2</f>
        <v>402.70000000000437</v>
      </c>
    </row>
    <row r="188" spans="1:10" ht="15.75" customHeight="1">
      <c r="B188" t="s">
        <v>448</v>
      </c>
      <c r="C188" s="37">
        <f>13407.87-C4-C195-C197</f>
        <v>138.8600000000024</v>
      </c>
      <c r="D188" s="37">
        <f t="shared" si="37"/>
        <v>104.1450000000018</v>
      </c>
      <c r="E188" s="37">
        <f t="shared" si="38"/>
        <v>347.150000000006</v>
      </c>
    </row>
    <row r="189" spans="1:10" ht="15.75" customHeight="1">
      <c r="B189" t="s">
        <v>440</v>
      </c>
      <c r="C189" s="37">
        <f>13376.4-C4-C195-C197</f>
        <v>107.39000000000124</v>
      </c>
      <c r="D189" s="37">
        <f t="shared" si="37"/>
        <v>80.542500000000928</v>
      </c>
      <c r="E189" s="37">
        <f t="shared" si="38"/>
        <v>268.47500000000309</v>
      </c>
    </row>
    <row r="190" spans="1:10" ht="15.75" customHeight="1">
      <c r="B190" t="s">
        <v>441</v>
      </c>
      <c r="C190" s="37">
        <f>13385.65-C4-C195</f>
        <v>731.34000000000015</v>
      </c>
      <c r="D190" s="37">
        <f t="shared" si="37"/>
        <v>548.50500000000011</v>
      </c>
      <c r="E190" s="37">
        <f t="shared" si="38"/>
        <v>1828.3500000000004</v>
      </c>
    </row>
    <row r="191" spans="1:10" ht="15.75" customHeight="1">
      <c r="B191" t="s">
        <v>449</v>
      </c>
      <c r="C191" s="37">
        <f>12863.52-C4</f>
        <v>1880.1599999999999</v>
      </c>
      <c r="D191" s="37">
        <f t="shared" si="37"/>
        <v>1410.12</v>
      </c>
      <c r="E191" s="37">
        <f t="shared" si="38"/>
        <v>4700.3999999999996</v>
      </c>
    </row>
    <row r="192" spans="1:10" ht="15.75" customHeight="1">
      <c r="B192" t="s">
        <v>450</v>
      </c>
      <c r="C192" s="37">
        <f>12928.32-C4</f>
        <v>1944.9599999999991</v>
      </c>
      <c r="D192" s="37">
        <f t="shared" si="37"/>
        <v>1458.7199999999993</v>
      </c>
      <c r="E192" s="37">
        <f t="shared" si="38"/>
        <v>4862.3999999999978</v>
      </c>
    </row>
    <row r="193" spans="1:5" ht="15.75" customHeight="1">
      <c r="B193" t="s">
        <v>451</v>
      </c>
      <c r="C193" s="37">
        <f>13209.75-C4</f>
        <v>2226.3899999999994</v>
      </c>
      <c r="D193" s="37">
        <f>C193*(1-$H$4)</f>
        <v>1669.7924999999996</v>
      </c>
      <c r="E193" s="37">
        <f t="shared" si="38"/>
        <v>5565.9749999999985</v>
      </c>
    </row>
    <row r="194" spans="1:5" ht="15.75" customHeight="1">
      <c r="B194" t="s">
        <v>452</v>
      </c>
      <c r="C194" s="37">
        <f>12610.19-C4</f>
        <v>1626.83</v>
      </c>
      <c r="D194" s="37">
        <f t="shared" ref="D194:D201" si="39">C194*(1-$H$4)</f>
        <v>1220.1224999999999</v>
      </c>
      <c r="E194" s="37">
        <f t="shared" ref="E194:E201" si="40">D194/(1-$I$4)*2</f>
        <v>4067.0749999999998</v>
      </c>
    </row>
    <row r="195" spans="1:5" ht="15.75" customHeight="1">
      <c r="B195" t="s">
        <v>453</v>
      </c>
      <c r="C195" s="37">
        <f>12654.31-C4</f>
        <v>1670.9499999999989</v>
      </c>
      <c r="D195" s="37">
        <f t="shared" si="39"/>
        <v>1253.2124999999992</v>
      </c>
      <c r="E195" s="37">
        <f t="shared" si="40"/>
        <v>4177.3749999999973</v>
      </c>
    </row>
    <row r="196" spans="1:5" ht="15.75" customHeight="1">
      <c r="B196" t="s">
        <v>454</v>
      </c>
      <c r="C196" s="37">
        <f>12961.98-C4-C194</f>
        <v>351.78999999999905</v>
      </c>
      <c r="D196" s="37">
        <f t="shared" si="39"/>
        <v>263.84249999999929</v>
      </c>
      <c r="E196" s="37">
        <f t="shared" si="40"/>
        <v>879.47499999999764</v>
      </c>
    </row>
    <row r="197" spans="1:5" ht="15.75" customHeight="1">
      <c r="B197" t="s">
        <v>455</v>
      </c>
      <c r="C197" s="37">
        <f>13224.89-C4-C194</f>
        <v>614.69999999999891</v>
      </c>
      <c r="D197" s="37">
        <f t="shared" si="39"/>
        <v>461.02499999999918</v>
      </c>
      <c r="E197" s="37">
        <f t="shared" si="40"/>
        <v>1536.7499999999973</v>
      </c>
    </row>
    <row r="198" spans="1:5" ht="15.75" customHeight="1">
      <c r="B198" t="s">
        <v>456</v>
      </c>
      <c r="C198" s="37">
        <f>13397.08-C4-C194-C197</f>
        <v>172.19000000000051</v>
      </c>
      <c r="D198" s="37">
        <f t="shared" si="39"/>
        <v>129.14250000000038</v>
      </c>
      <c r="E198" s="37">
        <f t="shared" si="40"/>
        <v>430.47500000000127</v>
      </c>
    </row>
    <row r="199" spans="1:5" ht="15.75" customHeight="1">
      <c r="B199" t="s">
        <v>457</v>
      </c>
      <c r="C199" s="37">
        <f>13678.51-C4-C194-C197</f>
        <v>453.6200000000008</v>
      </c>
      <c r="D199" s="37">
        <f t="shared" si="39"/>
        <v>340.2150000000006</v>
      </c>
      <c r="E199" s="37">
        <f t="shared" si="40"/>
        <v>1134.050000000002</v>
      </c>
    </row>
    <row r="200" spans="1:5" ht="15.75" customHeight="1">
      <c r="B200" t="s">
        <v>458</v>
      </c>
      <c r="C200" s="37">
        <f>14087.69-C4-C197-C194</f>
        <v>862.80000000000109</v>
      </c>
      <c r="D200" s="37">
        <f t="shared" si="39"/>
        <v>647.10000000000082</v>
      </c>
      <c r="E200" s="37">
        <f t="shared" si="40"/>
        <v>2157.0000000000027</v>
      </c>
    </row>
    <row r="201" spans="1:5" ht="15.75" customHeight="1">
      <c r="B201" t="s">
        <v>459</v>
      </c>
      <c r="C201" s="37">
        <f>13963.01-C4-C197-C194</f>
        <v>738.1200000000008</v>
      </c>
      <c r="D201" s="37">
        <f t="shared" si="39"/>
        <v>553.5900000000006</v>
      </c>
      <c r="E201" s="37">
        <f t="shared" si="40"/>
        <v>1845.300000000002</v>
      </c>
    </row>
    <row r="202" spans="1:5" ht="15.75" customHeight="1">
      <c r="C202" s="37"/>
      <c r="D202" s="37"/>
      <c r="E202" s="37"/>
    </row>
    <row r="203" spans="1:5" ht="15.75" customHeight="1">
      <c r="A203" t="s">
        <v>460</v>
      </c>
    </row>
    <row r="204" spans="1:5" ht="15.75" customHeight="1">
      <c r="A204" s="3" t="s">
        <v>446</v>
      </c>
      <c r="B204" s="3" t="s">
        <v>1</v>
      </c>
      <c r="C204" s="81" t="s">
        <v>341</v>
      </c>
      <c r="D204" s="81" t="s">
        <v>342</v>
      </c>
      <c r="E204" s="81" t="s">
        <v>343</v>
      </c>
    </row>
    <row r="205" spans="1:5" ht="15.75" customHeight="1">
      <c r="A205">
        <v>1856697</v>
      </c>
      <c r="B205" t="s">
        <v>461</v>
      </c>
      <c r="C205" s="37">
        <v>1005.36</v>
      </c>
      <c r="D205" s="37">
        <f>C205*(1-$H$4)</f>
        <v>754.02</v>
      </c>
      <c r="E205" s="37">
        <f t="shared" ref="E205:E218" si="41">D205/(1-$I$4)*2</f>
        <v>2513.4</v>
      </c>
    </row>
    <row r="206" spans="1:5" ht="15.75" customHeight="1">
      <c r="A206">
        <v>1948735</v>
      </c>
      <c r="B206" t="s">
        <v>462</v>
      </c>
      <c r="C206" s="37">
        <v>388.82</v>
      </c>
      <c r="D206" s="37">
        <f t="shared" ref="D206" si="42">C206*(1-$H$4)</f>
        <v>291.61500000000001</v>
      </c>
      <c r="E206" s="37">
        <f t="shared" si="41"/>
        <v>972.05000000000007</v>
      </c>
    </row>
    <row r="207" spans="1:5" ht="15.75" customHeight="1">
      <c r="A207">
        <v>1945882</v>
      </c>
      <c r="B207" t="s">
        <v>463</v>
      </c>
      <c r="C207" s="37">
        <v>388.53</v>
      </c>
      <c r="D207" s="37">
        <f t="shared" ref="D207:D211" si="43">C207*(1-$H$4)</f>
        <v>291.39749999999998</v>
      </c>
      <c r="E207" s="37">
        <f t="shared" si="41"/>
        <v>971.32499999999993</v>
      </c>
    </row>
    <row r="208" spans="1:5" ht="15.75" customHeight="1">
      <c r="A208">
        <v>1936175</v>
      </c>
      <c r="B208" t="s">
        <v>464</v>
      </c>
      <c r="C208" s="37">
        <v>611</v>
      </c>
      <c r="D208" s="37">
        <f t="shared" ref="D208" si="44">C208*(1-$H$4)</f>
        <v>458.25</v>
      </c>
      <c r="E208" s="37">
        <f>D208/(1-$I$4)*2</f>
        <v>1527.5</v>
      </c>
    </row>
    <row r="209" spans="1:5" ht="15.75" customHeight="1">
      <c r="C209" s="37"/>
      <c r="D209" s="37"/>
      <c r="E209" s="37"/>
    </row>
    <row r="210" spans="1:5" ht="15.75" customHeight="1">
      <c r="A210">
        <v>1856697</v>
      </c>
      <c r="B210" t="s">
        <v>465</v>
      </c>
      <c r="C210" s="37">
        <v>1005.36</v>
      </c>
      <c r="D210" s="37">
        <f>C210*(1-$H$4)</f>
        <v>754.02</v>
      </c>
      <c r="E210" s="37">
        <f t="shared" si="41"/>
        <v>2513.4</v>
      </c>
    </row>
    <row r="211" spans="1:5" ht="15.75" customHeight="1">
      <c r="A211">
        <v>1935634</v>
      </c>
      <c r="B211" t="s">
        <v>466</v>
      </c>
      <c r="C211" s="37">
        <v>379.56</v>
      </c>
      <c r="D211" s="37">
        <f t="shared" si="43"/>
        <v>284.67</v>
      </c>
      <c r="E211" s="37">
        <f t="shared" si="41"/>
        <v>948.90000000000009</v>
      </c>
    </row>
    <row r="212" spans="1:5" ht="15.75" customHeight="1">
      <c r="A212">
        <v>1915476</v>
      </c>
      <c r="B212" t="s">
        <v>467</v>
      </c>
      <c r="C212" s="37">
        <v>261.57</v>
      </c>
      <c r="D212" s="37">
        <f>C212*(1-$H$4)</f>
        <v>196.17750000000001</v>
      </c>
      <c r="E212" s="37">
        <f t="shared" si="41"/>
        <v>653.92500000000007</v>
      </c>
    </row>
    <row r="213" spans="1:5" ht="15.75" customHeight="1">
      <c r="C213" s="37"/>
      <c r="D213" s="37"/>
      <c r="E213" s="37"/>
    </row>
    <row r="214" spans="1:5" ht="15.75" customHeight="1">
      <c r="A214">
        <v>1957353</v>
      </c>
      <c r="B214" t="s">
        <v>468</v>
      </c>
      <c r="C214" s="37">
        <v>595</v>
      </c>
      <c r="D214" s="37">
        <f>C214*(1-$H$4)</f>
        <v>446.25</v>
      </c>
      <c r="E214" s="37">
        <f t="shared" si="41"/>
        <v>1487.5</v>
      </c>
    </row>
    <row r="216" spans="1:5" ht="15.75" customHeight="1">
      <c r="A216">
        <v>1533283</v>
      </c>
      <c r="B216" t="s">
        <v>469</v>
      </c>
      <c r="C216" s="37">
        <v>298.08999999999997</v>
      </c>
      <c r="D216" s="37">
        <f t="shared" ref="D216:D218" si="45">C216*(1-$H$4)</f>
        <v>223.5675</v>
      </c>
      <c r="E216" s="37">
        <f t="shared" si="41"/>
        <v>745.22500000000002</v>
      </c>
    </row>
    <row r="217" spans="1:5" ht="15.75" customHeight="1">
      <c r="A217">
        <v>1516311</v>
      </c>
      <c r="B217" t="s">
        <v>470</v>
      </c>
      <c r="C217" s="37">
        <v>12.96</v>
      </c>
      <c r="D217" s="37">
        <f t="shared" si="45"/>
        <v>9.7200000000000006</v>
      </c>
      <c r="E217" s="37">
        <f t="shared" si="41"/>
        <v>32.400000000000006</v>
      </c>
    </row>
    <row r="218" spans="1:5" ht="15.75" customHeight="1">
      <c r="A218">
        <v>1547393</v>
      </c>
      <c r="B218" t="s">
        <v>471</v>
      </c>
      <c r="C218" s="37">
        <v>175.89</v>
      </c>
      <c r="D218" s="37">
        <f t="shared" si="45"/>
        <v>131.91749999999999</v>
      </c>
      <c r="E218" s="37">
        <f t="shared" si="41"/>
        <v>439.72499999999997</v>
      </c>
    </row>
    <row r="219" spans="1:5" ht="15.75" customHeight="1">
      <c r="A219" s="43" t="s">
        <v>472</v>
      </c>
      <c r="B219" t="s">
        <v>473</v>
      </c>
      <c r="C219" s="37">
        <v>151.82</v>
      </c>
      <c r="D219" s="37">
        <f t="shared" ref="D219" si="46">C219*(1-$H$4)</f>
        <v>113.86499999999999</v>
      </c>
      <c r="E219" s="37">
        <f t="shared" ref="E219" si="47">D219/(1-0.4)*2</f>
        <v>379.55</v>
      </c>
    </row>
  </sheetData>
  <sheetProtection sheet="1" selectLockedCells="1"/>
  <phoneticPr fontId="2" type="noConversion"/>
  <pageMargins left="0.7" right="0.7" top="0.75" bottom="0.75" header="0.3" footer="0.3"/>
  <pageSetup scale="47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92E93-0531-1C4B-BB6C-E9F0B9F124CA}">
  <sheetPr>
    <pageSetUpPr fitToPage="1"/>
  </sheetPr>
  <dimension ref="A1:AB326"/>
  <sheetViews>
    <sheetView zoomScale="106" zoomScaleNormal="96" workbookViewId="0">
      <selection activeCell="E156" sqref="E156"/>
    </sheetView>
  </sheetViews>
  <sheetFormatPr defaultColWidth="11" defaultRowHeight="15"/>
  <cols>
    <col min="1" max="1" width="6.625" style="113" customWidth="1"/>
    <col min="2" max="2" width="15.5" style="114" customWidth="1"/>
    <col min="3" max="3" width="65.625" style="113" customWidth="1"/>
    <col min="4" max="4" width="10" style="113" customWidth="1"/>
    <col min="5" max="5" width="10.625" style="113" customWidth="1"/>
    <col min="6" max="6" width="17.625" style="113" customWidth="1"/>
    <col min="7" max="7" width="16.5" style="116" customWidth="1"/>
    <col min="8" max="8" width="18.375" style="116" customWidth="1"/>
    <col min="9" max="9" width="16.375" style="116" customWidth="1"/>
    <col min="10" max="10" width="14.375" style="116" customWidth="1"/>
    <col min="11" max="11" width="14.5" style="116" customWidth="1"/>
    <col min="12" max="12" width="15.5" style="116" customWidth="1"/>
    <col min="13" max="17" width="16.375" style="116" customWidth="1"/>
    <col min="18" max="20" width="14.375" style="116" customWidth="1"/>
    <col min="21" max="21" width="15.375" style="113" customWidth="1"/>
    <col min="22" max="16384" width="11" style="113"/>
  </cols>
  <sheetData>
    <row r="1" spans="1:20">
      <c r="A1" s="113" t="s">
        <v>474</v>
      </c>
      <c r="D1" s="115">
        <v>0</v>
      </c>
      <c r="M1" s="117"/>
      <c r="N1" s="117" t="s">
        <v>475</v>
      </c>
      <c r="O1" s="117"/>
      <c r="P1" s="117"/>
      <c r="R1" s="117" t="s">
        <v>476</v>
      </c>
    </row>
    <row r="2" spans="1:20">
      <c r="B2" s="118" t="s">
        <v>446</v>
      </c>
      <c r="C2" s="119" t="s">
        <v>339</v>
      </c>
      <c r="D2" s="113" t="s">
        <v>477</v>
      </c>
      <c r="E2" s="113" t="s">
        <v>478</v>
      </c>
      <c r="F2" s="120" t="s">
        <v>479</v>
      </c>
      <c r="G2" s="120" t="s">
        <v>480</v>
      </c>
      <c r="H2" s="120" t="s">
        <v>343</v>
      </c>
      <c r="I2" s="120" t="s">
        <v>309</v>
      </c>
      <c r="J2" s="120" t="s">
        <v>481</v>
      </c>
      <c r="K2" s="120" t="s">
        <v>482</v>
      </c>
      <c r="M2" s="121" t="s">
        <v>483</v>
      </c>
      <c r="N2" s="121" t="s">
        <v>484</v>
      </c>
      <c r="O2" s="121" t="s">
        <v>485</v>
      </c>
      <c r="P2" s="121" t="s">
        <v>486</v>
      </c>
      <c r="Q2" s="121"/>
      <c r="R2" s="121" t="s">
        <v>345</v>
      </c>
      <c r="S2" s="113"/>
      <c r="T2" s="113"/>
    </row>
    <row r="3" spans="1:20" hidden="1">
      <c r="B3" s="118"/>
      <c r="C3" s="119"/>
      <c r="D3" s="122"/>
      <c r="E3" s="122"/>
      <c r="F3" s="122"/>
      <c r="G3" s="120"/>
      <c r="H3" s="120"/>
      <c r="I3" s="120"/>
      <c r="J3" s="120"/>
      <c r="K3" s="120"/>
      <c r="M3" s="117"/>
      <c r="N3" s="117"/>
      <c r="O3" s="123"/>
      <c r="P3" s="123"/>
      <c r="Q3" s="113"/>
      <c r="R3" s="117"/>
      <c r="S3" s="113"/>
      <c r="T3" s="113"/>
    </row>
    <row r="4" spans="1:20">
      <c r="B4" s="114" t="s">
        <v>487</v>
      </c>
      <c r="C4" s="113" t="s">
        <v>488</v>
      </c>
      <c r="D4" s="113">
        <v>1</v>
      </c>
      <c r="E4" s="113" t="s">
        <v>218</v>
      </c>
      <c r="F4" s="116">
        <f>G4/(1-$M$4)</f>
        <v>4142.87</v>
      </c>
      <c r="G4" s="116">
        <f>SUM(I4:K4)</f>
        <v>2071.4349999999999</v>
      </c>
      <c r="H4" s="124">
        <f t="shared" ref="H4:H19" si="0">G4/(1-$R$4)*2</f>
        <v>6904.7833333333338</v>
      </c>
      <c r="I4" s="116">
        <f>G225</f>
        <v>351.69</v>
      </c>
      <c r="J4" s="116">
        <f>G124</f>
        <v>1719.7449999999999</v>
      </c>
      <c r="K4" s="116">
        <v>0</v>
      </c>
      <c r="M4" s="125">
        <v>0.5</v>
      </c>
      <c r="N4" s="125">
        <v>0.45</v>
      </c>
      <c r="O4" s="125">
        <v>0.45</v>
      </c>
      <c r="P4" s="125">
        <v>0.5</v>
      </c>
      <c r="Q4" s="125"/>
      <c r="R4" s="125">
        <v>0.4</v>
      </c>
      <c r="S4" s="126"/>
      <c r="T4" s="113"/>
    </row>
    <row r="5" spans="1:20">
      <c r="B5" s="114" t="s">
        <v>489</v>
      </c>
      <c r="C5" s="113" t="s">
        <v>490</v>
      </c>
      <c r="D5" s="113">
        <v>2</v>
      </c>
      <c r="E5" s="113" t="s">
        <v>218</v>
      </c>
      <c r="F5" s="116">
        <f t="shared" ref="F5:F19" si="1">G5/(1-$M$4)</f>
        <v>7827.25</v>
      </c>
      <c r="G5" s="116">
        <f t="shared" ref="G5:G19" si="2">SUM(I5:K5)</f>
        <v>3913.625</v>
      </c>
      <c r="H5" s="124">
        <f t="shared" si="0"/>
        <v>13045.416666666668</v>
      </c>
      <c r="I5" s="116">
        <f>G225</f>
        <v>351.69</v>
      </c>
      <c r="J5" s="116">
        <f>G134</f>
        <v>3561.9349999999999</v>
      </c>
      <c r="K5" s="116">
        <v>0</v>
      </c>
      <c r="O5" s="126"/>
      <c r="P5" s="126"/>
      <c r="Q5" s="126"/>
      <c r="R5" s="127"/>
      <c r="S5" s="126"/>
      <c r="T5" s="113"/>
    </row>
    <row r="6" spans="1:20">
      <c r="B6" s="114" t="s">
        <v>491</v>
      </c>
      <c r="C6" s="113" t="s">
        <v>492</v>
      </c>
      <c r="D6" s="113">
        <v>3</v>
      </c>
      <c r="E6" s="113" t="s">
        <v>218</v>
      </c>
      <c r="F6" s="116">
        <f t="shared" si="1"/>
        <v>10639.91</v>
      </c>
      <c r="G6" s="116">
        <f t="shared" si="2"/>
        <v>5319.9549999999999</v>
      </c>
      <c r="H6" s="124">
        <f t="shared" si="0"/>
        <v>17733.183333333334</v>
      </c>
      <c r="I6" s="116">
        <f>G225</f>
        <v>351.69</v>
      </c>
      <c r="J6" s="116">
        <f>G143</f>
        <v>4968.2650000000003</v>
      </c>
      <c r="K6" s="116">
        <v>0</v>
      </c>
      <c r="O6" s="126"/>
      <c r="P6" s="126"/>
      <c r="Q6" s="126"/>
      <c r="R6" s="127"/>
      <c r="S6" s="126"/>
      <c r="T6" s="113"/>
    </row>
    <row r="7" spans="1:20">
      <c r="B7" s="114" t="s">
        <v>493</v>
      </c>
      <c r="C7" s="113" t="s">
        <v>494</v>
      </c>
      <c r="D7" s="113">
        <v>1</v>
      </c>
      <c r="E7" s="113" t="s">
        <v>218</v>
      </c>
      <c r="F7" s="116">
        <f t="shared" si="1"/>
        <v>5874.2300000000005</v>
      </c>
      <c r="G7" s="116">
        <f t="shared" si="2"/>
        <v>2937.1150000000002</v>
      </c>
      <c r="H7" s="124">
        <f t="shared" si="0"/>
        <v>9790.383333333335</v>
      </c>
      <c r="I7" s="116">
        <f>G225</f>
        <v>351.69</v>
      </c>
      <c r="J7" s="116">
        <f>G132</f>
        <v>2585.4250000000002</v>
      </c>
      <c r="K7" s="116">
        <f>0</f>
        <v>0</v>
      </c>
      <c r="O7" s="126"/>
      <c r="P7" s="126"/>
      <c r="Q7" s="126"/>
      <c r="R7" s="127"/>
      <c r="S7" s="126"/>
      <c r="T7" s="113"/>
    </row>
    <row r="8" spans="1:20">
      <c r="B8" s="114" t="s">
        <v>495</v>
      </c>
      <c r="C8" s="113" t="s">
        <v>496</v>
      </c>
      <c r="D8" s="113">
        <v>1</v>
      </c>
      <c r="E8" s="113" t="s">
        <v>218</v>
      </c>
      <c r="F8" s="116">
        <f t="shared" si="1"/>
        <v>6214.4500000000007</v>
      </c>
      <c r="G8" s="116">
        <f t="shared" si="2"/>
        <v>3107.2250000000004</v>
      </c>
      <c r="H8" s="124">
        <f t="shared" si="0"/>
        <v>10357.416666666668</v>
      </c>
      <c r="I8" s="116">
        <f>G225</f>
        <v>351.69</v>
      </c>
      <c r="J8" s="116">
        <f>G133</f>
        <v>2574.84</v>
      </c>
      <c r="K8" s="116">
        <f>G181</f>
        <v>180.69499999999999</v>
      </c>
      <c r="O8" s="126"/>
      <c r="P8" s="126"/>
      <c r="Q8" s="126"/>
      <c r="R8" s="126"/>
      <c r="S8" s="126"/>
      <c r="T8" s="113"/>
    </row>
    <row r="9" spans="1:20">
      <c r="B9" s="114" t="s">
        <v>497</v>
      </c>
      <c r="C9" s="113" t="s">
        <v>498</v>
      </c>
      <c r="D9" s="113">
        <v>2</v>
      </c>
      <c r="E9" s="113" t="s">
        <v>218</v>
      </c>
      <c r="F9" s="116">
        <f t="shared" si="1"/>
        <v>8860.93</v>
      </c>
      <c r="G9" s="116">
        <f t="shared" si="2"/>
        <v>4430.4650000000001</v>
      </c>
      <c r="H9" s="124">
        <f t="shared" si="0"/>
        <v>14768.216666666667</v>
      </c>
      <c r="I9" s="116">
        <f>G225</f>
        <v>351.69</v>
      </c>
      <c r="J9" s="116">
        <f>G141</f>
        <v>4078.7750000000001</v>
      </c>
      <c r="K9" s="116">
        <f>0</f>
        <v>0</v>
      </c>
      <c r="O9" s="126"/>
      <c r="P9" s="126"/>
      <c r="Q9" s="126"/>
      <c r="R9" s="126"/>
      <c r="S9" s="126"/>
      <c r="T9" s="113"/>
    </row>
    <row r="10" spans="1:20">
      <c r="B10" s="114" t="s">
        <v>499</v>
      </c>
      <c r="C10" s="113" t="s">
        <v>500</v>
      </c>
      <c r="D10" s="113">
        <v>1</v>
      </c>
      <c r="E10" s="113" t="s">
        <v>218</v>
      </c>
      <c r="F10" s="116">
        <f t="shared" si="1"/>
        <v>8244.23</v>
      </c>
      <c r="G10" s="116">
        <f t="shared" si="2"/>
        <v>4122.1149999999998</v>
      </c>
      <c r="H10" s="124">
        <f t="shared" si="0"/>
        <v>13740.383333333333</v>
      </c>
      <c r="I10" s="116">
        <f>G225</f>
        <v>351.69</v>
      </c>
      <c r="J10" s="116">
        <f>G142</f>
        <v>3589.73</v>
      </c>
      <c r="K10" s="116">
        <f>G181</f>
        <v>180.69499999999999</v>
      </c>
      <c r="O10" s="126"/>
      <c r="P10" s="126"/>
      <c r="Q10" s="126"/>
      <c r="R10" s="126"/>
      <c r="S10" s="126"/>
      <c r="T10" s="113"/>
    </row>
    <row r="11" spans="1:20">
      <c r="B11" s="114" t="s">
        <v>501</v>
      </c>
      <c r="C11" s="113" t="s">
        <v>502</v>
      </c>
      <c r="D11" s="113">
        <v>1</v>
      </c>
      <c r="E11" s="113" t="s">
        <v>218</v>
      </c>
      <c r="F11" s="116">
        <f t="shared" si="1"/>
        <v>7827.25</v>
      </c>
      <c r="G11" s="116">
        <f t="shared" si="2"/>
        <v>3913.625</v>
      </c>
      <c r="H11" s="124">
        <f t="shared" si="0"/>
        <v>13045.416666666668</v>
      </c>
      <c r="I11" s="116">
        <f>G225</f>
        <v>351.69</v>
      </c>
      <c r="J11" s="116">
        <f>G134</f>
        <v>3561.9349999999999</v>
      </c>
      <c r="K11" s="116">
        <v>0</v>
      </c>
      <c r="O11" s="126"/>
      <c r="P11" s="126"/>
      <c r="Q11" s="126"/>
      <c r="R11" s="126"/>
      <c r="S11" s="126"/>
      <c r="T11" s="113"/>
    </row>
    <row r="12" spans="1:20">
      <c r="B12" s="114" t="s">
        <v>503</v>
      </c>
      <c r="C12" s="113" t="s">
        <v>504</v>
      </c>
      <c r="D12" s="113">
        <v>2</v>
      </c>
      <c r="E12" s="113" t="s">
        <v>218</v>
      </c>
      <c r="F12" s="116">
        <f t="shared" si="1"/>
        <v>10639.91</v>
      </c>
      <c r="G12" s="116">
        <f t="shared" si="2"/>
        <v>5319.9549999999999</v>
      </c>
      <c r="H12" s="124">
        <f t="shared" si="0"/>
        <v>17733.183333333334</v>
      </c>
      <c r="I12" s="116">
        <f>G225</f>
        <v>351.69</v>
      </c>
      <c r="J12" s="116">
        <f>G143</f>
        <v>4968.2650000000003</v>
      </c>
      <c r="K12" s="116">
        <v>0</v>
      </c>
      <c r="O12" s="126"/>
      <c r="P12" s="126"/>
      <c r="Q12" s="126"/>
      <c r="R12" s="126"/>
      <c r="S12" s="126"/>
      <c r="T12" s="113"/>
    </row>
    <row r="13" spans="1:20">
      <c r="B13" s="114" t="s">
        <v>505</v>
      </c>
      <c r="C13" s="113" t="s">
        <v>506</v>
      </c>
      <c r="D13" s="113">
        <v>0</v>
      </c>
      <c r="E13" s="113" t="s">
        <v>218</v>
      </c>
      <c r="F13" s="116">
        <f t="shared" si="1"/>
        <v>3442.5</v>
      </c>
      <c r="G13" s="116">
        <f t="shared" si="2"/>
        <v>1721.25</v>
      </c>
      <c r="H13" s="124">
        <f t="shared" si="0"/>
        <v>5737.5</v>
      </c>
      <c r="I13" s="116">
        <f>G225</f>
        <v>351.69</v>
      </c>
      <c r="J13" s="116">
        <f>G125</f>
        <v>1369.56</v>
      </c>
      <c r="K13" s="116">
        <v>0</v>
      </c>
      <c r="O13" s="126"/>
      <c r="P13" s="126"/>
      <c r="Q13" s="126"/>
      <c r="R13" s="126"/>
      <c r="S13" s="126"/>
      <c r="T13" s="113"/>
    </row>
    <row r="14" spans="1:20">
      <c r="B14" s="114" t="s">
        <v>507</v>
      </c>
      <c r="C14" s="113" t="s">
        <v>508</v>
      </c>
      <c r="D14" s="113">
        <v>0</v>
      </c>
      <c r="E14" s="113" t="s">
        <v>218</v>
      </c>
      <c r="F14" s="116">
        <f t="shared" si="1"/>
        <v>4142.87</v>
      </c>
      <c r="G14" s="116">
        <f t="shared" si="2"/>
        <v>2071.4349999999999</v>
      </c>
      <c r="H14" s="124">
        <f t="shared" si="0"/>
        <v>6904.7833333333338</v>
      </c>
      <c r="I14" s="116">
        <f>G225</f>
        <v>351.69</v>
      </c>
      <c r="J14" s="116">
        <f>G124</f>
        <v>1719.7449999999999</v>
      </c>
      <c r="K14" s="116">
        <v>0</v>
      </c>
      <c r="O14" s="126"/>
      <c r="P14" s="126"/>
      <c r="Q14" s="126"/>
      <c r="R14" s="126"/>
      <c r="S14" s="126"/>
      <c r="T14" s="113"/>
    </row>
    <row r="15" spans="1:20">
      <c r="B15" s="114" t="s">
        <v>509</v>
      </c>
      <c r="C15" s="113" t="s">
        <v>510</v>
      </c>
      <c r="D15" s="113">
        <v>0</v>
      </c>
      <c r="E15" s="113" t="s">
        <v>218</v>
      </c>
      <c r="F15" s="116">
        <f t="shared" si="1"/>
        <v>5388.3700000000008</v>
      </c>
      <c r="G15" s="116">
        <f t="shared" si="2"/>
        <v>2694.1850000000004</v>
      </c>
      <c r="H15" s="124">
        <f t="shared" si="0"/>
        <v>8980.6166666666686</v>
      </c>
      <c r="I15" s="116">
        <f>G225</f>
        <v>351.69</v>
      </c>
      <c r="J15" s="116">
        <f>G135</f>
        <v>2161.8000000000002</v>
      </c>
      <c r="K15" s="116">
        <f>G181</f>
        <v>180.69499999999999</v>
      </c>
      <c r="O15" s="126"/>
      <c r="P15" s="126"/>
      <c r="Q15" s="126"/>
      <c r="R15" s="126"/>
      <c r="S15" s="126"/>
      <c r="T15" s="113"/>
    </row>
    <row r="16" spans="1:20">
      <c r="B16" s="114" t="s">
        <v>511</v>
      </c>
      <c r="C16" s="113" t="s">
        <v>512</v>
      </c>
      <c r="D16" s="113">
        <v>0</v>
      </c>
      <c r="E16" s="113" t="s">
        <v>218</v>
      </c>
      <c r="F16" s="116">
        <f t="shared" si="1"/>
        <v>7827.25</v>
      </c>
      <c r="G16" s="116">
        <f t="shared" si="2"/>
        <v>3913.625</v>
      </c>
      <c r="H16" s="124">
        <f t="shared" si="0"/>
        <v>13045.416666666668</v>
      </c>
      <c r="I16" s="116">
        <f>G225</f>
        <v>351.69</v>
      </c>
      <c r="J16" s="116">
        <f>G134</f>
        <v>3561.9349999999999</v>
      </c>
      <c r="K16" s="116">
        <v>0</v>
      </c>
      <c r="O16" s="126"/>
      <c r="P16" s="126"/>
      <c r="Q16" s="126"/>
      <c r="R16" s="126"/>
      <c r="S16" s="126"/>
      <c r="T16" s="113"/>
    </row>
    <row r="17" spans="1:28">
      <c r="B17" s="114" t="s">
        <v>513</v>
      </c>
      <c r="C17" s="113" t="s">
        <v>514</v>
      </c>
      <c r="D17" s="113">
        <v>0</v>
      </c>
      <c r="E17" s="113" t="s">
        <v>218</v>
      </c>
      <c r="F17" s="116">
        <f t="shared" si="1"/>
        <v>5853.06</v>
      </c>
      <c r="G17" s="116">
        <f t="shared" si="2"/>
        <v>2926.53</v>
      </c>
      <c r="H17" s="124">
        <f t="shared" si="0"/>
        <v>9755.1</v>
      </c>
      <c r="I17" s="116">
        <f>G225</f>
        <v>351.69</v>
      </c>
      <c r="J17" s="116">
        <f>G133</f>
        <v>2574.84</v>
      </c>
      <c r="K17" s="116">
        <v>0</v>
      </c>
      <c r="O17" s="126"/>
      <c r="P17" s="126"/>
      <c r="Q17" s="126"/>
      <c r="R17" s="126"/>
      <c r="S17" s="126"/>
      <c r="T17" s="113"/>
    </row>
    <row r="18" spans="1:28">
      <c r="B18" s="114" t="s">
        <v>515</v>
      </c>
      <c r="C18" s="113" t="s">
        <v>516</v>
      </c>
      <c r="D18" s="113">
        <v>0</v>
      </c>
      <c r="E18" s="113" t="s">
        <v>218</v>
      </c>
      <c r="F18" s="116">
        <f t="shared" si="1"/>
        <v>6235.6200000000008</v>
      </c>
      <c r="G18" s="116">
        <f t="shared" si="2"/>
        <v>3117.8100000000004</v>
      </c>
      <c r="H18" s="124">
        <f t="shared" si="0"/>
        <v>10392.700000000003</v>
      </c>
      <c r="I18" s="116">
        <f>G225</f>
        <v>351.69</v>
      </c>
      <c r="J18" s="116">
        <f>G132</f>
        <v>2585.4250000000002</v>
      </c>
      <c r="K18" s="116">
        <f>G181</f>
        <v>180.69499999999999</v>
      </c>
      <c r="O18" s="126"/>
      <c r="P18" s="126"/>
      <c r="Q18" s="126"/>
      <c r="R18" s="126"/>
      <c r="S18" s="126"/>
      <c r="T18" s="113"/>
    </row>
    <row r="19" spans="1:28">
      <c r="B19" s="114" t="s">
        <v>517</v>
      </c>
      <c r="C19" s="113" t="s">
        <v>518</v>
      </c>
      <c r="D19" s="113">
        <v>1</v>
      </c>
      <c r="E19" s="113" t="s">
        <v>218</v>
      </c>
      <c r="F19" s="116">
        <f t="shared" si="1"/>
        <v>2878.1600000000003</v>
      </c>
      <c r="G19" s="116">
        <f t="shared" si="2"/>
        <v>1439.0800000000002</v>
      </c>
      <c r="H19" s="124">
        <f t="shared" si="0"/>
        <v>4796.9333333333343</v>
      </c>
      <c r="I19" s="116">
        <f>G225</f>
        <v>351.69</v>
      </c>
      <c r="J19" s="116">
        <f>G126</f>
        <v>1087.3900000000001</v>
      </c>
      <c r="K19" s="116">
        <v>0</v>
      </c>
      <c r="O19" s="126"/>
      <c r="P19" s="126"/>
      <c r="Q19" s="126"/>
      <c r="R19" s="126"/>
      <c r="S19" s="126"/>
      <c r="T19" s="113"/>
    </row>
    <row r="20" spans="1:28">
      <c r="B20" s="114" t="s">
        <v>519</v>
      </c>
      <c r="C20" s="113" t="s">
        <v>520</v>
      </c>
      <c r="F20" s="116">
        <f>G20/(1-$M$4)</f>
        <v>4532.29</v>
      </c>
      <c r="G20" s="116">
        <f>SUM(I20:K20)</f>
        <v>2266.145</v>
      </c>
      <c r="H20" s="124">
        <f>G20/(1-$R$4)*2</f>
        <v>7553.8166666666666</v>
      </c>
      <c r="I20" s="116">
        <f>G226</f>
        <v>351.69</v>
      </c>
      <c r="J20" s="116">
        <f>G136</f>
        <v>1914.4549999999999</v>
      </c>
      <c r="O20" s="126"/>
      <c r="P20" s="126"/>
      <c r="Q20" s="126"/>
      <c r="R20" s="126"/>
      <c r="S20" s="126"/>
      <c r="T20" s="113"/>
    </row>
    <row r="21" spans="1:28">
      <c r="B21" s="114" t="s">
        <v>521</v>
      </c>
      <c r="C21" s="113" t="s">
        <v>522</v>
      </c>
      <c r="D21" s="113">
        <v>1</v>
      </c>
      <c r="E21" s="113" t="s">
        <v>218</v>
      </c>
      <c r="F21" s="116">
        <f>G21/(1-$M$4)</f>
        <v>0</v>
      </c>
      <c r="G21" s="116">
        <f>SUM(I21:K21)</f>
        <v>0</v>
      </c>
      <c r="H21" s="124">
        <f t="shared" ref="H21:H23" si="3">G21/(1-$R$4)*2</f>
        <v>0</v>
      </c>
      <c r="I21" s="116">
        <v>0</v>
      </c>
      <c r="J21" s="116">
        <v>0</v>
      </c>
      <c r="K21" s="116">
        <v>0</v>
      </c>
      <c r="M21" s="125">
        <v>0.5</v>
      </c>
      <c r="N21" s="125">
        <v>0.4</v>
      </c>
      <c r="O21" s="125">
        <v>0.45</v>
      </c>
      <c r="P21" s="125">
        <v>0.5</v>
      </c>
      <c r="Q21" s="126"/>
      <c r="R21" s="125">
        <v>0.4</v>
      </c>
      <c r="S21" s="126"/>
      <c r="T21" s="113"/>
    </row>
    <row r="22" spans="1:28">
      <c r="B22" s="114" t="s">
        <v>523</v>
      </c>
      <c r="C22" s="113" t="s">
        <v>524</v>
      </c>
      <c r="D22" s="113">
        <v>2</v>
      </c>
      <c r="E22" s="113" t="s">
        <v>218</v>
      </c>
      <c r="F22" s="116">
        <f t="shared" ref="F22:F23" si="4">G22/(1-$M$4)</f>
        <v>0</v>
      </c>
      <c r="G22" s="116">
        <f t="shared" ref="G22:G23" si="5">SUM(I22:K22)</f>
        <v>0</v>
      </c>
      <c r="H22" s="124">
        <f t="shared" si="3"/>
        <v>0</v>
      </c>
      <c r="I22" s="116">
        <v>0</v>
      </c>
      <c r="J22" s="116">
        <v>0</v>
      </c>
      <c r="K22" s="116">
        <v>0</v>
      </c>
      <c r="O22" s="126"/>
      <c r="P22" s="126"/>
      <c r="Q22" s="126"/>
      <c r="R22" s="127"/>
      <c r="S22" s="126"/>
      <c r="T22" s="113"/>
    </row>
    <row r="23" spans="1:28">
      <c r="B23" s="114" t="s">
        <v>525</v>
      </c>
      <c r="C23" s="113" t="s">
        <v>526</v>
      </c>
      <c r="D23" s="113">
        <v>3</v>
      </c>
      <c r="E23" s="113" t="s">
        <v>218</v>
      </c>
      <c r="F23" s="116">
        <f t="shared" si="4"/>
        <v>0</v>
      </c>
      <c r="G23" s="116">
        <f t="shared" si="5"/>
        <v>0</v>
      </c>
      <c r="H23" s="124">
        <f t="shared" si="3"/>
        <v>0</v>
      </c>
      <c r="I23" s="116">
        <v>0</v>
      </c>
      <c r="J23" s="116">
        <v>0</v>
      </c>
      <c r="K23" s="116">
        <v>0</v>
      </c>
      <c r="O23" s="126"/>
      <c r="P23" s="126"/>
      <c r="Q23" s="126"/>
      <c r="R23" s="127"/>
      <c r="S23" s="126"/>
      <c r="T23" s="113"/>
    </row>
    <row r="24" spans="1:28">
      <c r="T24" s="126"/>
      <c r="U24" s="126"/>
      <c r="V24" s="126"/>
      <c r="W24" s="126"/>
      <c r="X24" s="126"/>
      <c r="Y24" s="126"/>
    </row>
    <row r="25" spans="1:28">
      <c r="A25" s="113" t="s">
        <v>527</v>
      </c>
    </row>
    <row r="26" spans="1:28">
      <c r="B26" s="118" t="s">
        <v>446</v>
      </c>
      <c r="C26" s="119" t="s">
        <v>528</v>
      </c>
      <c r="D26" s="119" t="s">
        <v>529</v>
      </c>
      <c r="F26" s="120" t="s">
        <v>479</v>
      </c>
      <c r="G26" s="120" t="s">
        <v>530</v>
      </c>
      <c r="H26" s="120" t="s">
        <v>531</v>
      </c>
      <c r="I26" s="120" t="s">
        <v>532</v>
      </c>
      <c r="J26" s="120" t="s">
        <v>533</v>
      </c>
      <c r="K26" s="120" t="s">
        <v>534</v>
      </c>
      <c r="L26" s="120" t="s">
        <v>535</v>
      </c>
      <c r="M26" s="120" t="s">
        <v>536</v>
      </c>
      <c r="N26" s="120" t="s">
        <v>537</v>
      </c>
      <c r="O26" s="120" t="s">
        <v>538</v>
      </c>
      <c r="P26" s="116" t="s">
        <v>539</v>
      </c>
      <c r="Q26" s="116" t="s">
        <v>540</v>
      </c>
      <c r="U26" s="116"/>
    </row>
    <row r="27" spans="1:28" hidden="1">
      <c r="B27" s="118"/>
      <c r="C27" s="119"/>
      <c r="D27" s="128"/>
      <c r="E27" s="122"/>
      <c r="F27" s="122"/>
      <c r="G27" s="120"/>
      <c r="H27" s="120"/>
      <c r="I27" s="129"/>
      <c r="J27" s="129"/>
      <c r="K27" s="129"/>
      <c r="L27" s="129"/>
      <c r="M27" s="129"/>
      <c r="N27" s="129"/>
      <c r="O27" s="129"/>
      <c r="U27" s="116"/>
    </row>
    <row r="28" spans="1:28">
      <c r="B28" s="114" t="s">
        <v>541</v>
      </c>
      <c r="C28" s="113" t="str">
        <f>"7000 Standard"</f>
        <v>7000 Standard</v>
      </c>
      <c r="D28" s="113" t="s">
        <v>488</v>
      </c>
      <c r="F28" s="116">
        <f t="shared" ref="F28:F46" si="6">G28/(1-$M$4)</f>
        <v>16918.189999999999</v>
      </c>
      <c r="G28" s="116">
        <f>SUM(I28:Q28)</f>
        <v>8459.0949999999993</v>
      </c>
      <c r="H28" s="124">
        <f t="shared" ref="H28:H46" si="7">G28/(1-$R$4)*2</f>
        <v>28196.983333333334</v>
      </c>
      <c r="I28" s="116">
        <f>G148</f>
        <v>1071.595</v>
      </c>
      <c r="J28" s="116">
        <f>G160</f>
        <v>6461.05</v>
      </c>
      <c r="K28" s="116">
        <v>0</v>
      </c>
      <c r="L28" s="116">
        <v>0</v>
      </c>
      <c r="M28" s="116">
        <f>$G$188</f>
        <v>744.63</v>
      </c>
      <c r="N28" s="116">
        <f>$G$189</f>
        <v>87.91</v>
      </c>
      <c r="O28" s="116">
        <f>$G$190</f>
        <v>60.27</v>
      </c>
      <c r="P28" s="116">
        <f>$G$191</f>
        <v>33.64</v>
      </c>
      <c r="Q28" s="116">
        <v>0</v>
      </c>
      <c r="U28" s="116"/>
      <c r="V28" s="126"/>
      <c r="W28" s="126"/>
      <c r="X28" s="126"/>
      <c r="Y28" s="126"/>
      <c r="Z28" s="126"/>
      <c r="AA28" s="126"/>
      <c r="AB28" s="126"/>
    </row>
    <row r="29" spans="1:28">
      <c r="B29" s="114" t="s">
        <v>542</v>
      </c>
      <c r="C29" s="113" t="s">
        <v>543</v>
      </c>
      <c r="D29" s="113" t="s">
        <v>488</v>
      </c>
      <c r="F29" s="116">
        <f>G29/(1-$M$4)</f>
        <v>18316.849999999999</v>
      </c>
      <c r="G29" s="116">
        <f>SUM(I29:Q29)</f>
        <v>9158.4249999999993</v>
      </c>
      <c r="H29" s="124">
        <f>G29/(1-$R$4)*2</f>
        <v>30528.083333333332</v>
      </c>
      <c r="I29" s="116">
        <f>G149</f>
        <v>1859.51</v>
      </c>
      <c r="J29" s="116">
        <f>G161</f>
        <v>6372.4650000000001</v>
      </c>
      <c r="K29" s="116">
        <v>0</v>
      </c>
      <c r="L29" s="116">
        <v>0</v>
      </c>
      <c r="M29" s="116">
        <f>$G$188</f>
        <v>744.63</v>
      </c>
      <c r="N29" s="116">
        <f>$G$189</f>
        <v>87.91</v>
      </c>
      <c r="O29" s="116">
        <f>$G$190</f>
        <v>60.27</v>
      </c>
      <c r="P29" s="116">
        <f>$G$191</f>
        <v>33.64</v>
      </c>
      <c r="Q29" s="116">
        <v>0</v>
      </c>
      <c r="U29" s="116"/>
      <c r="V29" s="126"/>
      <c r="W29" s="126"/>
      <c r="X29" s="126"/>
      <c r="Y29" s="126"/>
      <c r="Z29" s="126"/>
      <c r="AA29" s="126"/>
      <c r="AB29" s="126"/>
    </row>
    <row r="30" spans="1:28">
      <c r="B30" s="114" t="s">
        <v>544</v>
      </c>
      <c r="C30" s="113" t="str">
        <f>"8000 Standard"</f>
        <v>8000 Standard</v>
      </c>
      <c r="D30" s="113" t="s">
        <v>488</v>
      </c>
      <c r="F30" s="116">
        <f t="shared" si="6"/>
        <v>18041.849999999999</v>
      </c>
      <c r="G30" s="116">
        <f>SUM(I30:Q30)</f>
        <v>9020.9249999999993</v>
      </c>
      <c r="H30" s="124">
        <f t="shared" si="7"/>
        <v>30069.75</v>
      </c>
      <c r="I30" s="116">
        <f>G148</f>
        <v>1071.595</v>
      </c>
      <c r="J30" s="116">
        <f>G155</f>
        <v>7022.88</v>
      </c>
      <c r="K30" s="116">
        <v>0</v>
      </c>
      <c r="L30" s="116">
        <v>0</v>
      </c>
      <c r="M30" s="116">
        <f>$G$188</f>
        <v>744.63</v>
      </c>
      <c r="N30" s="116">
        <f>$G$189</f>
        <v>87.91</v>
      </c>
      <c r="O30" s="116">
        <f>$G$190</f>
        <v>60.27</v>
      </c>
      <c r="P30" s="116">
        <f>$G$191</f>
        <v>33.64</v>
      </c>
      <c r="Q30" s="116">
        <v>0</v>
      </c>
      <c r="U30" s="116"/>
      <c r="V30" s="126"/>
      <c r="W30" s="126"/>
      <c r="X30" s="126"/>
      <c r="Y30" s="126"/>
      <c r="Z30" s="126"/>
      <c r="AA30" s="126"/>
      <c r="AB30" s="126"/>
    </row>
    <row r="31" spans="1:28">
      <c r="B31" s="114" t="s">
        <v>545</v>
      </c>
      <c r="C31" s="113" t="s">
        <v>546</v>
      </c>
      <c r="D31" s="113" t="s">
        <v>488</v>
      </c>
      <c r="F31" s="116">
        <f t="shared" si="6"/>
        <v>19425.109999999997</v>
      </c>
      <c r="G31" s="116">
        <f t="shared" ref="G31:G46" si="8">SUM(I31:Q31)</f>
        <v>9712.5549999999985</v>
      </c>
      <c r="H31" s="124">
        <f t="shared" si="7"/>
        <v>32375.183333333331</v>
      </c>
      <c r="I31" s="116">
        <f>G149</f>
        <v>1859.51</v>
      </c>
      <c r="J31" s="116">
        <f>G156</f>
        <v>6926.5950000000003</v>
      </c>
      <c r="K31" s="116">
        <v>0</v>
      </c>
      <c r="L31" s="116">
        <v>0</v>
      </c>
      <c r="M31" s="116">
        <f>$G$188</f>
        <v>744.63</v>
      </c>
      <c r="N31" s="116">
        <f>$G$189</f>
        <v>87.91</v>
      </c>
      <c r="O31" s="116">
        <f>$G$190</f>
        <v>60.27</v>
      </c>
      <c r="P31" s="116">
        <f>$G$191</f>
        <v>33.64</v>
      </c>
      <c r="Q31" s="116">
        <v>0</v>
      </c>
      <c r="U31" s="116"/>
      <c r="V31" s="126"/>
      <c r="W31" s="126"/>
      <c r="X31" s="126"/>
      <c r="Y31" s="126"/>
      <c r="Z31" s="126"/>
      <c r="AA31" s="126"/>
      <c r="AB31" s="126"/>
    </row>
    <row r="32" spans="1:28">
      <c r="B32" s="114" t="s">
        <v>547</v>
      </c>
      <c r="C32" s="113" t="s">
        <v>548</v>
      </c>
      <c r="D32" s="113" t="s">
        <v>506</v>
      </c>
      <c r="F32" s="116">
        <f t="shared" si="6"/>
        <v>8150.369999999999</v>
      </c>
      <c r="G32" s="116">
        <f t="shared" si="8"/>
        <v>4075.1849999999995</v>
      </c>
      <c r="H32" s="124">
        <f t="shared" si="7"/>
        <v>13583.949999999999</v>
      </c>
      <c r="I32" s="116">
        <f>G150</f>
        <v>1850.2349999999999</v>
      </c>
      <c r="J32" s="116">
        <f>G210</f>
        <v>2195.9549999999999</v>
      </c>
      <c r="K32" s="116">
        <v>0</v>
      </c>
      <c r="L32" s="116">
        <v>0</v>
      </c>
      <c r="M32" s="116">
        <v>0</v>
      </c>
      <c r="N32" s="116">
        <v>0</v>
      </c>
      <c r="O32" s="116">
        <v>0</v>
      </c>
      <c r="P32" s="116">
        <v>0</v>
      </c>
      <c r="Q32" s="116">
        <f>G211</f>
        <v>28.995000000000001</v>
      </c>
      <c r="U32" s="116"/>
      <c r="V32" s="126"/>
      <c r="W32" s="126"/>
      <c r="X32" s="126"/>
      <c r="Y32" s="126"/>
      <c r="Z32" s="126"/>
      <c r="AA32" s="126"/>
      <c r="AB32" s="126"/>
    </row>
    <row r="33" spans="2:28">
      <c r="B33" s="114" t="s">
        <v>549</v>
      </c>
      <c r="C33" s="113" t="s">
        <v>535</v>
      </c>
      <c r="D33" s="113" t="s">
        <v>508</v>
      </c>
      <c r="F33" s="160">
        <f>G33</f>
        <v>6449.6</v>
      </c>
      <c r="G33" s="160">
        <f>SUM(I33:Q33)</f>
        <v>6449.6</v>
      </c>
      <c r="H33" s="161">
        <f>G33/(1-$R$4)*2</f>
        <v>21498.666666666668</v>
      </c>
      <c r="I33" s="160">
        <v>0</v>
      </c>
      <c r="J33" s="160">
        <v>0</v>
      </c>
      <c r="K33" s="116">
        <v>0</v>
      </c>
      <c r="L33" s="116">
        <f>G214</f>
        <v>6449.6</v>
      </c>
      <c r="M33" s="116">
        <v>0</v>
      </c>
      <c r="N33" s="116">
        <v>0</v>
      </c>
      <c r="O33" s="116">
        <v>0</v>
      </c>
      <c r="P33" s="116">
        <v>0</v>
      </c>
      <c r="Q33" s="116">
        <v>0</v>
      </c>
      <c r="U33" s="116"/>
      <c r="V33" s="126"/>
      <c r="W33" s="126"/>
      <c r="X33" s="126"/>
      <c r="Y33" s="126"/>
      <c r="Z33" s="126"/>
      <c r="AA33" s="126"/>
      <c r="AB33" s="126"/>
    </row>
    <row r="34" spans="2:28">
      <c r="F34" s="159"/>
      <c r="H34" s="124"/>
      <c r="U34" s="116"/>
      <c r="V34" s="126"/>
      <c r="W34" s="126"/>
      <c r="X34" s="126"/>
      <c r="Y34" s="126"/>
      <c r="Z34" s="126"/>
      <c r="AA34" s="126"/>
      <c r="AB34" s="126"/>
    </row>
    <row r="35" spans="2:28">
      <c r="C35" s="130" t="s">
        <v>550</v>
      </c>
      <c r="F35" s="116">
        <f t="shared" ref="F35:F37" si="9">G35/(1-$M$4)</f>
        <v>0</v>
      </c>
      <c r="G35" s="116">
        <f t="shared" ref="G35:G37" si="10">SUM(I35:Q35)</f>
        <v>0</v>
      </c>
      <c r="H35" s="124">
        <f t="shared" ref="H35:H37" si="11">G35/(1-$R$4)*2</f>
        <v>0</v>
      </c>
      <c r="U35" s="116"/>
      <c r="V35" s="126"/>
      <c r="W35" s="126"/>
      <c r="X35" s="126"/>
      <c r="Y35" s="126"/>
      <c r="Z35" s="126"/>
      <c r="AA35" s="126"/>
      <c r="AB35" s="126"/>
    </row>
    <row r="36" spans="2:28">
      <c r="B36" s="114" t="s">
        <v>551</v>
      </c>
      <c r="C36" s="113" t="s">
        <v>552</v>
      </c>
      <c r="D36" s="113" t="s">
        <v>488</v>
      </c>
      <c r="F36" s="116">
        <f t="shared" si="9"/>
        <v>10337.15</v>
      </c>
      <c r="G36" s="116">
        <f t="shared" si="10"/>
        <v>5168.5749999999998</v>
      </c>
      <c r="H36" s="124">
        <f t="shared" si="11"/>
        <v>17228.583333333332</v>
      </c>
      <c r="I36" s="116">
        <f>G148</f>
        <v>1071.595</v>
      </c>
      <c r="J36" s="116">
        <f>G168</f>
        <v>4096.9799999999996</v>
      </c>
      <c r="U36" s="116"/>
      <c r="V36" s="126"/>
      <c r="W36" s="126"/>
      <c r="X36" s="126"/>
      <c r="Y36" s="126"/>
      <c r="Z36" s="126"/>
      <c r="AA36" s="126"/>
      <c r="AB36" s="126"/>
    </row>
    <row r="37" spans="2:28">
      <c r="B37" s="114" t="s">
        <v>553</v>
      </c>
      <c r="C37" s="113" t="s">
        <v>554</v>
      </c>
      <c r="D37" s="113" t="s">
        <v>488</v>
      </c>
      <c r="F37" s="116">
        <f t="shared" si="9"/>
        <v>11735.81</v>
      </c>
      <c r="G37" s="116">
        <f t="shared" si="10"/>
        <v>5867.9049999999997</v>
      </c>
      <c r="H37" s="124">
        <f t="shared" si="11"/>
        <v>19559.683333333334</v>
      </c>
      <c r="I37" s="116">
        <f>G149</f>
        <v>1859.51</v>
      </c>
      <c r="J37" s="116">
        <f>G169</f>
        <v>4008.395</v>
      </c>
      <c r="U37" s="116"/>
      <c r="V37" s="126"/>
      <c r="W37" s="126"/>
      <c r="X37" s="126"/>
      <c r="Y37" s="126"/>
      <c r="Z37" s="126"/>
      <c r="AA37" s="126"/>
      <c r="AB37" s="126"/>
    </row>
    <row r="38" spans="2:28">
      <c r="B38" s="114" t="s">
        <v>555</v>
      </c>
      <c r="C38" s="113" t="s">
        <v>556</v>
      </c>
      <c r="D38" s="113" t="s">
        <v>488</v>
      </c>
      <c r="F38" s="116">
        <f t="shared" si="6"/>
        <v>10726.830000000002</v>
      </c>
      <c r="G38" s="116">
        <f t="shared" si="8"/>
        <v>5363.4150000000009</v>
      </c>
      <c r="H38" s="124">
        <f t="shared" si="7"/>
        <v>17878.050000000003</v>
      </c>
      <c r="I38" s="116">
        <f>G146</f>
        <v>561.44500000000005</v>
      </c>
      <c r="J38" s="131">
        <f>G166</f>
        <v>3875.52</v>
      </c>
      <c r="K38" s="116">
        <v>0</v>
      </c>
      <c r="L38" s="116">
        <v>0</v>
      </c>
      <c r="M38" s="116">
        <f t="shared" ref="M38:M43" si="12">$G$188</f>
        <v>744.63</v>
      </c>
      <c r="N38" s="116">
        <f t="shared" ref="N38:N43" si="13">$G$189</f>
        <v>87.91</v>
      </c>
      <c r="O38" s="116">
        <f t="shared" ref="O38:O43" si="14">$G$190</f>
        <v>60.27</v>
      </c>
      <c r="P38" s="116">
        <f t="shared" ref="P38:P43" si="15">$G$191</f>
        <v>33.64</v>
      </c>
      <c r="Q38" s="116">
        <v>0</v>
      </c>
      <c r="U38" s="116"/>
      <c r="V38" s="126"/>
      <c r="W38" s="126"/>
      <c r="X38" s="126"/>
      <c r="Y38" s="126"/>
      <c r="Z38" s="126"/>
      <c r="AA38" s="126"/>
      <c r="AB38" s="126"/>
    </row>
    <row r="39" spans="2:28">
      <c r="B39" s="114" t="s">
        <v>557</v>
      </c>
      <c r="C39" s="113" t="s">
        <v>558</v>
      </c>
      <c r="D39" s="113" t="s">
        <v>488</v>
      </c>
      <c r="F39" s="116">
        <f t="shared" si="6"/>
        <v>11633.12</v>
      </c>
      <c r="G39" s="116">
        <f t="shared" si="8"/>
        <v>5816.56</v>
      </c>
      <c r="H39" s="124">
        <f t="shared" si="7"/>
        <v>19388.533333333336</v>
      </c>
      <c r="I39" s="116">
        <f>G147</f>
        <v>1103.18</v>
      </c>
      <c r="J39" s="131">
        <f>G167</f>
        <v>3786.93</v>
      </c>
      <c r="K39" s="116">
        <v>0</v>
      </c>
      <c r="L39" s="116">
        <v>0</v>
      </c>
      <c r="M39" s="116">
        <f t="shared" si="12"/>
        <v>744.63</v>
      </c>
      <c r="N39" s="116">
        <f t="shared" si="13"/>
        <v>87.91</v>
      </c>
      <c r="O39" s="116">
        <f t="shared" si="14"/>
        <v>60.27</v>
      </c>
      <c r="P39" s="116">
        <f t="shared" si="15"/>
        <v>33.64</v>
      </c>
      <c r="Q39" s="116">
        <v>0</v>
      </c>
      <c r="U39" s="116"/>
      <c r="V39" s="126"/>
      <c r="W39" s="126"/>
      <c r="X39" s="126"/>
      <c r="Y39" s="126"/>
      <c r="Z39" s="126"/>
      <c r="AA39" s="126"/>
      <c r="AB39" s="126"/>
    </row>
    <row r="40" spans="2:28">
      <c r="B40" s="114" t="s">
        <v>559</v>
      </c>
      <c r="C40" s="113" t="s">
        <v>560</v>
      </c>
      <c r="D40" s="113" t="s">
        <v>488</v>
      </c>
      <c r="F40" s="116">
        <f>G40/(1-$M$4)</f>
        <v>15468.27</v>
      </c>
      <c r="G40" s="116">
        <f t="shared" ref="G40:G41" si="16">SUM(I40:Q40)</f>
        <v>7734.1350000000002</v>
      </c>
      <c r="H40" s="124">
        <f>G40/(1-$R$4)*2</f>
        <v>25780.45</v>
      </c>
      <c r="I40" s="116">
        <f>G146</f>
        <v>561.44500000000005</v>
      </c>
      <c r="J40" s="131">
        <f>G162</f>
        <v>6246.24</v>
      </c>
      <c r="K40" s="116">
        <v>0</v>
      </c>
      <c r="L40" s="116">
        <v>0</v>
      </c>
      <c r="M40" s="116">
        <f t="shared" si="12"/>
        <v>744.63</v>
      </c>
      <c r="N40" s="116">
        <f t="shared" si="13"/>
        <v>87.91</v>
      </c>
      <c r="O40" s="116">
        <f t="shared" si="14"/>
        <v>60.27</v>
      </c>
      <c r="P40" s="116">
        <f t="shared" si="15"/>
        <v>33.64</v>
      </c>
      <c r="Q40" s="116">
        <v>0</v>
      </c>
      <c r="U40" s="116"/>
      <c r="V40" s="126"/>
      <c r="W40" s="126"/>
      <c r="X40" s="126"/>
      <c r="Y40" s="126"/>
      <c r="Z40" s="126"/>
      <c r="AA40" s="126"/>
      <c r="AB40" s="126"/>
    </row>
    <row r="41" spans="2:28">
      <c r="B41" s="114" t="s">
        <v>561</v>
      </c>
      <c r="C41" s="113" t="s">
        <v>562</v>
      </c>
      <c r="D41" s="113" t="s">
        <v>488</v>
      </c>
      <c r="F41" s="116">
        <f t="shared" ref="F41" si="17">G41/(1-$M$4)</f>
        <v>16372.350000000002</v>
      </c>
      <c r="G41" s="116">
        <f t="shared" si="16"/>
        <v>8186.1750000000011</v>
      </c>
      <c r="H41" s="124">
        <f t="shared" ref="H41" si="18">G41/(1-$R$4)*2</f>
        <v>27287.250000000004</v>
      </c>
      <c r="I41" s="116">
        <f>G147</f>
        <v>1103.18</v>
      </c>
      <c r="J41" s="131">
        <f>G163</f>
        <v>6156.5450000000001</v>
      </c>
      <c r="K41" s="116">
        <v>0</v>
      </c>
      <c r="L41" s="116">
        <v>0</v>
      </c>
      <c r="M41" s="116">
        <f t="shared" si="12"/>
        <v>744.63</v>
      </c>
      <c r="N41" s="116">
        <f t="shared" si="13"/>
        <v>87.91</v>
      </c>
      <c r="O41" s="116">
        <f t="shared" si="14"/>
        <v>60.27</v>
      </c>
      <c r="P41" s="116">
        <f t="shared" si="15"/>
        <v>33.64</v>
      </c>
      <c r="Q41" s="116">
        <v>0</v>
      </c>
      <c r="U41" s="116"/>
      <c r="V41" s="126"/>
      <c r="W41" s="126"/>
      <c r="X41" s="126"/>
      <c r="Y41" s="126"/>
      <c r="Z41" s="126"/>
      <c r="AA41" s="126"/>
      <c r="AB41" s="126"/>
    </row>
    <row r="42" spans="2:28">
      <c r="B42" s="114" t="s">
        <v>563</v>
      </c>
      <c r="C42" s="113" t="s">
        <v>564</v>
      </c>
      <c r="D42" s="113" t="s">
        <v>488</v>
      </c>
      <c r="F42" s="116">
        <f>G42/(1-$M$4)</f>
        <v>16554.57</v>
      </c>
      <c r="G42" s="116">
        <f t="shared" si="8"/>
        <v>8277.2849999999999</v>
      </c>
      <c r="H42" s="124">
        <f>G42/(1-$R$4)*2</f>
        <v>27590.95</v>
      </c>
      <c r="I42" s="116">
        <f>G146</f>
        <v>561.44500000000005</v>
      </c>
      <c r="J42" s="131">
        <f>G153</f>
        <v>6789.39</v>
      </c>
      <c r="K42" s="116">
        <v>0</v>
      </c>
      <c r="L42" s="116">
        <v>0</v>
      </c>
      <c r="M42" s="116">
        <f t="shared" si="12"/>
        <v>744.63</v>
      </c>
      <c r="N42" s="116">
        <f t="shared" si="13"/>
        <v>87.91</v>
      </c>
      <c r="O42" s="116">
        <f t="shared" si="14"/>
        <v>60.27</v>
      </c>
      <c r="P42" s="116">
        <f t="shared" si="15"/>
        <v>33.64</v>
      </c>
      <c r="Q42" s="116">
        <v>0</v>
      </c>
      <c r="U42" s="116"/>
      <c r="V42" s="126"/>
      <c r="W42" s="126"/>
      <c r="X42" s="126"/>
      <c r="Y42" s="126"/>
      <c r="Z42" s="126"/>
      <c r="AA42" s="126"/>
      <c r="AB42" s="126"/>
    </row>
    <row r="43" spans="2:28">
      <c r="B43" s="114" t="s">
        <v>565</v>
      </c>
      <c r="C43" s="113" t="s">
        <v>566</v>
      </c>
      <c r="D43" s="113" t="s">
        <v>488</v>
      </c>
      <c r="F43" s="116">
        <f t="shared" si="6"/>
        <v>17443.059999999998</v>
      </c>
      <c r="G43" s="116">
        <f t="shared" si="8"/>
        <v>8721.5299999999988</v>
      </c>
      <c r="H43" s="124">
        <f t="shared" si="7"/>
        <v>29071.766666666663</v>
      </c>
      <c r="I43" s="116">
        <f>G147</f>
        <v>1103.18</v>
      </c>
      <c r="J43" s="131">
        <f>G154</f>
        <v>6691.9</v>
      </c>
      <c r="K43" s="116">
        <v>0</v>
      </c>
      <c r="L43" s="116">
        <v>0</v>
      </c>
      <c r="M43" s="116">
        <f t="shared" si="12"/>
        <v>744.63</v>
      </c>
      <c r="N43" s="116">
        <f t="shared" si="13"/>
        <v>87.91</v>
      </c>
      <c r="O43" s="116">
        <f t="shared" si="14"/>
        <v>60.27</v>
      </c>
      <c r="P43" s="116">
        <f t="shared" si="15"/>
        <v>33.64</v>
      </c>
      <c r="Q43" s="116">
        <v>0</v>
      </c>
      <c r="U43" s="116"/>
      <c r="V43" s="126"/>
      <c r="W43" s="126"/>
      <c r="X43" s="126"/>
      <c r="Y43" s="126"/>
      <c r="Z43" s="126"/>
      <c r="AA43" s="126"/>
      <c r="AB43" s="126"/>
    </row>
    <row r="44" spans="2:28">
      <c r="B44" s="114" t="s">
        <v>567</v>
      </c>
      <c r="C44" s="113" t="str">
        <f>"UPGRADE - SPECIAL PRICING"</f>
        <v>UPGRADE - SPECIAL PRICING</v>
      </c>
      <c r="D44" s="113" t="s">
        <v>488</v>
      </c>
      <c r="F44" s="116">
        <f t="shared" ref="F44" si="19">G44/(1-$M$4)</f>
        <v>15000</v>
      </c>
      <c r="G44" s="116">
        <f t="shared" si="8"/>
        <v>7500</v>
      </c>
      <c r="H44" s="124">
        <f t="shared" ref="H44" si="20">G44/(1-$R$4)*2</f>
        <v>25000</v>
      </c>
      <c r="I44" s="116">
        <v>0</v>
      </c>
      <c r="J44" s="116">
        <f>G159</f>
        <v>7500</v>
      </c>
      <c r="K44" s="116">
        <v>0</v>
      </c>
      <c r="L44" s="116">
        <v>0</v>
      </c>
      <c r="M44" s="116">
        <v>0</v>
      </c>
      <c r="N44" s="116">
        <v>0</v>
      </c>
      <c r="O44" s="116">
        <v>0</v>
      </c>
      <c r="P44" s="116">
        <v>0</v>
      </c>
      <c r="Q44" s="116">
        <v>0</v>
      </c>
      <c r="U44" s="116"/>
      <c r="V44" s="126"/>
      <c r="W44" s="126"/>
      <c r="X44" s="126"/>
      <c r="Y44" s="126"/>
      <c r="Z44" s="126"/>
      <c r="AA44" s="126"/>
      <c r="AB44" s="126"/>
    </row>
    <row r="45" spans="2:28">
      <c r="B45" s="114" t="s">
        <v>568</v>
      </c>
      <c r="C45" s="113" t="s">
        <v>569</v>
      </c>
      <c r="F45" s="116">
        <f t="shared" si="6"/>
        <v>6750</v>
      </c>
      <c r="G45" s="116">
        <f t="shared" si="8"/>
        <v>3375</v>
      </c>
      <c r="H45" s="124">
        <f t="shared" si="7"/>
        <v>11250</v>
      </c>
      <c r="I45" s="116">
        <v>0</v>
      </c>
      <c r="J45" s="116">
        <f>G217</f>
        <v>3375</v>
      </c>
      <c r="K45" s="116">
        <v>0</v>
      </c>
      <c r="L45" s="116">
        <v>0</v>
      </c>
      <c r="M45" s="116">
        <v>0</v>
      </c>
      <c r="N45" s="116">
        <v>0</v>
      </c>
      <c r="O45" s="116">
        <v>0</v>
      </c>
      <c r="P45" s="116">
        <v>0</v>
      </c>
      <c r="Q45" s="116">
        <v>0</v>
      </c>
      <c r="U45" s="116"/>
      <c r="V45" s="126"/>
      <c r="W45" s="126"/>
      <c r="X45" s="126"/>
      <c r="Y45" s="126"/>
      <c r="Z45" s="126"/>
      <c r="AA45" s="126"/>
      <c r="AB45" s="126"/>
    </row>
    <row r="46" spans="2:28">
      <c r="B46" s="114" t="s">
        <v>570</v>
      </c>
      <c r="C46" s="113" t="s">
        <v>571</v>
      </c>
      <c r="F46" s="116">
        <f t="shared" si="6"/>
        <v>6059.35</v>
      </c>
      <c r="G46" s="116">
        <f t="shared" si="8"/>
        <v>3029.6750000000002</v>
      </c>
      <c r="H46" s="124">
        <f t="shared" si="7"/>
        <v>10098.916666666668</v>
      </c>
      <c r="I46" s="116">
        <v>0</v>
      </c>
      <c r="J46" s="116">
        <f>G172</f>
        <v>3029.6750000000002</v>
      </c>
      <c r="K46" s="116">
        <v>0</v>
      </c>
      <c r="L46" s="116">
        <v>0</v>
      </c>
      <c r="M46" s="116">
        <v>0</v>
      </c>
      <c r="N46" s="116">
        <v>0</v>
      </c>
      <c r="O46" s="116">
        <v>0</v>
      </c>
      <c r="P46" s="116">
        <v>0</v>
      </c>
      <c r="Q46" s="116">
        <v>0</v>
      </c>
      <c r="U46" s="116"/>
      <c r="V46" s="126"/>
      <c r="W46" s="126"/>
      <c r="X46" s="126"/>
      <c r="Y46" s="126"/>
      <c r="Z46" s="126"/>
      <c r="AA46" s="126"/>
      <c r="AB46" s="126"/>
    </row>
    <row r="47" spans="2:28">
      <c r="U47" s="126"/>
      <c r="V47" s="126"/>
      <c r="W47" s="126"/>
      <c r="X47" s="126"/>
      <c r="Y47" s="126"/>
      <c r="Z47" s="126"/>
      <c r="AA47" s="126"/>
    </row>
    <row r="48" spans="2:28">
      <c r="B48" s="118"/>
      <c r="C48" s="119" t="s">
        <v>572</v>
      </c>
      <c r="D48" s="132"/>
      <c r="F48" s="120" t="s">
        <v>479</v>
      </c>
      <c r="G48" s="120" t="s">
        <v>530</v>
      </c>
      <c r="H48" s="120" t="s">
        <v>531</v>
      </c>
      <c r="T48" s="126"/>
      <c r="U48" s="126"/>
      <c r="V48" s="126"/>
      <c r="W48" s="126"/>
      <c r="X48" s="126"/>
      <c r="Y48" s="126"/>
    </row>
    <row r="49" spans="2:26" hidden="1">
      <c r="B49" s="118"/>
      <c r="C49" s="119"/>
      <c r="D49" s="122"/>
      <c r="E49" s="122"/>
      <c r="F49" s="122"/>
      <c r="G49" s="120"/>
      <c r="H49" s="120"/>
      <c r="I49" s="120"/>
      <c r="J49" s="120"/>
      <c r="K49" s="120"/>
      <c r="L49" s="120"/>
      <c r="M49" s="120"/>
      <c r="N49" s="120"/>
      <c r="S49" s="113"/>
      <c r="T49" s="113"/>
    </row>
    <row r="50" spans="2:26">
      <c r="B50" s="114" t="s">
        <v>573</v>
      </c>
      <c r="C50" s="133" t="s">
        <v>574</v>
      </c>
      <c r="D50" s="132"/>
      <c r="F50" s="116">
        <f t="shared" ref="F50:F59" si="21">G50/(1-$M$4)</f>
        <v>0</v>
      </c>
      <c r="G50" s="116">
        <f>SUM(I50:O50)</f>
        <v>0</v>
      </c>
      <c r="H50" s="124">
        <f t="shared" ref="H50:H59" si="22">G50/(1-$R$4)*2</f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  <c r="O50" s="116">
        <v>0</v>
      </c>
      <c r="T50" s="126"/>
      <c r="U50" s="126"/>
      <c r="V50" s="126"/>
      <c r="W50" s="126"/>
      <c r="X50" s="126"/>
      <c r="Y50" s="126"/>
    </row>
    <row r="51" spans="2:26">
      <c r="B51" s="114" t="s">
        <v>575</v>
      </c>
      <c r="C51" s="133" t="s">
        <v>368</v>
      </c>
      <c r="D51" s="132"/>
      <c r="F51" s="116">
        <f t="shared" si="21"/>
        <v>0</v>
      </c>
      <c r="G51" s="116">
        <f t="shared" ref="G51:G59" si="23">SUM(I51:O51)</f>
        <v>0</v>
      </c>
      <c r="H51" s="124">
        <f t="shared" si="22"/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  <c r="O51" s="116">
        <v>0</v>
      </c>
      <c r="T51" s="126"/>
      <c r="U51" s="126"/>
      <c r="V51" s="126"/>
      <c r="W51" s="126"/>
      <c r="X51" s="126"/>
      <c r="Y51" s="126"/>
    </row>
    <row r="52" spans="2:26">
      <c r="B52" s="114" t="s">
        <v>576</v>
      </c>
      <c r="C52" s="133" t="s">
        <v>577</v>
      </c>
      <c r="D52" s="132"/>
      <c r="F52" s="116">
        <f t="shared" si="21"/>
        <v>0</v>
      </c>
      <c r="G52" s="116">
        <f t="shared" si="23"/>
        <v>0</v>
      </c>
      <c r="H52" s="124">
        <f t="shared" si="22"/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  <c r="O52" s="116">
        <v>0</v>
      </c>
      <c r="T52" s="126"/>
      <c r="U52" s="126"/>
      <c r="V52" s="126"/>
      <c r="W52" s="126"/>
      <c r="X52" s="126"/>
      <c r="Y52" s="126"/>
    </row>
    <row r="53" spans="2:26">
      <c r="B53" s="114" t="s">
        <v>578</v>
      </c>
      <c r="C53" s="133" t="s">
        <v>322</v>
      </c>
      <c r="D53" s="132"/>
      <c r="F53" s="116">
        <f t="shared" si="21"/>
        <v>0</v>
      </c>
      <c r="G53" s="116">
        <f t="shared" si="23"/>
        <v>0</v>
      </c>
      <c r="H53" s="124">
        <f t="shared" si="22"/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  <c r="O53" s="116">
        <v>0</v>
      </c>
      <c r="T53" s="126"/>
      <c r="U53" s="126"/>
      <c r="V53" s="126"/>
      <c r="W53" s="126"/>
      <c r="X53" s="126"/>
      <c r="Y53" s="126"/>
    </row>
    <row r="54" spans="2:26">
      <c r="B54" s="114" t="s">
        <v>579</v>
      </c>
      <c r="C54" s="133" t="s">
        <v>580</v>
      </c>
      <c r="D54" s="132"/>
      <c r="F54" s="116">
        <f t="shared" si="21"/>
        <v>0</v>
      </c>
      <c r="G54" s="116">
        <f t="shared" si="23"/>
        <v>0</v>
      </c>
      <c r="H54" s="124">
        <f t="shared" si="22"/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  <c r="O54" s="116">
        <v>0</v>
      </c>
      <c r="T54" s="126"/>
      <c r="U54" s="126"/>
      <c r="V54" s="126"/>
      <c r="W54" s="126"/>
      <c r="X54" s="126"/>
      <c r="Y54" s="126"/>
    </row>
    <row r="55" spans="2:26">
      <c r="B55" s="114" t="s">
        <v>581</v>
      </c>
      <c r="C55" s="133" t="s">
        <v>360</v>
      </c>
      <c r="D55" s="132"/>
      <c r="F55" s="116">
        <f t="shared" si="21"/>
        <v>0</v>
      </c>
      <c r="G55" s="116">
        <f t="shared" si="23"/>
        <v>0</v>
      </c>
      <c r="H55" s="124">
        <f t="shared" si="22"/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  <c r="O55" s="116">
        <v>0</v>
      </c>
      <c r="T55" s="126"/>
      <c r="U55" s="126"/>
      <c r="V55" s="126"/>
      <c r="W55" s="126"/>
      <c r="X55" s="126"/>
      <c r="Y55" s="126"/>
    </row>
    <row r="56" spans="2:26">
      <c r="B56" s="114" t="s">
        <v>582</v>
      </c>
      <c r="C56" s="133" t="s">
        <v>583</v>
      </c>
      <c r="D56" s="132"/>
      <c r="F56" s="116">
        <f t="shared" si="21"/>
        <v>0</v>
      </c>
      <c r="G56" s="116">
        <f t="shared" si="23"/>
        <v>0</v>
      </c>
      <c r="H56" s="124">
        <f t="shared" si="22"/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  <c r="O56" s="116">
        <v>0</v>
      </c>
      <c r="T56" s="126"/>
      <c r="U56" s="126"/>
      <c r="V56" s="126"/>
      <c r="W56" s="126"/>
      <c r="X56" s="126"/>
      <c r="Y56" s="126"/>
    </row>
    <row r="57" spans="2:26">
      <c r="B57" s="114" t="s">
        <v>584</v>
      </c>
      <c r="C57" s="133" t="s">
        <v>326</v>
      </c>
      <c r="D57" s="132"/>
      <c r="F57" s="116">
        <f t="shared" si="21"/>
        <v>0</v>
      </c>
      <c r="G57" s="116">
        <f t="shared" si="23"/>
        <v>0</v>
      </c>
      <c r="H57" s="124">
        <f t="shared" si="22"/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  <c r="O57" s="116">
        <v>0</v>
      </c>
      <c r="T57" s="126"/>
      <c r="U57" s="126"/>
      <c r="V57" s="126"/>
      <c r="W57" s="126"/>
      <c r="X57" s="126"/>
      <c r="Y57" s="126"/>
    </row>
    <row r="58" spans="2:26">
      <c r="B58" s="114" t="s">
        <v>585</v>
      </c>
      <c r="C58" s="133" t="s">
        <v>586</v>
      </c>
      <c r="F58" s="116">
        <f t="shared" ref="F58" si="24">G58/(1-$M$4)</f>
        <v>0</v>
      </c>
      <c r="G58" s="116">
        <f t="shared" ref="G58" si="25">SUM(I58:O58)</f>
        <v>0</v>
      </c>
      <c r="H58" s="124">
        <f t="shared" ref="H58" si="26">G58/(1-$R$4)*2</f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  <c r="T58" s="126"/>
      <c r="U58" s="126"/>
      <c r="V58" s="126"/>
      <c r="W58" s="126"/>
      <c r="X58" s="126"/>
      <c r="Y58" s="126"/>
      <c r="Z58" s="126"/>
    </row>
    <row r="59" spans="2:26">
      <c r="B59" s="114" t="s">
        <v>587</v>
      </c>
      <c r="C59" s="133" t="s">
        <v>588</v>
      </c>
      <c r="D59" s="132"/>
      <c r="F59" s="116">
        <f t="shared" si="21"/>
        <v>0</v>
      </c>
      <c r="G59" s="116">
        <f t="shared" si="23"/>
        <v>0</v>
      </c>
      <c r="H59" s="124">
        <f t="shared" si="22"/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  <c r="O59" s="116">
        <v>0</v>
      </c>
      <c r="T59" s="126"/>
      <c r="U59" s="126"/>
      <c r="V59" s="126"/>
      <c r="W59" s="126"/>
      <c r="X59" s="126"/>
      <c r="Y59" s="126"/>
    </row>
    <row r="60" spans="2:26">
      <c r="C60" s="134"/>
      <c r="T60" s="126"/>
      <c r="U60" s="126"/>
      <c r="V60" s="126"/>
      <c r="W60" s="126"/>
      <c r="X60" s="126"/>
      <c r="Y60" s="126"/>
      <c r="Z60" s="126"/>
    </row>
    <row r="61" spans="2:26">
      <c r="B61" s="118" t="s">
        <v>446</v>
      </c>
      <c r="C61" s="119" t="s">
        <v>589</v>
      </c>
      <c r="F61" s="120" t="s">
        <v>479</v>
      </c>
      <c r="G61" s="120" t="s">
        <v>530</v>
      </c>
      <c r="H61" s="120" t="s">
        <v>531</v>
      </c>
      <c r="I61" s="116" t="s">
        <v>590</v>
      </c>
      <c r="J61" s="116" t="s">
        <v>591</v>
      </c>
      <c r="K61" s="116" t="s">
        <v>589</v>
      </c>
      <c r="L61" s="116" t="s">
        <v>184</v>
      </c>
      <c r="M61" s="116" t="s">
        <v>592</v>
      </c>
      <c r="N61" s="116" t="s">
        <v>391</v>
      </c>
      <c r="O61" s="116" t="s">
        <v>310</v>
      </c>
      <c r="P61" s="116" t="s">
        <v>593</v>
      </c>
      <c r="S61" s="113"/>
      <c r="T61" s="113"/>
    </row>
    <row r="62" spans="2:26" hidden="1">
      <c r="B62" s="118"/>
      <c r="C62" s="119"/>
      <c r="D62" s="122"/>
      <c r="E62" s="122"/>
      <c r="F62" s="122"/>
      <c r="G62" s="120"/>
      <c r="H62" s="120"/>
      <c r="I62" s="120"/>
      <c r="J62" s="120"/>
      <c r="K62" s="120"/>
      <c r="L62" s="120"/>
      <c r="M62" s="120"/>
      <c r="N62" s="120"/>
      <c r="S62" s="113"/>
      <c r="T62" s="113"/>
    </row>
    <row r="63" spans="2:26">
      <c r="B63" s="135"/>
      <c r="C63" s="133" t="s">
        <v>594</v>
      </c>
      <c r="F63" s="116">
        <f t="shared" ref="F63:F71" si="27">G63/(1-$M$4)</f>
        <v>0</v>
      </c>
      <c r="G63" s="116">
        <f>SUM(I63:O63)</f>
        <v>0</v>
      </c>
      <c r="H63" s="124">
        <f t="shared" ref="H63:H71" si="28">G63/(1-$R$4)*2</f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  <c r="S63" s="113"/>
      <c r="T63" s="113"/>
    </row>
    <row r="64" spans="2:26">
      <c r="B64" s="114" t="s">
        <v>595</v>
      </c>
      <c r="C64" s="133" t="s">
        <v>596</v>
      </c>
      <c r="F64" s="116">
        <f t="shared" si="27"/>
        <v>0</v>
      </c>
      <c r="G64" s="116">
        <f t="shared" ref="G64" si="29">SUM(I64:O64)</f>
        <v>0</v>
      </c>
      <c r="H64" s="124">
        <f t="shared" si="28"/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  <c r="S64" s="113"/>
      <c r="T64" s="113"/>
    </row>
    <row r="65" spans="2:25">
      <c r="B65" s="114" t="s">
        <v>597</v>
      </c>
      <c r="C65" s="113" t="s">
        <v>598</v>
      </c>
      <c r="D65" s="132"/>
      <c r="F65" s="116">
        <f t="shared" si="27"/>
        <v>2995.37</v>
      </c>
      <c r="G65" s="116">
        <f>SUM(I65:P65)</f>
        <v>1497.6849999999999</v>
      </c>
      <c r="H65" s="124">
        <f t="shared" si="28"/>
        <v>4992.2833333333338</v>
      </c>
      <c r="I65" s="116">
        <v>0</v>
      </c>
      <c r="J65" s="116">
        <v>0</v>
      </c>
      <c r="K65" s="116">
        <f t="shared" ref="K65:K71" si="30">G194</f>
        <v>1302.6849999999999</v>
      </c>
      <c r="L65" s="116">
        <v>0</v>
      </c>
      <c r="M65" s="116">
        <v>0</v>
      </c>
      <c r="N65" s="116">
        <v>0</v>
      </c>
      <c r="O65" s="116">
        <v>0</v>
      </c>
      <c r="P65" s="116">
        <f t="shared" ref="P65:P71" si="31">$G$186</f>
        <v>195</v>
      </c>
      <c r="T65" s="126"/>
      <c r="U65" s="126"/>
      <c r="V65" s="126"/>
      <c r="W65" s="126"/>
      <c r="X65" s="126"/>
      <c r="Y65" s="126"/>
    </row>
    <row r="66" spans="2:25">
      <c r="B66" s="114" t="s">
        <v>599</v>
      </c>
      <c r="C66" s="113" t="s">
        <v>600</v>
      </c>
      <c r="D66" s="132"/>
      <c r="F66" s="116">
        <f t="shared" si="27"/>
        <v>1577.44</v>
      </c>
      <c r="G66" s="116">
        <f>SUM(I66:P66)</f>
        <v>788.72</v>
      </c>
      <c r="H66" s="124">
        <f t="shared" si="28"/>
        <v>2629.0666666666671</v>
      </c>
      <c r="I66" s="116">
        <v>0</v>
      </c>
      <c r="J66" s="116">
        <v>0</v>
      </c>
      <c r="K66" s="116">
        <f t="shared" si="30"/>
        <v>593.72</v>
      </c>
      <c r="L66" s="116">
        <v>0</v>
      </c>
      <c r="M66" s="116">
        <v>0</v>
      </c>
      <c r="N66" s="116">
        <v>0</v>
      </c>
      <c r="O66" s="116">
        <v>0</v>
      </c>
      <c r="P66" s="116">
        <f t="shared" si="31"/>
        <v>195</v>
      </c>
      <c r="S66" s="126"/>
      <c r="T66" s="126"/>
      <c r="U66" s="126"/>
      <c r="V66" s="126"/>
      <c r="W66" s="126"/>
      <c r="X66" s="126"/>
    </row>
    <row r="67" spans="2:25">
      <c r="B67" s="114" t="s">
        <v>601</v>
      </c>
      <c r="C67" s="113" t="s">
        <v>602</v>
      </c>
      <c r="D67" s="132"/>
      <c r="F67" s="116">
        <f t="shared" si="27"/>
        <v>2163.1</v>
      </c>
      <c r="G67" s="116">
        <f>SUM(I67:P67)</f>
        <v>1081.55</v>
      </c>
      <c r="H67" s="124">
        <f t="shared" si="28"/>
        <v>3605.1666666666665</v>
      </c>
      <c r="I67" s="116">
        <v>0</v>
      </c>
      <c r="J67" s="116">
        <v>0</v>
      </c>
      <c r="K67" s="116">
        <f t="shared" si="30"/>
        <v>886.55</v>
      </c>
      <c r="L67" s="116">
        <v>0</v>
      </c>
      <c r="M67" s="116">
        <v>0</v>
      </c>
      <c r="N67" s="116">
        <v>0</v>
      </c>
      <c r="O67" s="116">
        <v>0</v>
      </c>
      <c r="P67" s="116">
        <f t="shared" si="31"/>
        <v>195</v>
      </c>
      <c r="T67" s="126"/>
      <c r="U67" s="126"/>
      <c r="V67" s="126"/>
      <c r="W67" s="126"/>
      <c r="X67" s="126"/>
      <c r="Y67" s="126"/>
    </row>
    <row r="68" spans="2:25">
      <c r="B68" s="114" t="s">
        <v>603</v>
      </c>
      <c r="C68" s="113" t="s">
        <v>604</v>
      </c>
      <c r="D68" s="132"/>
      <c r="F68" s="116">
        <f t="shared" si="27"/>
        <v>3074.91</v>
      </c>
      <c r="G68" s="116">
        <f t="shared" ref="G68:G71" si="32">SUM(I68:P68)</f>
        <v>1537.4549999999999</v>
      </c>
      <c r="H68" s="124">
        <f t="shared" si="28"/>
        <v>5124.8500000000004</v>
      </c>
      <c r="I68" s="116">
        <v>0</v>
      </c>
      <c r="J68" s="116">
        <v>0</v>
      </c>
      <c r="K68" s="116">
        <f t="shared" si="30"/>
        <v>1342.4549999999999</v>
      </c>
      <c r="L68" s="116">
        <v>0</v>
      </c>
      <c r="M68" s="116">
        <v>0</v>
      </c>
      <c r="N68" s="116">
        <v>0</v>
      </c>
      <c r="O68" s="116">
        <v>0</v>
      </c>
      <c r="P68" s="116">
        <f t="shared" si="31"/>
        <v>195</v>
      </c>
      <c r="T68" s="126"/>
      <c r="U68" s="126"/>
      <c r="V68" s="126"/>
      <c r="W68" s="126"/>
      <c r="X68" s="126"/>
      <c r="Y68" s="126"/>
    </row>
    <row r="69" spans="2:25">
      <c r="B69" s="114" t="s">
        <v>605</v>
      </c>
      <c r="C69" s="113" t="s">
        <v>606</v>
      </c>
      <c r="D69" s="132"/>
      <c r="F69" s="116">
        <f t="shared" si="27"/>
        <v>2228.94</v>
      </c>
      <c r="G69" s="116">
        <f t="shared" si="32"/>
        <v>1114.47</v>
      </c>
      <c r="H69" s="124">
        <f t="shared" si="28"/>
        <v>3714.9</v>
      </c>
      <c r="I69" s="116">
        <v>0</v>
      </c>
      <c r="J69" s="116">
        <v>0</v>
      </c>
      <c r="K69" s="116">
        <f t="shared" si="30"/>
        <v>919.47</v>
      </c>
      <c r="L69" s="116">
        <v>0</v>
      </c>
      <c r="M69" s="116">
        <v>0</v>
      </c>
      <c r="N69" s="116">
        <v>0</v>
      </c>
      <c r="O69" s="116">
        <v>0</v>
      </c>
      <c r="P69" s="116">
        <f t="shared" si="31"/>
        <v>195</v>
      </c>
      <c r="T69" s="126"/>
      <c r="U69" s="126"/>
      <c r="V69" s="126"/>
      <c r="W69" s="126"/>
      <c r="X69" s="126"/>
      <c r="Y69" s="126"/>
    </row>
    <row r="70" spans="2:25">
      <c r="B70" s="114" t="s">
        <v>607</v>
      </c>
      <c r="C70" s="113" t="s">
        <v>608</v>
      </c>
      <c r="D70" s="132"/>
      <c r="F70" s="116">
        <f t="shared" si="27"/>
        <v>2971.34</v>
      </c>
      <c r="G70" s="116">
        <f t="shared" si="32"/>
        <v>1485.67</v>
      </c>
      <c r="H70" s="124">
        <f t="shared" si="28"/>
        <v>4952.2333333333336</v>
      </c>
      <c r="I70" s="116">
        <v>0</v>
      </c>
      <c r="J70" s="116">
        <v>0</v>
      </c>
      <c r="K70" s="116">
        <f t="shared" si="30"/>
        <v>1290.67</v>
      </c>
      <c r="L70" s="116">
        <v>0</v>
      </c>
      <c r="M70" s="116">
        <v>0</v>
      </c>
      <c r="N70" s="116">
        <v>0</v>
      </c>
      <c r="O70" s="116">
        <v>0</v>
      </c>
      <c r="P70" s="116">
        <f t="shared" si="31"/>
        <v>195</v>
      </c>
      <c r="T70" s="126"/>
      <c r="U70" s="126"/>
      <c r="V70" s="126"/>
      <c r="W70" s="126"/>
      <c r="X70" s="126"/>
      <c r="Y70" s="126"/>
    </row>
    <row r="71" spans="2:25">
      <c r="B71" s="114" t="s">
        <v>609</v>
      </c>
      <c r="C71" s="113" t="s">
        <v>610</v>
      </c>
      <c r="D71" s="132"/>
      <c r="F71" s="116">
        <f t="shared" si="27"/>
        <v>3803.26</v>
      </c>
      <c r="G71" s="116">
        <f t="shared" si="32"/>
        <v>1901.63</v>
      </c>
      <c r="H71" s="124">
        <f t="shared" si="28"/>
        <v>6338.7666666666673</v>
      </c>
      <c r="I71" s="116">
        <v>0</v>
      </c>
      <c r="J71" s="116">
        <v>0</v>
      </c>
      <c r="K71" s="116">
        <f t="shared" si="30"/>
        <v>1706.63</v>
      </c>
      <c r="L71" s="116">
        <v>0</v>
      </c>
      <c r="M71" s="116">
        <v>0</v>
      </c>
      <c r="N71" s="116">
        <v>0</v>
      </c>
      <c r="O71" s="116">
        <v>0</v>
      </c>
      <c r="P71" s="116">
        <f t="shared" si="31"/>
        <v>195</v>
      </c>
      <c r="T71" s="126"/>
      <c r="U71" s="126"/>
      <c r="V71" s="126"/>
      <c r="W71" s="126"/>
      <c r="X71" s="126"/>
      <c r="Y71" s="126"/>
    </row>
    <row r="72" spans="2:25">
      <c r="B72" s="136"/>
      <c r="D72" s="132"/>
      <c r="H72" s="124"/>
      <c r="T72" s="126"/>
      <c r="U72" s="126"/>
      <c r="V72" s="126"/>
      <c r="W72" s="126"/>
      <c r="X72" s="126"/>
      <c r="Y72" s="126"/>
    </row>
    <row r="73" spans="2:25">
      <c r="B73" s="118"/>
      <c r="C73" s="119" t="s">
        <v>611</v>
      </c>
      <c r="D73" s="132"/>
      <c r="F73" s="120" t="s">
        <v>479</v>
      </c>
      <c r="G73" s="120" t="s">
        <v>530</v>
      </c>
      <c r="H73" s="120" t="s">
        <v>531</v>
      </c>
      <c r="T73" s="126"/>
      <c r="U73" s="126"/>
      <c r="V73" s="126"/>
      <c r="W73" s="126"/>
      <c r="X73" s="126"/>
      <c r="Y73" s="126"/>
    </row>
    <row r="74" spans="2:25" hidden="1">
      <c r="B74" s="118"/>
      <c r="C74" s="119"/>
      <c r="D74" s="122"/>
      <c r="E74" s="122"/>
      <c r="F74" s="122"/>
      <c r="G74" s="120"/>
      <c r="H74" s="120"/>
      <c r="I74" s="120"/>
      <c r="J74" s="120"/>
      <c r="K74" s="120"/>
      <c r="L74" s="120"/>
      <c r="M74" s="120"/>
      <c r="N74" s="120"/>
      <c r="S74" s="113"/>
      <c r="T74" s="113"/>
    </row>
    <row r="75" spans="2:25">
      <c r="B75" s="135"/>
      <c r="C75" s="113" t="s">
        <v>612</v>
      </c>
      <c r="D75" s="132"/>
      <c r="F75" s="116">
        <f t="shared" ref="F75:F76" si="33">G75/(1-$M$4)</f>
        <v>0</v>
      </c>
      <c r="G75" s="116">
        <f>SUM(I75:O75)</f>
        <v>0</v>
      </c>
      <c r="H75" s="124">
        <f>G75/(1-$R$4)*2</f>
        <v>0</v>
      </c>
      <c r="I75" s="116">
        <v>0</v>
      </c>
      <c r="J75" s="116">
        <v>0</v>
      </c>
      <c r="K75" s="116">
        <v>0</v>
      </c>
      <c r="L75" s="116">
        <v>0</v>
      </c>
      <c r="M75" s="116">
        <v>0</v>
      </c>
      <c r="N75" s="116">
        <v>0</v>
      </c>
      <c r="O75" s="116">
        <v>0</v>
      </c>
      <c r="P75" s="116">
        <v>0</v>
      </c>
      <c r="T75" s="126"/>
      <c r="U75" s="126"/>
      <c r="V75" s="126"/>
      <c r="W75" s="126"/>
      <c r="X75" s="126"/>
      <c r="Y75" s="126"/>
    </row>
    <row r="76" spans="2:25">
      <c r="B76" s="114" t="s">
        <v>613</v>
      </c>
      <c r="C76" s="113" t="s">
        <v>614</v>
      </c>
      <c r="D76" s="132"/>
      <c r="F76" s="116">
        <f t="shared" si="33"/>
        <v>1705.22</v>
      </c>
      <c r="G76" s="116">
        <f>SUM(I76:O76)</f>
        <v>852.61</v>
      </c>
      <c r="H76" s="124">
        <f>G76/(1-$R$4)*2</f>
        <v>2842.0333333333333</v>
      </c>
      <c r="I76" s="116">
        <v>0</v>
      </c>
      <c r="J76" s="116">
        <v>0</v>
      </c>
      <c r="K76" s="116">
        <f>G220</f>
        <v>852.61</v>
      </c>
      <c r="L76" s="116">
        <v>0</v>
      </c>
      <c r="M76" s="116">
        <v>0</v>
      </c>
      <c r="N76" s="116">
        <v>0</v>
      </c>
      <c r="O76" s="116">
        <v>0</v>
      </c>
      <c r="P76" s="116">
        <v>0</v>
      </c>
      <c r="T76" s="126"/>
      <c r="U76" s="126"/>
      <c r="V76" s="126"/>
      <c r="W76" s="126"/>
      <c r="X76" s="126"/>
      <c r="Y76" s="126"/>
    </row>
    <row r="77" spans="2:25">
      <c r="B77" s="136"/>
      <c r="D77" s="132"/>
      <c r="H77" s="124"/>
      <c r="T77" s="126"/>
      <c r="U77" s="126"/>
      <c r="V77" s="126"/>
      <c r="W77" s="126"/>
      <c r="X77" s="126"/>
      <c r="Y77" s="126"/>
    </row>
    <row r="78" spans="2:25">
      <c r="B78" s="118"/>
      <c r="C78" s="119" t="s">
        <v>615</v>
      </c>
      <c r="D78" s="132"/>
      <c r="F78" s="120" t="s">
        <v>479</v>
      </c>
      <c r="G78" s="120" t="s">
        <v>530</v>
      </c>
      <c r="H78" s="120" t="s">
        <v>531</v>
      </c>
      <c r="K78" s="116" t="s">
        <v>616</v>
      </c>
      <c r="P78" s="116" t="s">
        <v>617</v>
      </c>
      <c r="T78" s="126"/>
      <c r="U78" s="126"/>
      <c r="V78" s="126"/>
      <c r="W78" s="126"/>
      <c r="X78" s="126"/>
      <c r="Y78" s="126"/>
    </row>
    <row r="79" spans="2:25" hidden="1">
      <c r="B79" s="118"/>
      <c r="C79" s="119"/>
      <c r="D79" s="122"/>
      <c r="E79" s="122"/>
      <c r="F79" s="122"/>
      <c r="G79" s="120"/>
      <c r="H79" s="120"/>
      <c r="I79" s="120"/>
      <c r="J79" s="120"/>
      <c r="K79" s="120"/>
      <c r="L79" s="120"/>
      <c r="M79" s="120"/>
      <c r="N79" s="120"/>
      <c r="S79" s="113"/>
      <c r="T79" s="113"/>
    </row>
    <row r="80" spans="2:25">
      <c r="B80" s="135"/>
      <c r="C80" s="133" t="s">
        <v>618</v>
      </c>
      <c r="D80" s="132"/>
      <c r="F80" s="116">
        <f>G80/(1-$N$4)</f>
        <v>0</v>
      </c>
      <c r="G80" s="116">
        <f>SUM(I80:Q80)</f>
        <v>0</v>
      </c>
      <c r="H80" s="124">
        <f>G80/(1-$R$4)*2</f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  <c r="O80" s="116">
        <v>0</v>
      </c>
      <c r="P80" s="116">
        <v>0</v>
      </c>
      <c r="T80" s="126"/>
      <c r="U80" s="126"/>
      <c r="V80" s="126"/>
      <c r="W80" s="126"/>
      <c r="X80" s="126"/>
      <c r="Y80" s="126"/>
    </row>
    <row r="81" spans="2:25">
      <c r="B81" s="114" t="s">
        <v>619</v>
      </c>
      <c r="C81" s="113" t="s">
        <v>620</v>
      </c>
      <c r="D81" s="132"/>
      <c r="F81" s="116">
        <f t="shared" ref="F81:F83" si="34">G81/(1-$N$4)</f>
        <v>2695.22</v>
      </c>
      <c r="G81" s="116">
        <f t="shared" ref="G81:G83" si="35">SUM(I81:Q81)</f>
        <v>1482.3710000000001</v>
      </c>
      <c r="H81" s="124">
        <f>G81/(1-$R$4)*2</f>
        <v>4941.2366666666676</v>
      </c>
      <c r="I81" s="116">
        <v>0</v>
      </c>
      <c r="J81" s="116">
        <v>0</v>
      </c>
      <c r="K81" s="116">
        <f>G203</f>
        <v>1435.1590000000001</v>
      </c>
      <c r="L81" s="116">
        <v>0</v>
      </c>
      <c r="M81" s="116">
        <v>0</v>
      </c>
      <c r="N81" s="116">
        <v>0</v>
      </c>
      <c r="O81" s="116">
        <v>0</v>
      </c>
      <c r="P81" s="116">
        <f>G207</f>
        <v>47.212000000000003</v>
      </c>
      <c r="T81" s="126"/>
      <c r="U81" s="126"/>
      <c r="V81" s="126"/>
      <c r="W81" s="126"/>
      <c r="X81" s="126"/>
      <c r="Y81" s="126"/>
    </row>
    <row r="82" spans="2:25">
      <c r="B82" s="114" t="s">
        <v>621</v>
      </c>
      <c r="C82" s="113" t="s">
        <v>622</v>
      </c>
      <c r="D82" s="132"/>
      <c r="F82" s="116">
        <f t="shared" si="34"/>
        <v>14195.04</v>
      </c>
      <c r="G82" s="116">
        <f t="shared" si="35"/>
        <v>7807.2720000000008</v>
      </c>
      <c r="H82" s="124">
        <f>G82/(1-$R$4)*2</f>
        <v>26024.240000000005</v>
      </c>
      <c r="I82" s="116">
        <v>0</v>
      </c>
      <c r="J82" s="116">
        <v>0</v>
      </c>
      <c r="K82" s="116">
        <f>G204</f>
        <v>7807.2720000000008</v>
      </c>
      <c r="L82" s="116">
        <v>0</v>
      </c>
      <c r="M82" s="116">
        <v>0</v>
      </c>
      <c r="N82" s="116">
        <v>0</v>
      </c>
      <c r="O82" s="116">
        <v>0</v>
      </c>
      <c r="P82" s="116">
        <v>0</v>
      </c>
      <c r="T82" s="126"/>
      <c r="U82" s="126"/>
      <c r="V82" s="126"/>
      <c r="W82" s="126"/>
      <c r="X82" s="126"/>
      <c r="Y82" s="126"/>
    </row>
    <row r="83" spans="2:25">
      <c r="B83" s="114" t="s">
        <v>623</v>
      </c>
      <c r="C83" s="113" t="s">
        <v>624</v>
      </c>
      <c r="D83" s="132"/>
      <c r="F83" s="116">
        <f t="shared" si="34"/>
        <v>19831.3</v>
      </c>
      <c r="G83" s="116">
        <f t="shared" si="35"/>
        <v>10907.215</v>
      </c>
      <c r="H83" s="124">
        <f>G83/(1-$R$4)*2</f>
        <v>36357.383333333339</v>
      </c>
      <c r="I83" s="116">
        <v>0</v>
      </c>
      <c r="J83" s="116">
        <v>0</v>
      </c>
      <c r="K83" s="116">
        <f>G205</f>
        <v>10907.215</v>
      </c>
      <c r="L83" s="116">
        <v>0</v>
      </c>
      <c r="M83" s="116">
        <v>0</v>
      </c>
      <c r="N83" s="116">
        <v>0</v>
      </c>
      <c r="O83" s="116">
        <v>0</v>
      </c>
      <c r="P83" s="116">
        <v>0</v>
      </c>
      <c r="T83" s="126"/>
      <c r="U83" s="126"/>
      <c r="V83" s="126"/>
      <c r="W83" s="126"/>
      <c r="X83" s="126"/>
      <c r="Y83" s="126"/>
    </row>
    <row r="84" spans="2:25">
      <c r="B84" s="136"/>
      <c r="D84" s="132"/>
      <c r="H84" s="124"/>
      <c r="T84" s="126"/>
      <c r="U84" s="126"/>
      <c r="V84" s="126"/>
      <c r="W84" s="126"/>
      <c r="X84" s="126"/>
      <c r="Y84" s="126"/>
    </row>
    <row r="85" spans="2:25">
      <c r="B85" s="118"/>
      <c r="C85" s="119" t="s">
        <v>625</v>
      </c>
      <c r="D85" s="132"/>
      <c r="F85" s="120" t="s">
        <v>479</v>
      </c>
      <c r="G85" s="120" t="s">
        <v>530</v>
      </c>
      <c r="H85" s="120" t="s">
        <v>531</v>
      </c>
      <c r="T85" s="126"/>
      <c r="U85" s="126"/>
      <c r="V85" s="126"/>
      <c r="W85" s="126"/>
      <c r="X85" s="126"/>
      <c r="Y85" s="126"/>
    </row>
    <row r="86" spans="2:25" hidden="1">
      <c r="B86" s="118"/>
      <c r="C86" s="119"/>
      <c r="D86" s="122"/>
      <c r="E86" s="122"/>
      <c r="F86" s="122"/>
      <c r="G86" s="120"/>
      <c r="H86" s="120"/>
      <c r="I86" s="120"/>
      <c r="J86" s="120"/>
      <c r="K86" s="120"/>
      <c r="L86" s="120"/>
      <c r="M86" s="120"/>
      <c r="N86" s="120"/>
      <c r="S86" s="113"/>
      <c r="T86" s="113"/>
    </row>
    <row r="87" spans="2:25">
      <c r="C87" s="113" t="s">
        <v>626</v>
      </c>
      <c r="D87" s="132"/>
      <c r="F87" s="116">
        <f t="shared" ref="F87:F93" si="36">G87/(1-$M$4)</f>
        <v>0</v>
      </c>
      <c r="G87" s="116">
        <f>SUM(I87:O87)</f>
        <v>0</v>
      </c>
      <c r="H87" s="124">
        <f t="shared" ref="H87:H93" si="37">G87/(1-$R$4)*2</f>
        <v>0</v>
      </c>
      <c r="I87" s="116">
        <v>0</v>
      </c>
      <c r="J87" s="116">
        <v>0</v>
      </c>
      <c r="K87" s="116">
        <v>0</v>
      </c>
      <c r="L87" s="116">
        <v>0</v>
      </c>
      <c r="M87" s="116">
        <v>0</v>
      </c>
      <c r="N87" s="116">
        <v>0</v>
      </c>
      <c r="O87" s="116">
        <v>0</v>
      </c>
      <c r="T87" s="126"/>
      <c r="U87" s="126"/>
      <c r="V87" s="126"/>
      <c r="W87" s="126"/>
      <c r="X87" s="126"/>
      <c r="Y87" s="126"/>
    </row>
    <row r="88" spans="2:25">
      <c r="B88" s="114" t="s">
        <v>627</v>
      </c>
      <c r="C88" s="113" t="s">
        <v>628</v>
      </c>
      <c r="D88" s="132"/>
      <c r="F88" s="116">
        <f t="shared" si="36"/>
        <v>264</v>
      </c>
      <c r="G88" s="116">
        <f t="shared" ref="G88:G93" si="38">SUM(I88:O88)</f>
        <v>132</v>
      </c>
      <c r="H88" s="124">
        <f t="shared" si="37"/>
        <v>440</v>
      </c>
      <c r="I88" s="116">
        <v>0</v>
      </c>
      <c r="J88" s="116">
        <f>G177*1</f>
        <v>132</v>
      </c>
      <c r="K88" s="116">
        <v>0</v>
      </c>
      <c r="L88" s="116">
        <v>0</v>
      </c>
      <c r="M88" s="116">
        <v>0</v>
      </c>
      <c r="N88" s="116">
        <v>0</v>
      </c>
      <c r="O88" s="116">
        <v>0</v>
      </c>
      <c r="T88" s="126"/>
      <c r="U88" s="126"/>
      <c r="V88" s="126"/>
      <c r="W88" s="126"/>
      <c r="X88" s="126"/>
      <c r="Y88" s="126"/>
    </row>
    <row r="89" spans="2:25">
      <c r="B89" s="114" t="s">
        <v>627</v>
      </c>
      <c r="C89" s="113" t="s">
        <v>629</v>
      </c>
      <c r="D89" s="132"/>
      <c r="F89" s="116">
        <f t="shared" ref="F89" si="39">G89/(1-$M$4)</f>
        <v>528</v>
      </c>
      <c r="G89" s="116">
        <f t="shared" ref="G89" si="40">SUM(I89:O89)</f>
        <v>264</v>
      </c>
      <c r="H89" s="124">
        <f t="shared" si="37"/>
        <v>880</v>
      </c>
      <c r="I89" s="116">
        <v>0</v>
      </c>
      <c r="J89" s="116">
        <f>G177*2</f>
        <v>264</v>
      </c>
      <c r="K89" s="116">
        <v>0</v>
      </c>
      <c r="L89" s="116">
        <v>0</v>
      </c>
      <c r="M89" s="116">
        <v>0</v>
      </c>
      <c r="N89" s="116">
        <v>0</v>
      </c>
      <c r="O89" s="116">
        <v>0</v>
      </c>
      <c r="T89" s="126"/>
      <c r="U89" s="126"/>
      <c r="V89" s="126"/>
      <c r="W89" s="126"/>
      <c r="X89" s="126"/>
      <c r="Y89" s="126"/>
    </row>
    <row r="90" spans="2:25">
      <c r="B90" s="114" t="s">
        <v>627</v>
      </c>
      <c r="C90" s="113" t="s">
        <v>630</v>
      </c>
      <c r="D90" s="132"/>
      <c r="F90" s="116">
        <f t="shared" ref="F90" si="41">G90/(1-$M$4)</f>
        <v>792</v>
      </c>
      <c r="G90" s="116">
        <f t="shared" ref="G90" si="42">SUM(I90:O90)</f>
        <v>396</v>
      </c>
      <c r="H90" s="124">
        <f t="shared" si="37"/>
        <v>1320</v>
      </c>
      <c r="I90" s="116">
        <v>0</v>
      </c>
      <c r="J90" s="116">
        <f>G177*3</f>
        <v>396</v>
      </c>
      <c r="K90" s="116">
        <v>0</v>
      </c>
      <c r="L90" s="116">
        <v>0</v>
      </c>
      <c r="M90" s="116">
        <v>0</v>
      </c>
      <c r="N90" s="116">
        <v>0</v>
      </c>
      <c r="O90" s="116">
        <v>0</v>
      </c>
      <c r="T90" s="126"/>
      <c r="U90" s="126"/>
      <c r="V90" s="126"/>
      <c r="W90" s="126"/>
      <c r="X90" s="126"/>
      <c r="Y90" s="126"/>
    </row>
    <row r="91" spans="2:25">
      <c r="B91" s="114" t="s">
        <v>627</v>
      </c>
      <c r="C91" s="113" t="s">
        <v>631</v>
      </c>
      <c r="D91" s="132"/>
      <c r="F91" s="116">
        <f>G91/(1-$M$4)</f>
        <v>264</v>
      </c>
      <c r="G91" s="116">
        <f t="shared" ref="G91" si="43">SUM(I91:O91)</f>
        <v>132</v>
      </c>
      <c r="H91" s="124">
        <f t="shared" si="37"/>
        <v>440</v>
      </c>
      <c r="I91" s="116">
        <v>0</v>
      </c>
      <c r="J91" s="116">
        <f>G176*1</f>
        <v>132</v>
      </c>
      <c r="K91" s="116">
        <v>0</v>
      </c>
      <c r="L91" s="116">
        <v>0</v>
      </c>
      <c r="M91" s="116">
        <v>0</v>
      </c>
      <c r="N91" s="116">
        <v>0</v>
      </c>
      <c r="O91" s="116">
        <v>0</v>
      </c>
      <c r="T91" s="126"/>
      <c r="U91" s="126"/>
      <c r="V91" s="126"/>
      <c r="W91" s="126"/>
      <c r="X91" s="126"/>
      <c r="Y91" s="126"/>
    </row>
    <row r="92" spans="2:25">
      <c r="B92" s="114" t="s">
        <v>627</v>
      </c>
      <c r="C92" s="113" t="s">
        <v>632</v>
      </c>
      <c r="D92" s="132"/>
      <c r="F92" s="116">
        <f t="shared" ref="F92" si="44">G92/(1-$M$4)</f>
        <v>528</v>
      </c>
      <c r="G92" s="116">
        <f t="shared" ref="G92" si="45">SUM(I92:O92)</f>
        <v>264</v>
      </c>
      <c r="H92" s="124">
        <f t="shared" si="37"/>
        <v>880</v>
      </c>
      <c r="I92" s="116">
        <v>0</v>
      </c>
      <c r="J92" s="116">
        <f>G176*2</f>
        <v>264</v>
      </c>
      <c r="K92" s="116">
        <v>0</v>
      </c>
      <c r="L92" s="116">
        <v>0</v>
      </c>
      <c r="M92" s="116">
        <v>0</v>
      </c>
      <c r="N92" s="116">
        <v>0</v>
      </c>
      <c r="O92" s="116">
        <v>0</v>
      </c>
      <c r="T92" s="126"/>
      <c r="U92" s="126"/>
      <c r="V92" s="126"/>
      <c r="W92" s="126"/>
      <c r="X92" s="126"/>
      <c r="Y92" s="126"/>
    </row>
    <row r="93" spans="2:25">
      <c r="B93" s="114" t="s">
        <v>633</v>
      </c>
      <c r="C93" s="113" t="s">
        <v>634</v>
      </c>
      <c r="D93" s="132"/>
      <c r="F93" s="116">
        <f t="shared" si="36"/>
        <v>792</v>
      </c>
      <c r="G93" s="116">
        <f t="shared" si="38"/>
        <v>396</v>
      </c>
      <c r="H93" s="124">
        <f t="shared" si="37"/>
        <v>1320</v>
      </c>
      <c r="I93" s="116">
        <v>0</v>
      </c>
      <c r="J93" s="116">
        <f>G176*3</f>
        <v>396</v>
      </c>
      <c r="K93" s="116">
        <v>0</v>
      </c>
      <c r="L93" s="116">
        <v>0</v>
      </c>
      <c r="M93" s="116">
        <v>0</v>
      </c>
      <c r="N93" s="116">
        <v>0</v>
      </c>
      <c r="O93" s="116">
        <v>0</v>
      </c>
      <c r="T93" s="126"/>
      <c r="U93" s="126"/>
      <c r="V93" s="126"/>
      <c r="W93" s="126"/>
      <c r="X93" s="126"/>
      <c r="Y93" s="126"/>
    </row>
    <row r="94" spans="2:25">
      <c r="D94" s="132"/>
      <c r="H94" s="124"/>
      <c r="T94" s="126"/>
      <c r="U94" s="126"/>
      <c r="V94" s="126"/>
      <c r="W94" s="126"/>
      <c r="X94" s="126"/>
      <c r="Y94" s="126"/>
    </row>
    <row r="95" spans="2:25">
      <c r="B95" s="118"/>
      <c r="C95" s="119" t="s">
        <v>635</v>
      </c>
      <c r="D95" s="132"/>
      <c r="F95" s="120" t="s">
        <v>479</v>
      </c>
      <c r="G95" s="120" t="s">
        <v>530</v>
      </c>
      <c r="H95" s="120" t="s">
        <v>531</v>
      </c>
      <c r="T95" s="126"/>
      <c r="U95" s="126"/>
      <c r="V95" s="126"/>
      <c r="W95" s="126"/>
      <c r="X95" s="126"/>
      <c r="Y95" s="126"/>
    </row>
    <row r="96" spans="2:25" hidden="1">
      <c r="B96" s="118"/>
      <c r="C96" s="119"/>
      <c r="D96" s="122"/>
      <c r="E96" s="122"/>
      <c r="F96" s="122"/>
      <c r="G96" s="120"/>
      <c r="H96" s="120"/>
      <c r="I96" s="120"/>
      <c r="J96" s="120"/>
      <c r="K96" s="120"/>
      <c r="L96" s="120"/>
      <c r="M96" s="120"/>
      <c r="N96" s="120"/>
      <c r="S96" s="113"/>
      <c r="T96" s="113"/>
    </row>
    <row r="97" spans="2:25">
      <c r="B97" s="136"/>
      <c r="C97" s="133" t="s">
        <v>636</v>
      </c>
      <c r="D97" s="132"/>
      <c r="F97" s="116">
        <f t="shared" ref="F97:F100" si="46">G97/(1-$M$4)</f>
        <v>0</v>
      </c>
      <c r="G97" s="116">
        <f>SUM(I97:O97)</f>
        <v>0</v>
      </c>
      <c r="H97" s="124">
        <f>G97/(1-$R$4)*2</f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  <c r="O97" s="116">
        <v>0</v>
      </c>
      <c r="T97" s="126"/>
      <c r="U97" s="126"/>
      <c r="V97" s="126"/>
      <c r="W97" s="126"/>
      <c r="X97" s="126"/>
      <c r="Y97" s="126"/>
    </row>
    <row r="98" spans="2:25">
      <c r="B98" s="114" t="s">
        <v>637</v>
      </c>
      <c r="C98" s="113" t="s">
        <v>638</v>
      </c>
      <c r="D98" s="132"/>
      <c r="F98" s="116">
        <f t="shared" si="46"/>
        <v>3500</v>
      </c>
      <c r="G98" s="116">
        <f t="shared" ref="G98:G107" si="47">SUM(I98:O98)</f>
        <v>1750</v>
      </c>
      <c r="H98" s="124">
        <f>G98/(1-$R$4)*2</f>
        <v>5833.3333333333339</v>
      </c>
      <c r="I98" s="116">
        <v>0</v>
      </c>
      <c r="J98" s="116">
        <v>0</v>
      </c>
      <c r="K98" s="116">
        <v>0</v>
      </c>
      <c r="L98" s="116">
        <v>0</v>
      </c>
      <c r="M98" s="116">
        <v>1750</v>
      </c>
      <c r="N98" s="116">
        <v>0</v>
      </c>
      <c r="O98" s="116">
        <v>0</v>
      </c>
      <c r="T98" s="113"/>
    </row>
    <row r="99" spans="2:25">
      <c r="B99" s="114" t="s">
        <v>639</v>
      </c>
      <c r="C99" s="113" t="s">
        <v>640</v>
      </c>
      <c r="D99" s="132"/>
      <c r="F99" s="116">
        <f t="shared" si="46"/>
        <v>5500</v>
      </c>
      <c r="G99" s="116">
        <f t="shared" si="47"/>
        <v>2750</v>
      </c>
      <c r="H99" s="124">
        <f>G99/(1-$R$4)*2</f>
        <v>9166.6666666666679</v>
      </c>
      <c r="I99" s="116">
        <v>0</v>
      </c>
      <c r="J99" s="116">
        <v>0</v>
      </c>
      <c r="K99" s="116">
        <v>0</v>
      </c>
      <c r="L99" s="116">
        <v>0</v>
      </c>
      <c r="M99" s="116">
        <v>2750</v>
      </c>
      <c r="N99" s="116">
        <v>0</v>
      </c>
      <c r="O99" s="116">
        <v>0</v>
      </c>
      <c r="T99" s="113"/>
    </row>
    <row r="100" spans="2:25">
      <c r="B100" s="114" t="s">
        <v>641</v>
      </c>
      <c r="C100" s="113" t="s">
        <v>642</v>
      </c>
      <c r="D100" s="132"/>
      <c r="F100" s="116">
        <f t="shared" si="46"/>
        <v>7500</v>
      </c>
      <c r="G100" s="116">
        <f t="shared" si="47"/>
        <v>3750</v>
      </c>
      <c r="H100" s="124">
        <f>G100/(1-$R$4)*2</f>
        <v>12500</v>
      </c>
      <c r="I100" s="116">
        <v>0</v>
      </c>
      <c r="J100" s="116">
        <v>0</v>
      </c>
      <c r="K100" s="116">
        <v>0</v>
      </c>
      <c r="L100" s="116">
        <v>0</v>
      </c>
      <c r="M100" s="116">
        <v>3750</v>
      </c>
      <c r="N100" s="116">
        <v>0</v>
      </c>
      <c r="O100" s="116">
        <v>0</v>
      </c>
      <c r="T100" s="113"/>
    </row>
    <row r="101" spans="2:25">
      <c r="D101" s="132"/>
      <c r="H101" s="124"/>
      <c r="T101" s="113"/>
    </row>
    <row r="102" spans="2:25">
      <c r="B102" s="118"/>
      <c r="C102" s="119" t="s">
        <v>643</v>
      </c>
      <c r="D102" s="132"/>
      <c r="F102" s="120" t="s">
        <v>479</v>
      </c>
      <c r="G102" s="120" t="s">
        <v>530</v>
      </c>
      <c r="H102" s="120" t="s">
        <v>531</v>
      </c>
      <c r="N102" s="120" t="s">
        <v>310</v>
      </c>
      <c r="O102" s="120" t="s">
        <v>391</v>
      </c>
      <c r="T102" s="113"/>
    </row>
    <row r="103" spans="2:25" hidden="1">
      <c r="B103" s="118"/>
      <c r="C103" s="119"/>
      <c r="D103" s="122"/>
      <c r="E103" s="122"/>
      <c r="G103" s="116">
        <f t="shared" si="47"/>
        <v>0</v>
      </c>
      <c r="H103" s="120"/>
      <c r="I103" s="120"/>
      <c r="J103" s="120"/>
      <c r="K103" s="120"/>
      <c r="L103" s="120"/>
      <c r="M103" s="120"/>
      <c r="N103" s="120"/>
      <c r="S103" s="113"/>
      <c r="T103" s="113"/>
    </row>
    <row r="104" spans="2:25">
      <c r="B104" s="114" t="s">
        <v>644</v>
      </c>
      <c r="C104" s="113" t="s">
        <v>645</v>
      </c>
      <c r="D104" s="132"/>
      <c r="F104" s="116">
        <f t="shared" ref="F104:F107" si="48">G104/(1-$M$4)</f>
        <v>864.63</v>
      </c>
      <c r="G104" s="116">
        <f t="shared" si="47"/>
        <v>432.315</v>
      </c>
      <c r="H104" s="124">
        <f>G104/(1-$R$4)*2</f>
        <v>1441.05</v>
      </c>
      <c r="I104" s="116">
        <v>0</v>
      </c>
      <c r="J104" s="116">
        <v>0</v>
      </c>
      <c r="K104" s="116">
        <v>0</v>
      </c>
      <c r="L104" s="116">
        <v>0</v>
      </c>
      <c r="M104" s="116">
        <v>0</v>
      </c>
      <c r="N104" s="116">
        <f>G180</f>
        <v>156.435</v>
      </c>
      <c r="O104" s="116">
        <f>G182</f>
        <v>275.88</v>
      </c>
      <c r="T104" s="126"/>
      <c r="U104" s="126"/>
      <c r="V104" s="126"/>
      <c r="W104" s="126"/>
      <c r="X104" s="126"/>
      <c r="Y104" s="126"/>
    </row>
    <row r="105" spans="2:25">
      <c r="B105" s="114" t="s">
        <v>646</v>
      </c>
      <c r="C105" s="113" t="s">
        <v>647</v>
      </c>
      <c r="D105" s="132"/>
      <c r="F105" s="116">
        <f t="shared" si="48"/>
        <v>2012.85</v>
      </c>
      <c r="G105" s="116">
        <f t="shared" si="47"/>
        <v>1006.425</v>
      </c>
      <c r="H105" s="124">
        <f>G105/(1-$R$4)*2</f>
        <v>3354.75</v>
      </c>
      <c r="I105" s="116">
        <v>0</v>
      </c>
      <c r="J105" s="116">
        <v>0</v>
      </c>
      <c r="K105" s="116">
        <v>0</v>
      </c>
      <c r="L105" s="116">
        <v>0</v>
      </c>
      <c r="M105" s="116">
        <v>0</v>
      </c>
      <c r="N105" s="116">
        <f>G180</f>
        <v>156.435</v>
      </c>
      <c r="O105" s="116">
        <f>G183</f>
        <v>849.99</v>
      </c>
      <c r="T105" s="126"/>
      <c r="U105" s="126"/>
      <c r="V105" s="126"/>
      <c r="W105" s="126"/>
      <c r="X105" s="126"/>
      <c r="Y105" s="126"/>
    </row>
    <row r="106" spans="2:25">
      <c r="B106" s="114" t="s">
        <v>397</v>
      </c>
      <c r="C106" s="113" t="s">
        <v>323</v>
      </c>
      <c r="D106" s="132"/>
      <c r="F106" s="116">
        <f t="shared" si="48"/>
        <v>2469.7350000000001</v>
      </c>
      <c r="G106" s="116">
        <f t="shared" si="47"/>
        <v>1234.8675000000001</v>
      </c>
      <c r="H106" s="124">
        <f>G106/(1-$R$4)*2</f>
        <v>4116.2250000000004</v>
      </c>
      <c r="I106" s="116">
        <v>0</v>
      </c>
      <c r="J106" s="116">
        <v>0</v>
      </c>
      <c r="K106" s="116">
        <v>0</v>
      </c>
      <c r="L106" s="116">
        <v>0</v>
      </c>
      <c r="M106" s="116">
        <v>0</v>
      </c>
      <c r="N106" s="116">
        <f>'Ondal Booms'!D211+'Ondal Booms'!D212</f>
        <v>480.84750000000003</v>
      </c>
      <c r="O106" s="116">
        <f>'Ondal Booms'!D210</f>
        <v>754.02</v>
      </c>
      <c r="T106" s="126"/>
      <c r="U106" s="126"/>
      <c r="V106" s="126"/>
      <c r="W106" s="126"/>
      <c r="X106" s="126"/>
      <c r="Y106" s="126"/>
    </row>
    <row r="107" spans="2:25">
      <c r="B107" s="114" t="s">
        <v>398</v>
      </c>
      <c r="C107" s="113" t="s">
        <v>327</v>
      </c>
      <c r="D107" s="132"/>
      <c r="F107" s="116">
        <f t="shared" si="48"/>
        <v>0</v>
      </c>
      <c r="G107" s="116">
        <f t="shared" si="47"/>
        <v>0</v>
      </c>
      <c r="H107" s="124">
        <f>G107/(1-$R$4)*2</f>
        <v>0</v>
      </c>
      <c r="I107" s="116">
        <v>0</v>
      </c>
      <c r="J107" s="116">
        <v>0</v>
      </c>
      <c r="K107" s="116">
        <v>0</v>
      </c>
      <c r="L107" s="116">
        <v>0</v>
      </c>
      <c r="M107" s="116">
        <v>0</v>
      </c>
      <c r="N107" s="116">
        <v>0</v>
      </c>
      <c r="O107" s="116">
        <v>0</v>
      </c>
      <c r="T107" s="126"/>
      <c r="U107" s="126"/>
      <c r="V107" s="126"/>
      <c r="W107" s="126"/>
      <c r="X107" s="126"/>
      <c r="Y107" s="126"/>
    </row>
    <row r="108" spans="2:25">
      <c r="B108" s="114" t="s">
        <v>648</v>
      </c>
      <c r="C108" s="113" t="s">
        <v>586</v>
      </c>
      <c r="D108" s="132"/>
      <c r="F108" s="116">
        <f t="shared" ref="F108" si="49">G108/(1-$M$4)</f>
        <v>0</v>
      </c>
      <c r="G108" s="116">
        <f t="shared" ref="G108" si="50">SUM(I108:O108)</f>
        <v>0</v>
      </c>
      <c r="H108" s="124">
        <f>G108/(1-$R$4)*2</f>
        <v>0</v>
      </c>
      <c r="I108" s="116">
        <v>0</v>
      </c>
      <c r="J108" s="116">
        <v>0</v>
      </c>
      <c r="K108" s="116">
        <v>0</v>
      </c>
      <c r="L108" s="116">
        <v>0</v>
      </c>
      <c r="M108" s="116">
        <v>0</v>
      </c>
      <c r="N108" s="116">
        <v>0</v>
      </c>
      <c r="O108" s="116">
        <v>0</v>
      </c>
      <c r="T108" s="126"/>
      <c r="U108" s="126"/>
      <c r="V108" s="126"/>
      <c r="W108" s="126"/>
      <c r="X108" s="126"/>
      <c r="Y108" s="126"/>
    </row>
    <row r="109" spans="2:25">
      <c r="D109" s="132"/>
      <c r="H109" s="124"/>
      <c r="T109" s="126"/>
      <c r="U109" s="126"/>
      <c r="V109" s="126"/>
      <c r="W109" s="126"/>
      <c r="X109" s="126"/>
      <c r="Y109" s="126"/>
    </row>
    <row r="110" spans="2:25">
      <c r="B110" s="118"/>
      <c r="C110" s="119" t="s">
        <v>184</v>
      </c>
      <c r="D110" s="132"/>
      <c r="F110" s="120" t="s">
        <v>479</v>
      </c>
      <c r="G110" s="120" t="s">
        <v>530</v>
      </c>
      <c r="H110" s="120" t="s">
        <v>531</v>
      </c>
      <c r="T110" s="126"/>
      <c r="U110" s="126"/>
      <c r="V110" s="126"/>
      <c r="W110" s="126"/>
      <c r="X110" s="126"/>
      <c r="Y110" s="126"/>
    </row>
    <row r="111" spans="2:25" hidden="1">
      <c r="B111" s="118"/>
      <c r="C111" s="119"/>
      <c r="D111" s="122"/>
      <c r="E111" s="122"/>
      <c r="F111" s="122"/>
      <c r="G111" s="120"/>
      <c r="H111" s="120"/>
      <c r="I111" s="120"/>
      <c r="J111" s="120"/>
      <c r="K111" s="120"/>
      <c r="L111" s="120"/>
      <c r="M111" s="120"/>
      <c r="N111" s="120"/>
      <c r="S111" s="113"/>
      <c r="T111" s="113"/>
    </row>
    <row r="112" spans="2:25">
      <c r="B112" s="114" t="s">
        <v>649</v>
      </c>
      <c r="C112" s="113" t="s">
        <v>184</v>
      </c>
      <c r="D112" s="132"/>
      <c r="F112" s="116">
        <f t="shared" ref="F112" si="51">G112/(1-$M$4)</f>
        <v>1800</v>
      </c>
      <c r="G112" s="116">
        <v>900</v>
      </c>
      <c r="H112" s="124">
        <f>G112/(1-$R$4)*2</f>
        <v>3000</v>
      </c>
      <c r="I112" s="116">
        <v>0</v>
      </c>
      <c r="J112" s="116">
        <v>0</v>
      </c>
      <c r="K112" s="116">
        <v>0</v>
      </c>
      <c r="L112" s="116">
        <v>1000</v>
      </c>
      <c r="M112" s="116">
        <v>0</v>
      </c>
      <c r="N112" s="116">
        <v>0</v>
      </c>
      <c r="O112" s="116">
        <v>0</v>
      </c>
      <c r="T112" s="126"/>
      <c r="U112" s="126"/>
      <c r="V112" s="126"/>
      <c r="W112" s="126"/>
      <c r="X112" s="126"/>
      <c r="Y112" s="126"/>
    </row>
    <row r="113" spans="1:27">
      <c r="T113" s="126"/>
      <c r="U113" s="126"/>
      <c r="V113" s="126"/>
      <c r="W113" s="126"/>
      <c r="X113" s="126"/>
      <c r="Y113" s="126"/>
    </row>
    <row r="114" spans="1:27">
      <c r="B114" s="118"/>
      <c r="C114" s="119" t="s">
        <v>183</v>
      </c>
      <c r="D114" s="132"/>
      <c r="F114" s="120" t="s">
        <v>479</v>
      </c>
      <c r="G114" s="120" t="s">
        <v>530</v>
      </c>
      <c r="H114" s="120" t="s">
        <v>531</v>
      </c>
      <c r="T114" s="126"/>
      <c r="U114" s="126"/>
      <c r="V114" s="126"/>
      <c r="W114" s="126"/>
      <c r="X114" s="126"/>
      <c r="Y114" s="126"/>
    </row>
    <row r="115" spans="1:27" hidden="1">
      <c r="B115" s="118"/>
      <c r="C115" s="119"/>
      <c r="D115" s="122"/>
      <c r="E115" s="122"/>
      <c r="F115" s="122"/>
      <c r="G115" s="120"/>
      <c r="H115" s="120"/>
      <c r="I115" s="120"/>
      <c r="J115" s="120"/>
      <c r="K115" s="120"/>
      <c r="L115" s="120"/>
      <c r="M115" s="120"/>
      <c r="N115" s="120"/>
      <c r="S115" s="113"/>
      <c r="T115" s="113"/>
    </row>
    <row r="116" spans="1:27">
      <c r="B116" s="114" t="s">
        <v>650</v>
      </c>
      <c r="C116" s="113" t="s">
        <v>183</v>
      </c>
      <c r="D116" s="132"/>
      <c r="F116" s="116">
        <f t="shared" ref="F116" si="52">G116/(1-$M$4)</f>
        <v>600</v>
      </c>
      <c r="G116" s="116">
        <v>300</v>
      </c>
      <c r="H116" s="124">
        <f>G116/(1-$R$4)*2</f>
        <v>1000</v>
      </c>
      <c r="I116" s="116">
        <v>0</v>
      </c>
      <c r="J116" s="116">
        <v>0</v>
      </c>
      <c r="K116" s="116">
        <v>0</v>
      </c>
      <c r="L116" s="116">
        <v>500</v>
      </c>
      <c r="M116" s="116">
        <v>0</v>
      </c>
      <c r="N116" s="116">
        <v>0</v>
      </c>
      <c r="O116" s="116">
        <v>0</v>
      </c>
      <c r="T116" s="126"/>
      <c r="U116" s="126"/>
      <c r="V116" s="126"/>
      <c r="W116" s="126"/>
      <c r="X116" s="126"/>
      <c r="Y116" s="126"/>
    </row>
    <row r="117" spans="1:27">
      <c r="T117" s="126"/>
      <c r="U117" s="126"/>
      <c r="V117" s="126"/>
      <c r="W117" s="126"/>
      <c r="X117" s="126"/>
      <c r="Y117" s="126"/>
    </row>
    <row r="118" spans="1:27">
      <c r="T118" s="126"/>
      <c r="U118" s="126"/>
      <c r="V118" s="126"/>
      <c r="W118" s="126"/>
      <c r="X118" s="126"/>
      <c r="Y118" s="126"/>
    </row>
    <row r="119" spans="1:27">
      <c r="A119" s="122" t="s">
        <v>651</v>
      </c>
      <c r="B119" s="137"/>
      <c r="C119" s="138"/>
      <c r="T119" s="126"/>
      <c r="U119" s="126"/>
      <c r="V119" s="126"/>
      <c r="W119" s="126"/>
      <c r="X119" s="126"/>
      <c r="Y119" s="126"/>
      <c r="Z119" s="126"/>
    </row>
    <row r="120" spans="1:27">
      <c r="C120" s="134"/>
      <c r="U120" s="126"/>
      <c r="V120" s="126"/>
      <c r="W120" s="126"/>
      <c r="X120" s="126"/>
      <c r="Y120" s="126"/>
      <c r="Z120" s="126"/>
      <c r="AA120" s="126"/>
    </row>
    <row r="121" spans="1:27">
      <c r="B121" s="122" t="s">
        <v>652</v>
      </c>
      <c r="C121" s="119" t="s">
        <v>1</v>
      </c>
      <c r="D121" s="122"/>
      <c r="E121" s="122"/>
      <c r="F121" s="122" t="s">
        <v>653</v>
      </c>
      <c r="G121" s="122" t="s">
        <v>654</v>
      </c>
      <c r="H121" s="113"/>
      <c r="I121" s="122" t="s">
        <v>655</v>
      </c>
      <c r="J121" s="122" t="s">
        <v>656</v>
      </c>
      <c r="K121" s="120" t="s">
        <v>2</v>
      </c>
    </row>
    <row r="122" spans="1:27" ht="15.95">
      <c r="B122" s="139" t="s">
        <v>657</v>
      </c>
      <c r="C122" s="113" t="s">
        <v>658</v>
      </c>
      <c r="F122" s="116">
        <v>3280.9</v>
      </c>
      <c r="G122" s="116">
        <f>F122*(1-$M$4)</f>
        <v>1640.45</v>
      </c>
      <c r="H122" s="113"/>
      <c r="I122" s="140">
        <v>2715.32</v>
      </c>
      <c r="J122" s="116">
        <f>I122*(1-$C$284)</f>
        <v>1357.66</v>
      </c>
      <c r="K122" s="114" t="s">
        <v>659</v>
      </c>
    </row>
    <row r="123" spans="1:27" ht="15.95">
      <c r="B123" s="139" t="s">
        <v>660</v>
      </c>
      <c r="C123" s="113" t="s">
        <v>661</v>
      </c>
      <c r="F123" s="116">
        <v>2493.5</v>
      </c>
      <c r="G123" s="116">
        <f>F123*(1-$M$4)</f>
        <v>1246.75</v>
      </c>
      <c r="H123" s="113"/>
      <c r="I123" s="140">
        <v>2657.42</v>
      </c>
      <c r="J123" s="116">
        <f>I123*(1-$C$284)</f>
        <v>1328.71</v>
      </c>
      <c r="K123" s="114" t="s">
        <v>662</v>
      </c>
    </row>
    <row r="124" spans="1:27">
      <c r="B124" s="141" t="s">
        <v>663</v>
      </c>
      <c r="C124" s="113" t="s">
        <v>664</v>
      </c>
      <c r="F124" s="116">
        <v>3439.49</v>
      </c>
      <c r="G124" s="116">
        <f>F124*(1-$M$4)</f>
        <v>1719.7449999999999</v>
      </c>
      <c r="H124" s="113"/>
      <c r="I124" s="140">
        <v>3387.27</v>
      </c>
      <c r="J124" s="116">
        <f>I124*(1-$C$284)</f>
        <v>1693.635</v>
      </c>
      <c r="K124" s="114" t="s">
        <v>665</v>
      </c>
    </row>
    <row r="125" spans="1:27">
      <c r="B125" s="141" t="s">
        <v>666</v>
      </c>
      <c r="C125" s="113" t="s">
        <v>667</v>
      </c>
      <c r="F125" s="116">
        <v>2739.12</v>
      </c>
      <c r="G125" s="116">
        <f>F125*(1-$M$4)</f>
        <v>1369.56</v>
      </c>
      <c r="H125" s="113"/>
      <c r="I125" s="140">
        <v>2824.95</v>
      </c>
      <c r="J125" s="116">
        <f>I125*(1-$C$284)</f>
        <v>1412.4749999999999</v>
      </c>
      <c r="K125" s="114" t="s">
        <v>668</v>
      </c>
    </row>
    <row r="126" spans="1:27">
      <c r="B126" s="141" t="s">
        <v>669</v>
      </c>
      <c r="C126" s="113" t="s">
        <v>670</v>
      </c>
      <c r="F126" s="116">
        <v>2174.7800000000002</v>
      </c>
      <c r="G126" s="116">
        <f>F126*(1-$M$4)</f>
        <v>1087.3900000000001</v>
      </c>
      <c r="H126" s="113"/>
      <c r="I126" s="140">
        <v>2090.9299999999998</v>
      </c>
      <c r="J126" s="116">
        <f>I126*(1-$C$284)</f>
        <v>1045.4649999999999</v>
      </c>
      <c r="K126" s="114" t="s">
        <v>671</v>
      </c>
    </row>
    <row r="127" spans="1:27">
      <c r="B127" s="113"/>
      <c r="G127" s="113"/>
      <c r="H127" s="113"/>
      <c r="I127" s="113"/>
      <c r="J127" s="113"/>
      <c r="K127" s="114"/>
    </row>
    <row r="128" spans="1:27">
      <c r="B128" s="122" t="s">
        <v>672</v>
      </c>
      <c r="C128" s="119"/>
      <c r="D128" s="122"/>
      <c r="E128" s="122"/>
      <c r="F128" s="122" t="s">
        <v>673</v>
      </c>
      <c r="G128" s="122" t="s">
        <v>674</v>
      </c>
      <c r="H128" s="113"/>
      <c r="I128" s="122" t="s">
        <v>675</v>
      </c>
      <c r="J128" s="122" t="s">
        <v>656</v>
      </c>
      <c r="K128" s="120" t="s">
        <v>2</v>
      </c>
    </row>
    <row r="129" spans="2:11" ht="15.95">
      <c r="B129" s="139" t="s">
        <v>676</v>
      </c>
      <c r="C129" s="113" t="s">
        <v>677</v>
      </c>
      <c r="F129" s="116">
        <v>5108.88</v>
      </c>
      <c r="G129" s="116">
        <f t="shared" ref="G129:G135" si="53">F129*(1-$M$4)</f>
        <v>2554.44</v>
      </c>
      <c r="H129" s="113"/>
      <c r="I129" s="140">
        <v>4622.88</v>
      </c>
      <c r="J129" s="116">
        <f t="shared" ref="J129:J135" si="54">I129*(1-$C$284)</f>
        <v>2311.44</v>
      </c>
      <c r="K129" s="114" t="s">
        <v>678</v>
      </c>
    </row>
    <row r="130" spans="2:11" ht="15.95">
      <c r="B130" s="139" t="s">
        <v>679</v>
      </c>
      <c r="C130" s="113" t="s">
        <v>680</v>
      </c>
      <c r="F130" s="116">
        <v>6155.71</v>
      </c>
      <c r="G130" s="116">
        <f t="shared" si="53"/>
        <v>3077.855</v>
      </c>
      <c r="H130" s="113"/>
      <c r="I130" s="140">
        <v>5022.1499999999996</v>
      </c>
      <c r="J130" s="116">
        <f t="shared" si="54"/>
        <v>2511.0749999999998</v>
      </c>
      <c r="K130" s="114" t="s">
        <v>681</v>
      </c>
    </row>
    <row r="131" spans="2:11" ht="15.95">
      <c r="B131" s="139" t="s">
        <v>682</v>
      </c>
      <c r="C131" s="113" t="s">
        <v>683</v>
      </c>
      <c r="F131" s="116">
        <v>6309.02</v>
      </c>
      <c r="G131" s="116">
        <f>F131*(1-$M$4)</f>
        <v>3154.51</v>
      </c>
      <c r="H131" s="113"/>
      <c r="I131" s="140"/>
      <c r="K131" s="114"/>
    </row>
    <row r="132" spans="2:11">
      <c r="B132" s="141" t="s">
        <v>684</v>
      </c>
      <c r="C132" s="113" t="s">
        <v>685</v>
      </c>
      <c r="F132" s="116">
        <v>5170.8500000000004</v>
      </c>
      <c r="G132" s="116">
        <f t="shared" si="53"/>
        <v>2585.4250000000002</v>
      </c>
      <c r="H132" s="113"/>
      <c r="I132" s="140">
        <v>4622.88</v>
      </c>
      <c r="J132" s="116">
        <f t="shared" si="54"/>
        <v>2311.44</v>
      </c>
      <c r="K132" s="114" t="s">
        <v>686</v>
      </c>
    </row>
    <row r="133" spans="2:11">
      <c r="B133" s="141" t="s">
        <v>687</v>
      </c>
      <c r="C133" s="113" t="s">
        <v>688</v>
      </c>
      <c r="F133" s="116">
        <v>5149.68</v>
      </c>
      <c r="G133" s="116">
        <f t="shared" si="53"/>
        <v>2574.84</v>
      </c>
      <c r="H133" s="113"/>
      <c r="I133" s="140">
        <v>4790.12</v>
      </c>
      <c r="J133" s="116">
        <f t="shared" si="54"/>
        <v>2395.06</v>
      </c>
      <c r="K133" s="114" t="s">
        <v>689</v>
      </c>
    </row>
    <row r="134" spans="2:11">
      <c r="B134" s="141" t="s">
        <v>690</v>
      </c>
      <c r="C134" s="113" t="s">
        <v>691</v>
      </c>
      <c r="F134" s="116">
        <v>7123.87</v>
      </c>
      <c r="G134" s="116">
        <f t="shared" si="53"/>
        <v>3561.9349999999999</v>
      </c>
      <c r="H134" s="113"/>
      <c r="I134" s="140">
        <v>7014.03</v>
      </c>
      <c r="J134" s="116">
        <f t="shared" si="54"/>
        <v>3507.0149999999999</v>
      </c>
      <c r="K134" s="114" t="s">
        <v>692</v>
      </c>
    </row>
    <row r="135" spans="2:11">
      <c r="B135" s="141" t="s">
        <v>693</v>
      </c>
      <c r="C135" s="113" t="s">
        <v>694</v>
      </c>
      <c r="F135" s="116">
        <v>4323.6000000000004</v>
      </c>
      <c r="G135" s="116">
        <f t="shared" si="53"/>
        <v>2161.8000000000002</v>
      </c>
      <c r="H135" s="113"/>
      <c r="I135" s="140">
        <v>4377.03</v>
      </c>
      <c r="J135" s="116">
        <f t="shared" si="54"/>
        <v>2188.5149999999999</v>
      </c>
      <c r="K135" s="114" t="s">
        <v>695</v>
      </c>
    </row>
    <row r="136" spans="2:11" ht="15.95">
      <c r="B136" s="139" t="s">
        <v>696</v>
      </c>
      <c r="C136" s="113" t="s">
        <v>697</v>
      </c>
      <c r="F136" s="116">
        <v>3828.91</v>
      </c>
      <c r="G136" s="116">
        <f>F136*(1-$M$4)</f>
        <v>1914.4549999999999</v>
      </c>
      <c r="H136" s="113"/>
      <c r="I136" s="140">
        <v>2090.9299999999998</v>
      </c>
      <c r="J136" s="116">
        <f>I136*(1-$C$284)</f>
        <v>1045.4649999999999</v>
      </c>
      <c r="K136" s="114" t="s">
        <v>671</v>
      </c>
    </row>
    <row r="137" spans="2:11">
      <c r="B137" s="141"/>
      <c r="C137" s="142"/>
      <c r="G137" s="113"/>
      <c r="H137" s="113"/>
      <c r="I137" s="113"/>
      <c r="J137" s="113"/>
      <c r="K137" s="114"/>
    </row>
    <row r="138" spans="2:11">
      <c r="B138" s="122" t="s">
        <v>698</v>
      </c>
      <c r="C138" s="119"/>
      <c r="D138" s="122"/>
      <c r="E138" s="122"/>
      <c r="F138" s="122" t="s">
        <v>673</v>
      </c>
      <c r="G138" s="122" t="s">
        <v>674</v>
      </c>
      <c r="H138" s="113"/>
      <c r="I138" s="122" t="s">
        <v>675</v>
      </c>
      <c r="J138" s="122" t="s">
        <v>656</v>
      </c>
      <c r="K138" s="120"/>
    </row>
    <row r="139" spans="2:11" ht="15.95">
      <c r="B139" s="139" t="s">
        <v>699</v>
      </c>
      <c r="C139" s="113" t="s">
        <v>700</v>
      </c>
      <c r="F139" s="116">
        <v>9308.2099999999991</v>
      </c>
      <c r="G139" s="116">
        <f>F139*(1-$M$4)</f>
        <v>4654.1049999999996</v>
      </c>
      <c r="H139" s="113"/>
      <c r="I139" s="140">
        <v>7541.78</v>
      </c>
      <c r="J139" s="116">
        <f>I139*(1-$C$284)</f>
        <v>3770.89</v>
      </c>
      <c r="K139" s="114" t="s">
        <v>701</v>
      </c>
    </row>
    <row r="140" spans="2:11">
      <c r="B140" s="141" t="s">
        <v>702</v>
      </c>
      <c r="C140" s="113" t="s">
        <v>703</v>
      </c>
      <c r="F140" s="116">
        <v>7913.86</v>
      </c>
      <c r="G140" s="116">
        <f>F140*(1-$M$4)</f>
        <v>3956.93</v>
      </c>
      <c r="H140" s="113"/>
      <c r="I140" s="140">
        <v>7030.63</v>
      </c>
      <c r="J140" s="116">
        <f>I140*(1-$C$284)</f>
        <v>3515.3150000000001</v>
      </c>
      <c r="K140" s="114" t="s">
        <v>704</v>
      </c>
    </row>
    <row r="141" spans="2:11">
      <c r="B141" s="141" t="s">
        <v>705</v>
      </c>
      <c r="C141" s="113" t="s">
        <v>706</v>
      </c>
      <c r="F141" s="116">
        <v>8157.55</v>
      </c>
      <c r="G141" s="116">
        <f>F141*(1-$M$4)</f>
        <v>4078.7750000000001</v>
      </c>
      <c r="H141" s="113"/>
      <c r="I141" s="140">
        <v>7030.63</v>
      </c>
      <c r="J141" s="116">
        <f>I141*(1-$C$284)</f>
        <v>3515.3150000000001</v>
      </c>
      <c r="K141" s="114" t="s">
        <v>707</v>
      </c>
    </row>
    <row r="142" spans="2:11" ht="15.95">
      <c r="B142" s="139" t="s">
        <v>708</v>
      </c>
      <c r="C142" s="113" t="s">
        <v>709</v>
      </c>
      <c r="F142" s="116">
        <v>7179.46</v>
      </c>
      <c r="G142" s="116">
        <f>F142*(1-$M$4)</f>
        <v>3589.73</v>
      </c>
      <c r="H142" s="113"/>
      <c r="I142" s="140">
        <v>6534.61</v>
      </c>
      <c r="J142" s="116">
        <f>I142*(1-$C$284)</f>
        <v>3267.3049999999998</v>
      </c>
      <c r="K142" s="114" t="s">
        <v>710</v>
      </c>
    </row>
    <row r="143" spans="2:11">
      <c r="B143" s="141" t="s">
        <v>711</v>
      </c>
      <c r="C143" s="113" t="s">
        <v>712</v>
      </c>
      <c r="F143" s="116">
        <v>9936.5300000000007</v>
      </c>
      <c r="G143" s="116">
        <f>F143*(1-$M$4)</f>
        <v>4968.2650000000003</v>
      </c>
      <c r="H143" s="113"/>
      <c r="I143" s="140">
        <v>7963.06</v>
      </c>
      <c r="J143" s="116">
        <f>I143*(1-$C$284)</f>
        <v>3981.53</v>
      </c>
      <c r="K143" s="114" t="s">
        <v>713</v>
      </c>
    </row>
    <row r="144" spans="2:11">
      <c r="B144" s="113"/>
      <c r="G144" s="113"/>
      <c r="H144" s="113"/>
      <c r="I144" s="113"/>
      <c r="J144" s="113"/>
      <c r="K144" s="114"/>
    </row>
    <row r="145" spans="2:11">
      <c r="B145" s="122" t="s">
        <v>714</v>
      </c>
      <c r="C145" s="119"/>
      <c r="D145" s="122"/>
      <c r="E145" s="122"/>
      <c r="F145" s="122" t="s">
        <v>673</v>
      </c>
      <c r="G145" s="122" t="s">
        <v>674</v>
      </c>
      <c r="H145" s="113"/>
      <c r="I145" s="122" t="s">
        <v>675</v>
      </c>
      <c r="J145" s="122" t="s">
        <v>656</v>
      </c>
      <c r="K145" s="120"/>
    </row>
    <row r="146" spans="2:11">
      <c r="B146" s="141" t="s">
        <v>715</v>
      </c>
      <c r="C146" s="113" t="s">
        <v>716</v>
      </c>
      <c r="F146" s="116">
        <v>1122.8900000000001</v>
      </c>
      <c r="G146" s="116">
        <f>F146*(1-$M$4)</f>
        <v>561.44500000000005</v>
      </c>
      <c r="H146" s="113"/>
      <c r="I146" s="140">
        <v>1218.0899999999999</v>
      </c>
      <c r="J146" s="116">
        <f>I146*(1-$C$284)</f>
        <v>609.04499999999996</v>
      </c>
      <c r="K146" s="116" t="s">
        <v>717</v>
      </c>
    </row>
    <row r="147" spans="2:11">
      <c r="B147" s="141" t="s">
        <v>718</v>
      </c>
      <c r="C147" s="113" t="s">
        <v>719</v>
      </c>
      <c r="F147" s="116">
        <v>2206.36</v>
      </c>
      <c r="G147" s="116">
        <f>F147*(1-$M$4)</f>
        <v>1103.18</v>
      </c>
      <c r="H147" s="113"/>
      <c r="I147" s="140">
        <v>2393.41</v>
      </c>
      <c r="J147" s="116">
        <f>I147*(1-$C$284)</f>
        <v>1196.7049999999999</v>
      </c>
      <c r="K147" s="116" t="s">
        <v>720</v>
      </c>
    </row>
    <row r="148" spans="2:11">
      <c r="B148" s="141" t="s">
        <v>721</v>
      </c>
      <c r="C148" s="113" t="s">
        <v>722</v>
      </c>
      <c r="F148" s="116">
        <v>2143.19</v>
      </c>
      <c r="G148" s="116">
        <f>F148*(1-$M$4)</f>
        <v>1071.595</v>
      </c>
      <c r="H148" s="113"/>
      <c r="I148" s="140">
        <v>2324.89</v>
      </c>
      <c r="J148" s="116">
        <f>I148*(1-$C$284)</f>
        <v>1162.4449999999999</v>
      </c>
      <c r="K148" s="116" t="s">
        <v>723</v>
      </c>
    </row>
    <row r="149" spans="2:11">
      <c r="B149" s="141" t="s">
        <v>724</v>
      </c>
      <c r="C149" s="113" t="s">
        <v>725</v>
      </c>
      <c r="F149" s="116">
        <v>3719.02</v>
      </c>
      <c r="G149" s="116">
        <f>F149*(1-$M$4)</f>
        <v>1859.51</v>
      </c>
      <c r="H149" s="113"/>
      <c r="I149" s="140">
        <v>4034.32</v>
      </c>
      <c r="J149" s="116">
        <f>I149*(1-$C$284)</f>
        <v>2017.16</v>
      </c>
      <c r="K149" s="116" t="s">
        <v>726</v>
      </c>
    </row>
    <row r="150" spans="2:11">
      <c r="B150" s="141" t="s">
        <v>727</v>
      </c>
      <c r="C150" s="113" t="s">
        <v>728</v>
      </c>
      <c r="F150" s="116">
        <v>3700.47</v>
      </c>
      <c r="G150" s="116">
        <f>F150*(1-$M$4)</f>
        <v>1850.2349999999999</v>
      </c>
      <c r="H150" s="113"/>
      <c r="I150" s="140">
        <v>4014.19</v>
      </c>
      <c r="J150" s="116">
        <f>I150*(1-$C$284)</f>
        <v>2007.095</v>
      </c>
      <c r="K150" s="116" t="s">
        <v>534</v>
      </c>
    </row>
    <row r="151" spans="2:11">
      <c r="B151" s="141"/>
      <c r="G151" s="113"/>
      <c r="H151" s="113"/>
      <c r="I151" s="140"/>
      <c r="J151" s="113"/>
    </row>
    <row r="152" spans="2:11">
      <c r="B152" s="122" t="s">
        <v>729</v>
      </c>
      <c r="C152" s="119"/>
      <c r="D152" s="122"/>
      <c r="E152" s="122"/>
      <c r="F152" s="122" t="s">
        <v>673</v>
      </c>
      <c r="G152" s="122" t="s">
        <v>674</v>
      </c>
      <c r="H152" s="113"/>
      <c r="I152" s="122" t="s">
        <v>675</v>
      </c>
      <c r="J152" s="122" t="s">
        <v>656</v>
      </c>
      <c r="K152" s="120"/>
    </row>
    <row r="153" spans="2:11">
      <c r="B153" s="141" t="s">
        <v>730</v>
      </c>
      <c r="C153" s="113" t="s">
        <v>731</v>
      </c>
      <c r="F153" s="116">
        <v>13578.78</v>
      </c>
      <c r="G153" s="116">
        <f>F153*(1-$M$4)</f>
        <v>6789.39</v>
      </c>
      <c r="H153" s="113"/>
      <c r="I153" s="140">
        <v>14729.99</v>
      </c>
      <c r="J153" s="116">
        <f>I153*(1-$C$284)</f>
        <v>7364.9949999999999</v>
      </c>
      <c r="K153" s="114" t="s">
        <v>717</v>
      </c>
    </row>
    <row r="154" spans="2:11">
      <c r="B154" s="141" t="s">
        <v>732</v>
      </c>
      <c r="C154" s="113" t="s">
        <v>733</v>
      </c>
      <c r="F154" s="116">
        <v>13383.8</v>
      </c>
      <c r="G154" s="116">
        <f>F154*(1-$M$4)</f>
        <v>6691.9</v>
      </c>
      <c r="H154" s="113"/>
      <c r="I154" s="140">
        <v>14518.47</v>
      </c>
      <c r="J154" s="116">
        <f>I154*(1-$C$284)</f>
        <v>7259.2349999999997</v>
      </c>
      <c r="K154" s="114" t="s">
        <v>720</v>
      </c>
    </row>
    <row r="155" spans="2:11">
      <c r="B155" s="141" t="s">
        <v>734</v>
      </c>
      <c r="C155" s="113" t="s">
        <v>735</v>
      </c>
      <c r="F155" s="116">
        <v>14045.76</v>
      </c>
      <c r="G155" s="116">
        <f>F155*(1-$M$4)</f>
        <v>7022.88</v>
      </c>
      <c r="H155" s="113"/>
      <c r="I155" s="140">
        <v>15236.56</v>
      </c>
      <c r="J155" s="116">
        <f>I155*(1-$C$284)</f>
        <v>7618.28</v>
      </c>
      <c r="K155" s="114" t="s">
        <v>736</v>
      </c>
    </row>
    <row r="156" spans="2:11">
      <c r="B156" s="141" t="s">
        <v>737</v>
      </c>
      <c r="C156" s="113" t="s">
        <v>738</v>
      </c>
      <c r="F156" s="116">
        <v>13853.19</v>
      </c>
      <c r="G156" s="116">
        <f>F156*(1-$M$4)</f>
        <v>6926.5950000000003</v>
      </c>
      <c r="H156" s="113"/>
      <c r="I156" s="140">
        <v>15027.66</v>
      </c>
      <c r="J156" s="116">
        <f>I156*(1-$C$284)</f>
        <v>7513.83</v>
      </c>
      <c r="K156" s="114" t="s">
        <v>726</v>
      </c>
    </row>
    <row r="157" spans="2:11">
      <c r="B157" s="113"/>
      <c r="G157" s="113"/>
      <c r="H157" s="113"/>
      <c r="I157" s="113"/>
      <c r="J157" s="113"/>
      <c r="K157" s="114"/>
    </row>
    <row r="158" spans="2:11">
      <c r="B158" s="122" t="s">
        <v>739</v>
      </c>
      <c r="C158" s="119"/>
      <c r="D158" s="122"/>
      <c r="E158" s="122"/>
      <c r="F158" s="122" t="s">
        <v>673</v>
      </c>
      <c r="G158" s="122" t="s">
        <v>674</v>
      </c>
      <c r="H158" s="113"/>
      <c r="I158" s="122" t="s">
        <v>675</v>
      </c>
      <c r="J158" s="122" t="s">
        <v>656</v>
      </c>
      <c r="K158" s="120"/>
    </row>
    <row r="159" spans="2:11">
      <c r="B159" s="113"/>
      <c r="C159" s="123" t="s">
        <v>740</v>
      </c>
      <c r="F159" s="116">
        <v>15000</v>
      </c>
      <c r="G159" s="116">
        <f>F159*(1-$M$4)</f>
        <v>7500</v>
      </c>
      <c r="H159" s="113"/>
      <c r="I159" s="113"/>
      <c r="J159" s="113"/>
    </row>
    <row r="160" spans="2:11">
      <c r="B160" s="141" t="s">
        <v>741</v>
      </c>
      <c r="C160" s="113" t="s">
        <v>742</v>
      </c>
      <c r="F160" s="116">
        <v>12922.1</v>
      </c>
      <c r="G160" s="116">
        <f>F160*(1-$M$4)</f>
        <v>6461.05</v>
      </c>
      <c r="H160" s="113"/>
      <c r="I160" s="140">
        <v>14017.63</v>
      </c>
      <c r="J160" s="116">
        <f>I160*(1-$C$284)</f>
        <v>7008.8149999999996</v>
      </c>
      <c r="K160" s="114" t="s">
        <v>723</v>
      </c>
    </row>
    <row r="161" spans="2:26">
      <c r="B161" s="141" t="s">
        <v>743</v>
      </c>
      <c r="C161" s="113" t="s">
        <v>744</v>
      </c>
      <c r="F161" s="116">
        <v>12744.93</v>
      </c>
      <c r="G161" s="116">
        <f>F161*(1-$M$4)</f>
        <v>6372.4650000000001</v>
      </c>
      <c r="H161" s="113"/>
      <c r="I161" s="140">
        <v>13825.44</v>
      </c>
      <c r="J161" s="116">
        <f>I161*(1-$C$284)</f>
        <v>6912.72</v>
      </c>
      <c r="K161" s="114" t="s">
        <v>726</v>
      </c>
    </row>
    <row r="162" spans="2:26" ht="15.95">
      <c r="B162" s="139" t="s">
        <v>745</v>
      </c>
      <c r="C162" s="113" t="s">
        <v>746</v>
      </c>
      <c r="F162" s="116">
        <v>12492.48</v>
      </c>
      <c r="G162" s="116">
        <f>F162*(1-$M$4)</f>
        <v>6246.24</v>
      </c>
      <c r="H162" s="113"/>
      <c r="I162" s="140">
        <v>13356.99</v>
      </c>
      <c r="J162" s="116">
        <f>I162*(1-$C$284)</f>
        <v>6678.4949999999999</v>
      </c>
      <c r="K162" s="114" t="s">
        <v>720</v>
      </c>
    </row>
    <row r="163" spans="2:26" ht="15.95">
      <c r="B163" s="139" t="s">
        <v>747</v>
      </c>
      <c r="C163" s="113" t="s">
        <v>748</v>
      </c>
      <c r="F163" s="116">
        <v>12313.09</v>
      </c>
      <c r="G163" s="116">
        <f>F163*(1-$M$4)</f>
        <v>6156.5450000000001</v>
      </c>
      <c r="H163" s="113"/>
      <c r="I163" s="140"/>
      <c r="K163" s="114"/>
    </row>
    <row r="164" spans="2:26">
      <c r="B164" s="113"/>
      <c r="G164" s="113"/>
      <c r="H164" s="113"/>
      <c r="I164" s="113"/>
      <c r="J164" s="113"/>
      <c r="K164" s="114"/>
      <c r="U164" s="126"/>
      <c r="V164" s="126"/>
      <c r="W164" s="126"/>
      <c r="X164" s="126"/>
      <c r="Y164" s="126"/>
      <c r="Z164" s="126"/>
    </row>
    <row r="165" spans="2:26">
      <c r="B165" s="122" t="s">
        <v>749</v>
      </c>
      <c r="C165" s="119"/>
      <c r="D165" s="122"/>
      <c r="E165" s="122"/>
      <c r="F165" s="122" t="s">
        <v>673</v>
      </c>
      <c r="G165" s="122" t="s">
        <v>674</v>
      </c>
      <c r="H165" s="113"/>
      <c r="I165" s="122" t="s">
        <v>675</v>
      </c>
      <c r="J165" s="122" t="s">
        <v>656</v>
      </c>
      <c r="K165" s="120"/>
    </row>
    <row r="166" spans="2:26">
      <c r="B166" s="141" t="s">
        <v>750</v>
      </c>
      <c r="C166" s="113" t="s">
        <v>751</v>
      </c>
      <c r="F166" s="116">
        <v>7751.04</v>
      </c>
      <c r="G166" s="116">
        <f>F166*(1-$M$4)</f>
        <v>3875.52</v>
      </c>
      <c r="H166" s="113"/>
      <c r="I166" s="140">
        <v>8408.17</v>
      </c>
      <c r="J166" s="116">
        <f>I166*(1-$C$284)</f>
        <v>4204.085</v>
      </c>
      <c r="K166" s="114"/>
      <c r="U166" s="126"/>
      <c r="V166" s="126"/>
      <c r="W166" s="126"/>
      <c r="X166" s="126"/>
      <c r="Y166" s="126"/>
      <c r="Z166" s="126"/>
    </row>
    <row r="167" spans="2:26">
      <c r="B167" s="141" t="s">
        <v>752</v>
      </c>
      <c r="C167" s="113" t="s">
        <v>753</v>
      </c>
      <c r="F167" s="116">
        <v>7573.86</v>
      </c>
      <c r="G167" s="116">
        <f>F167*(1-$M$4)</f>
        <v>3786.93</v>
      </c>
      <c r="H167" s="113"/>
      <c r="I167" s="140">
        <v>8215.9699999999993</v>
      </c>
      <c r="J167" s="116">
        <f>I167*(1-$C$284)</f>
        <v>4107.9849999999997</v>
      </c>
      <c r="K167" s="114"/>
    </row>
    <row r="168" spans="2:26">
      <c r="B168" s="141" t="s">
        <v>754</v>
      </c>
      <c r="C168" s="113" t="s">
        <v>755</v>
      </c>
      <c r="F168" s="116">
        <v>8193.9599999999991</v>
      </c>
      <c r="G168" s="116">
        <f>F168*(1-$M$4)</f>
        <v>4096.9799999999996</v>
      </c>
      <c r="H168" s="113"/>
      <c r="I168" s="113"/>
      <c r="J168" s="113"/>
      <c r="K168" s="114"/>
    </row>
    <row r="169" spans="2:26">
      <c r="B169" s="141" t="s">
        <v>756</v>
      </c>
      <c r="C169" s="113" t="s">
        <v>757</v>
      </c>
      <c r="F169" s="116">
        <v>8016.79</v>
      </c>
      <c r="G169" s="116">
        <f>F169*(1-$M$4)</f>
        <v>4008.395</v>
      </c>
      <c r="H169" s="113"/>
      <c r="I169" s="113"/>
      <c r="J169" s="113"/>
      <c r="K169" s="114"/>
    </row>
    <row r="170" spans="2:26">
      <c r="B170" s="143"/>
      <c r="F170" s="144"/>
      <c r="G170" s="113"/>
      <c r="H170" s="113"/>
      <c r="I170" s="113"/>
      <c r="J170" s="113"/>
      <c r="K170" s="114"/>
    </row>
    <row r="171" spans="2:26">
      <c r="B171" s="122" t="s">
        <v>485</v>
      </c>
      <c r="C171" s="119"/>
      <c r="D171" s="122"/>
      <c r="E171" s="122"/>
      <c r="F171" s="122" t="s">
        <v>673</v>
      </c>
      <c r="G171" s="122" t="s">
        <v>674</v>
      </c>
      <c r="H171" s="113"/>
      <c r="I171" s="122" t="s">
        <v>675</v>
      </c>
      <c r="J171" s="122" t="s">
        <v>656</v>
      </c>
      <c r="K171" s="120"/>
    </row>
    <row r="172" spans="2:26">
      <c r="B172" s="141" t="s">
        <v>758</v>
      </c>
      <c r="C172" s="113" t="s">
        <v>759</v>
      </c>
      <c r="F172" s="116">
        <v>6059.35</v>
      </c>
      <c r="G172" s="116">
        <f>F172*(1-$M$4)</f>
        <v>3029.6750000000002</v>
      </c>
      <c r="H172" s="113"/>
      <c r="I172" s="140">
        <v>6573.06</v>
      </c>
      <c r="J172" s="116">
        <f>I172*(1-$C$284)</f>
        <v>3286.53</v>
      </c>
      <c r="K172" s="114"/>
    </row>
    <row r="173" spans="2:26">
      <c r="B173" s="113"/>
      <c r="G173" s="113"/>
      <c r="H173" s="113"/>
      <c r="I173" s="113"/>
      <c r="J173" s="113"/>
      <c r="K173" s="114"/>
    </row>
    <row r="174" spans="2:26">
      <c r="B174" s="122" t="s">
        <v>760</v>
      </c>
      <c r="C174" s="119"/>
      <c r="D174" s="122"/>
      <c r="E174" s="122"/>
      <c r="F174" s="122" t="s">
        <v>673</v>
      </c>
      <c r="G174" s="122" t="s">
        <v>674</v>
      </c>
      <c r="H174" s="113"/>
      <c r="I174" s="122" t="s">
        <v>675</v>
      </c>
      <c r="J174" s="122" t="s">
        <v>656</v>
      </c>
      <c r="K174" s="120"/>
    </row>
    <row r="175" spans="2:26">
      <c r="B175" s="141" t="s">
        <v>761</v>
      </c>
      <c r="C175" s="113" t="s">
        <v>762</v>
      </c>
      <c r="F175" s="116">
        <v>642.04999999999995</v>
      </c>
      <c r="G175" s="116">
        <f>F175*(1-$M$4)</f>
        <v>321.02499999999998</v>
      </c>
      <c r="H175" s="113"/>
      <c r="I175" s="140">
        <v>696.48</v>
      </c>
      <c r="J175" s="116">
        <f>I175*(1-$C$284)</f>
        <v>348.24</v>
      </c>
      <c r="K175" s="114"/>
    </row>
    <row r="176" spans="2:26">
      <c r="B176" s="141" t="s">
        <v>763</v>
      </c>
      <c r="C176" s="113" t="s">
        <v>764</v>
      </c>
      <c r="F176" s="145">
        <f>132*2</f>
        <v>264</v>
      </c>
      <c r="G176" s="116">
        <f>F176*(1-$M$4)</f>
        <v>132</v>
      </c>
      <c r="H176" s="113"/>
      <c r="I176" s="140">
        <f>98.44</f>
        <v>98.44</v>
      </c>
      <c r="J176" s="116">
        <f>I176*(1-$C$284)</f>
        <v>49.22</v>
      </c>
      <c r="K176" s="114"/>
      <c r="L176" s="113"/>
    </row>
    <row r="177" spans="2:11">
      <c r="B177" s="141" t="s">
        <v>765</v>
      </c>
      <c r="C177" s="113" t="s">
        <v>766</v>
      </c>
      <c r="F177" s="145">
        <f>132*2</f>
        <v>264</v>
      </c>
      <c r="G177" s="116">
        <f>F177*(1-$M$4)</f>
        <v>132</v>
      </c>
      <c r="H177" s="113"/>
      <c r="I177" s="140">
        <f>126</f>
        <v>126</v>
      </c>
      <c r="J177" s="116">
        <f>I177*(1-$C$284)</f>
        <v>63</v>
      </c>
      <c r="K177" s="114"/>
    </row>
    <row r="178" spans="2:11">
      <c r="B178" s="113"/>
      <c r="G178" s="113"/>
      <c r="H178" s="113"/>
      <c r="I178" s="113"/>
      <c r="J178" s="113"/>
      <c r="K178" s="114"/>
    </row>
    <row r="179" spans="2:11">
      <c r="B179" s="122" t="s">
        <v>643</v>
      </c>
      <c r="C179" s="119"/>
      <c r="D179" s="122"/>
      <c r="E179" s="122"/>
      <c r="F179" s="122" t="s">
        <v>673</v>
      </c>
      <c r="G179" s="122" t="s">
        <v>674</v>
      </c>
      <c r="H179" s="113"/>
      <c r="I179" s="122" t="s">
        <v>675</v>
      </c>
      <c r="J179" s="122" t="s">
        <v>656</v>
      </c>
      <c r="K179" s="120"/>
    </row>
    <row r="180" spans="2:11" ht="15.95">
      <c r="B180" s="139" t="s">
        <v>767</v>
      </c>
      <c r="C180" s="113" t="s">
        <v>768</v>
      </c>
      <c r="F180" s="116">
        <v>312.87</v>
      </c>
      <c r="G180" s="116">
        <f>F180*(1-$M$4)</f>
        <v>156.435</v>
      </c>
      <c r="H180" s="113"/>
      <c r="I180" s="140">
        <v>339.4</v>
      </c>
      <c r="J180" s="116">
        <f>I180*(1-$C$284)</f>
        <v>169.7</v>
      </c>
      <c r="K180" s="114"/>
    </row>
    <row r="181" spans="2:11" ht="15.95">
      <c r="B181" s="139" t="s">
        <v>769</v>
      </c>
      <c r="C181" s="113" t="s">
        <v>770</v>
      </c>
      <c r="F181" s="116">
        <v>361.39</v>
      </c>
      <c r="G181" s="116">
        <f>F181*(1-$M$4)</f>
        <v>180.69499999999999</v>
      </c>
      <c r="H181" s="113"/>
      <c r="I181" s="140">
        <v>392.03</v>
      </c>
      <c r="J181" s="116">
        <f>I181*(1-$C$284)</f>
        <v>196.01499999999999</v>
      </c>
      <c r="K181" s="114"/>
    </row>
    <row r="182" spans="2:11" ht="15.95">
      <c r="B182" s="139" t="s">
        <v>771</v>
      </c>
      <c r="C182" s="113" t="s">
        <v>772</v>
      </c>
      <c r="F182" s="116">
        <v>551.76</v>
      </c>
      <c r="G182" s="116">
        <f>F182*(1-$M$4)</f>
        <v>275.88</v>
      </c>
      <c r="H182" s="113"/>
      <c r="I182" s="140">
        <v>598.53</v>
      </c>
      <c r="J182" s="116">
        <f>I182*(1-$C$284)</f>
        <v>299.26499999999999</v>
      </c>
      <c r="K182" s="114"/>
    </row>
    <row r="183" spans="2:11" ht="15.95">
      <c r="B183" s="139" t="s">
        <v>773</v>
      </c>
      <c r="C183" s="143" t="s">
        <v>774</v>
      </c>
      <c r="F183" s="140">
        <f>849.99*2</f>
        <v>1699.98</v>
      </c>
      <c r="G183" s="116">
        <f>F183*(1-$M$4)</f>
        <v>849.99</v>
      </c>
      <c r="H183" s="113"/>
      <c r="I183" s="140">
        <f>849.99*2</f>
        <v>1699.98</v>
      </c>
      <c r="J183" s="116">
        <f>I183*(1-$C$284)</f>
        <v>849.99</v>
      </c>
      <c r="K183" s="114"/>
    </row>
    <row r="184" spans="2:11">
      <c r="B184" s="113"/>
      <c r="G184" s="113"/>
      <c r="H184" s="113"/>
      <c r="I184" s="113"/>
      <c r="J184" s="113"/>
      <c r="K184" s="114"/>
    </row>
    <row r="185" spans="2:11">
      <c r="B185" s="122" t="s">
        <v>775</v>
      </c>
      <c r="C185" s="119"/>
      <c r="D185" s="122"/>
      <c r="E185" s="122"/>
      <c r="F185" s="122" t="s">
        <v>673</v>
      </c>
      <c r="G185" s="122" t="s">
        <v>674</v>
      </c>
      <c r="H185" s="113"/>
      <c r="I185" s="122" t="s">
        <v>675</v>
      </c>
      <c r="J185" s="122" t="s">
        <v>656</v>
      </c>
      <c r="K185" s="120"/>
    </row>
    <row r="186" spans="2:11">
      <c r="B186" s="113"/>
      <c r="C186" s="113" t="s">
        <v>593</v>
      </c>
      <c r="F186" s="140">
        <f>195*2</f>
        <v>390</v>
      </c>
      <c r="G186" s="116">
        <f t="shared" ref="G186:G191" si="55">F186*(1-$M$4)</f>
        <v>195</v>
      </c>
      <c r="H186" s="113"/>
      <c r="I186" s="140">
        <f>195*2</f>
        <v>390</v>
      </c>
      <c r="J186" s="116">
        <f>I186*(1-$C$284)</f>
        <v>195</v>
      </c>
      <c r="K186" s="114"/>
    </row>
    <row r="187" spans="2:11" ht="15.95">
      <c r="B187" s="139" t="s">
        <v>776</v>
      </c>
      <c r="C187" s="113" t="s">
        <v>777</v>
      </c>
      <c r="F187" s="116"/>
      <c r="G187" s="116">
        <f t="shared" si="55"/>
        <v>0</v>
      </c>
      <c r="H187" s="113"/>
      <c r="I187" s="140">
        <v>1615.52</v>
      </c>
      <c r="J187" s="116">
        <f>I187*(1-$C$284)</f>
        <v>807.76</v>
      </c>
    </row>
    <row r="188" spans="2:11" ht="15.95">
      <c r="B188" s="146" t="s">
        <v>778</v>
      </c>
      <c r="C188" s="147" t="s">
        <v>779</v>
      </c>
      <c r="F188" s="116">
        <v>1489.26</v>
      </c>
      <c r="G188" s="116">
        <f t="shared" si="55"/>
        <v>744.63</v>
      </c>
      <c r="H188" s="113"/>
      <c r="I188" s="140"/>
      <c r="J188" s="116">
        <f>I188*(1-$C$284)</f>
        <v>0</v>
      </c>
    </row>
    <row r="189" spans="2:11" ht="15.95">
      <c r="B189" s="139" t="s">
        <v>780</v>
      </c>
      <c r="C189" s="113" t="s">
        <v>781</v>
      </c>
      <c r="F189" s="116">
        <v>175.82</v>
      </c>
      <c r="G189" s="116">
        <f t="shared" si="55"/>
        <v>87.91</v>
      </c>
      <c r="H189" s="113"/>
      <c r="I189" s="140">
        <v>199.41</v>
      </c>
      <c r="J189" s="116">
        <f>I189*(1-$C$284)</f>
        <v>99.704999999999998</v>
      </c>
    </row>
    <row r="190" spans="2:11" ht="15.95">
      <c r="B190" s="139" t="s">
        <v>782</v>
      </c>
      <c r="C190" s="113" t="s">
        <v>783</v>
      </c>
      <c r="F190" s="116">
        <v>120.54</v>
      </c>
      <c r="G190" s="116">
        <f t="shared" si="55"/>
        <v>60.27</v>
      </c>
      <c r="H190" s="113"/>
      <c r="I190" s="140">
        <v>136.69999999999999</v>
      </c>
      <c r="J190" s="116">
        <f>I190*(1-$C$284)</f>
        <v>68.349999999999994</v>
      </c>
    </row>
    <row r="191" spans="2:11">
      <c r="B191" s="114" t="s">
        <v>784</v>
      </c>
      <c r="C191" s="113" t="s">
        <v>785</v>
      </c>
      <c r="F191" s="116">
        <v>67.28</v>
      </c>
      <c r="G191" s="116">
        <f t="shared" si="55"/>
        <v>33.64</v>
      </c>
      <c r="H191" s="113"/>
      <c r="I191" s="113"/>
      <c r="J191" s="113"/>
    </row>
    <row r="192" spans="2:11">
      <c r="G192" s="113"/>
      <c r="H192" s="113"/>
      <c r="I192" s="113"/>
      <c r="J192" s="113"/>
    </row>
    <row r="193" spans="2:11">
      <c r="B193" s="122" t="s">
        <v>786</v>
      </c>
      <c r="C193" s="119"/>
      <c r="D193" s="122"/>
      <c r="E193" s="122"/>
      <c r="F193" s="122" t="s">
        <v>673</v>
      </c>
      <c r="G193" s="122" t="s">
        <v>674</v>
      </c>
      <c r="H193" s="113"/>
      <c r="I193" s="122" t="s">
        <v>675</v>
      </c>
      <c r="J193" s="122" t="s">
        <v>656</v>
      </c>
      <c r="K193" s="120"/>
    </row>
    <row r="194" spans="2:11" ht="15.95">
      <c r="B194" s="139" t="s">
        <v>787</v>
      </c>
      <c r="C194" s="113" t="s">
        <v>788</v>
      </c>
      <c r="F194" s="116">
        <v>2605.37</v>
      </c>
      <c r="G194" s="116">
        <f t="shared" ref="G194:G200" si="56">F194*(1-$M$4)</f>
        <v>1302.6849999999999</v>
      </c>
      <c r="H194" s="113"/>
      <c r="I194" s="140">
        <v>2826.25</v>
      </c>
      <c r="J194" s="116">
        <f t="shared" ref="J194:J200" si="57">I194*(1-$C$284)</f>
        <v>1413.125</v>
      </c>
    </row>
    <row r="195" spans="2:11" ht="15.95">
      <c r="B195" s="139" t="s">
        <v>789</v>
      </c>
      <c r="C195" s="113" t="s">
        <v>790</v>
      </c>
      <c r="F195" s="116">
        <v>1187.44</v>
      </c>
      <c r="G195" s="116">
        <f t="shared" si="56"/>
        <v>593.72</v>
      </c>
      <c r="H195" s="113"/>
      <c r="I195" s="140">
        <v>1288.1099999999999</v>
      </c>
      <c r="J195" s="116">
        <f t="shared" si="57"/>
        <v>644.05499999999995</v>
      </c>
    </row>
    <row r="196" spans="2:11" ht="15.95">
      <c r="B196" s="139" t="s">
        <v>791</v>
      </c>
      <c r="C196" s="113" t="s">
        <v>792</v>
      </c>
      <c r="F196" s="116">
        <v>1773.1</v>
      </c>
      <c r="G196" s="116">
        <f t="shared" si="56"/>
        <v>886.55</v>
      </c>
      <c r="H196" s="113"/>
      <c r="I196" s="140">
        <v>1923.42</v>
      </c>
      <c r="J196" s="116">
        <f t="shared" si="57"/>
        <v>961.71</v>
      </c>
    </row>
    <row r="197" spans="2:11" ht="15.95">
      <c r="B197" s="139" t="s">
        <v>793</v>
      </c>
      <c r="C197" s="113" t="s">
        <v>794</v>
      </c>
      <c r="F197" s="116">
        <v>2684.91</v>
      </c>
      <c r="G197" s="116">
        <f t="shared" si="56"/>
        <v>1342.4549999999999</v>
      </c>
      <c r="H197" s="113"/>
      <c r="I197" s="140">
        <v>2912.54</v>
      </c>
      <c r="J197" s="116">
        <f t="shared" si="57"/>
        <v>1456.27</v>
      </c>
    </row>
    <row r="198" spans="2:11" ht="15.95">
      <c r="B198" s="139" t="s">
        <v>795</v>
      </c>
      <c r="C198" s="113" t="s">
        <v>796</v>
      </c>
      <c r="F198" s="116">
        <v>1838.94</v>
      </c>
      <c r="G198" s="116">
        <f t="shared" si="56"/>
        <v>919.47</v>
      </c>
      <c r="H198" s="113"/>
      <c r="I198" s="140">
        <v>1994.85</v>
      </c>
      <c r="J198" s="116">
        <f t="shared" si="57"/>
        <v>997.42499999999995</v>
      </c>
    </row>
    <row r="199" spans="2:11" ht="15.95">
      <c r="B199" s="139" t="s">
        <v>797</v>
      </c>
      <c r="C199" s="113" t="s">
        <v>798</v>
      </c>
      <c r="F199" s="116">
        <v>2581.34</v>
      </c>
      <c r="G199" s="116">
        <f t="shared" si="56"/>
        <v>1290.67</v>
      </c>
      <c r="H199" s="113"/>
      <c r="I199" s="140">
        <v>2800.18</v>
      </c>
      <c r="J199" s="116">
        <f t="shared" si="57"/>
        <v>1400.09</v>
      </c>
    </row>
    <row r="200" spans="2:11" ht="15.95">
      <c r="B200" s="139" t="s">
        <v>799</v>
      </c>
      <c r="C200" s="113" t="s">
        <v>800</v>
      </c>
      <c r="F200" s="116">
        <v>3413.26</v>
      </c>
      <c r="G200" s="116">
        <f t="shared" si="56"/>
        <v>1706.63</v>
      </c>
      <c r="H200" s="113"/>
      <c r="I200" s="140">
        <v>3702.64</v>
      </c>
      <c r="J200" s="116">
        <f t="shared" si="57"/>
        <v>1851.32</v>
      </c>
    </row>
    <row r="201" spans="2:11">
      <c r="G201" s="113"/>
      <c r="H201" s="113"/>
      <c r="I201" s="113"/>
      <c r="J201" s="113"/>
    </row>
    <row r="202" spans="2:11">
      <c r="B202" s="122" t="s">
        <v>801</v>
      </c>
      <c r="C202" s="119"/>
      <c r="D202" s="122"/>
      <c r="E202" s="122"/>
      <c r="F202" s="122" t="s">
        <v>673</v>
      </c>
      <c r="G202" s="122" t="s">
        <v>674</v>
      </c>
      <c r="H202" s="113"/>
      <c r="I202" s="122" t="s">
        <v>675</v>
      </c>
      <c r="J202" s="122" t="s">
        <v>656</v>
      </c>
      <c r="K202" s="120"/>
    </row>
    <row r="203" spans="2:11" ht="15.95">
      <c r="B203" s="139" t="s">
        <v>802</v>
      </c>
      <c r="C203" s="113" t="s">
        <v>803</v>
      </c>
      <c r="F203" s="116">
        <v>2609.38</v>
      </c>
      <c r="G203" s="116">
        <f>F203*(1-$N$4)</f>
        <v>1435.1590000000001</v>
      </c>
      <c r="H203" s="113"/>
      <c r="I203" s="140">
        <v>2830.6</v>
      </c>
      <c r="J203" s="116">
        <f>I203*(1-$N$4)</f>
        <v>1556.8300000000002</v>
      </c>
    </row>
    <row r="204" spans="2:11" ht="32.1">
      <c r="B204" s="139" t="s">
        <v>804</v>
      </c>
      <c r="C204" s="113" t="s">
        <v>805</v>
      </c>
      <c r="F204" s="116">
        <v>14195.04</v>
      </c>
      <c r="G204" s="116">
        <f>F204*(1-$N$4)</f>
        <v>7807.2720000000008</v>
      </c>
      <c r="H204" s="113"/>
      <c r="I204" s="140">
        <v>15398.49</v>
      </c>
      <c r="J204" s="116">
        <f>I204*(1-$N$4)</f>
        <v>8469.1695</v>
      </c>
    </row>
    <row r="205" spans="2:11" ht="32.1">
      <c r="B205" s="139" t="s">
        <v>806</v>
      </c>
      <c r="C205" s="113" t="s">
        <v>807</v>
      </c>
      <c r="F205" s="116">
        <v>19831.3</v>
      </c>
      <c r="G205" s="116">
        <f>F205*(1-$N$4)</f>
        <v>10907.215</v>
      </c>
      <c r="H205" s="113"/>
      <c r="I205" s="140">
        <v>21512.6</v>
      </c>
      <c r="J205" s="116">
        <f>I205*(1-$N$4)</f>
        <v>11831.93</v>
      </c>
    </row>
    <row r="206" spans="2:11" ht="15.95">
      <c r="B206" s="139" t="s">
        <v>808</v>
      </c>
      <c r="C206" s="113" t="s">
        <v>809</v>
      </c>
      <c r="F206" s="116">
        <v>209.19</v>
      </c>
      <c r="G206" s="116">
        <f>F206*(1-$N$4)</f>
        <v>115.0545</v>
      </c>
      <c r="H206" s="113"/>
      <c r="I206" s="140">
        <v>226.92</v>
      </c>
      <c r="J206" s="116">
        <f>I206*(1-$N$4)</f>
        <v>124.806</v>
      </c>
    </row>
    <row r="207" spans="2:11" ht="15.95">
      <c r="B207" s="139" t="s">
        <v>810</v>
      </c>
      <c r="C207" s="113" t="s">
        <v>811</v>
      </c>
      <c r="F207" s="116">
        <v>85.84</v>
      </c>
      <c r="G207" s="116">
        <f>F207*(1-$N$4)</f>
        <v>47.212000000000003</v>
      </c>
      <c r="H207" s="113"/>
      <c r="I207" s="140"/>
    </row>
    <row r="208" spans="2:11">
      <c r="G208" s="113"/>
      <c r="H208" s="113"/>
      <c r="I208" s="113"/>
      <c r="J208" s="113"/>
    </row>
    <row r="209" spans="2:12">
      <c r="B209" s="122" t="s">
        <v>812</v>
      </c>
      <c r="C209" s="119"/>
      <c r="D209" s="122"/>
      <c r="E209" s="122"/>
      <c r="F209" s="122" t="s">
        <v>673</v>
      </c>
      <c r="G209" s="122" t="s">
        <v>674</v>
      </c>
      <c r="H209" s="113"/>
      <c r="I209" s="122" t="s">
        <v>675</v>
      </c>
      <c r="J209" s="122" t="s">
        <v>656</v>
      </c>
      <c r="K209" s="120"/>
    </row>
    <row r="210" spans="2:12" ht="15.95">
      <c r="B210" s="139" t="s">
        <v>813</v>
      </c>
      <c r="C210" s="113" t="s">
        <v>814</v>
      </c>
      <c r="F210" s="116">
        <v>4391.91</v>
      </c>
      <c r="G210" s="116">
        <f>F210*(1-$M$4)</f>
        <v>2195.9549999999999</v>
      </c>
      <c r="H210" s="113"/>
      <c r="I210" s="140">
        <v>4764.26</v>
      </c>
      <c r="J210" s="116">
        <f>I210*(1-$C$284)</f>
        <v>2382.13</v>
      </c>
    </row>
    <row r="211" spans="2:12">
      <c r="B211" s="114" t="s">
        <v>815</v>
      </c>
      <c r="C211" s="113" t="s">
        <v>816</v>
      </c>
      <c r="F211" s="116">
        <v>57.99</v>
      </c>
      <c r="G211" s="116">
        <f>F211*(1-$M$4)</f>
        <v>28.995000000000001</v>
      </c>
      <c r="H211" s="113"/>
      <c r="I211" s="113"/>
      <c r="J211" s="113"/>
    </row>
    <row r="212" spans="2:12">
      <c r="G212" s="113"/>
      <c r="H212" s="113"/>
      <c r="I212" s="113"/>
      <c r="J212" s="113"/>
    </row>
    <row r="213" spans="2:12">
      <c r="B213" s="122" t="s">
        <v>817</v>
      </c>
      <c r="C213" s="119"/>
      <c r="D213" s="122"/>
      <c r="E213" s="122"/>
      <c r="F213" s="122" t="s">
        <v>673</v>
      </c>
      <c r="G213" s="122" t="s">
        <v>674</v>
      </c>
      <c r="H213" s="113"/>
      <c r="I213" s="122" t="s">
        <v>675</v>
      </c>
      <c r="J213" s="122" t="s">
        <v>656</v>
      </c>
      <c r="K213" s="120"/>
    </row>
    <row r="214" spans="2:12" ht="15.95">
      <c r="B214" s="139" t="s">
        <v>818</v>
      </c>
      <c r="C214" s="143" t="s">
        <v>819</v>
      </c>
      <c r="F214" s="148">
        <v>6449.6</v>
      </c>
      <c r="G214" s="116">
        <f>F214</f>
        <v>6449.6</v>
      </c>
      <c r="H214" s="113"/>
      <c r="I214" s="140">
        <f>4754.12</f>
        <v>4754.12</v>
      </c>
      <c r="J214" s="116">
        <f>I214*(1-$C$284)</f>
        <v>2377.06</v>
      </c>
    </row>
    <row r="215" spans="2:12">
      <c r="C215" s="158"/>
      <c r="G215" s="113"/>
      <c r="H215" s="113"/>
      <c r="I215" s="113"/>
      <c r="J215" s="113"/>
    </row>
    <row r="216" spans="2:12">
      <c r="B216" s="122" t="s">
        <v>820</v>
      </c>
      <c r="C216" s="119"/>
      <c r="D216" s="122"/>
      <c r="E216" s="122"/>
      <c r="F216" s="122" t="s">
        <v>673</v>
      </c>
      <c r="G216" s="122" t="s">
        <v>674</v>
      </c>
      <c r="H216" s="113"/>
      <c r="I216" s="122" t="s">
        <v>675</v>
      </c>
      <c r="J216" s="122" t="s">
        <v>656</v>
      </c>
      <c r="K216" s="120"/>
    </row>
    <row r="217" spans="2:12" ht="15.95">
      <c r="B217" s="139" t="s">
        <v>237</v>
      </c>
      <c r="C217" s="122" t="s">
        <v>820</v>
      </c>
      <c r="F217" s="148">
        <v>6750</v>
      </c>
      <c r="G217" s="116">
        <f>F217*(1-$M$4)</f>
        <v>3375</v>
      </c>
      <c r="H217" s="113"/>
      <c r="I217" s="140">
        <v>6750</v>
      </c>
      <c r="J217" s="116">
        <f>I217*(1-$C$284)</f>
        <v>3375</v>
      </c>
    </row>
    <row r="218" spans="2:12">
      <c r="G218" s="113"/>
      <c r="H218" s="113"/>
      <c r="I218" s="113"/>
      <c r="J218" s="113"/>
    </row>
    <row r="219" spans="2:12">
      <c r="B219" s="122" t="s">
        <v>358</v>
      </c>
      <c r="C219" s="119"/>
      <c r="D219" s="122"/>
      <c r="E219" s="122"/>
      <c r="F219" s="122" t="s">
        <v>673</v>
      </c>
      <c r="G219" s="122" t="s">
        <v>674</v>
      </c>
      <c r="H219" s="113"/>
      <c r="I219" s="122" t="s">
        <v>675</v>
      </c>
      <c r="J219" s="122" t="s">
        <v>656</v>
      </c>
      <c r="K219" s="120"/>
    </row>
    <row r="220" spans="2:12" ht="15.95">
      <c r="B220" s="139" t="s">
        <v>821</v>
      </c>
      <c r="C220" s="113" t="s">
        <v>822</v>
      </c>
      <c r="F220" s="148">
        <v>1705.22</v>
      </c>
      <c r="G220" s="116">
        <f>F220*(1-$M$4)</f>
        <v>852.61</v>
      </c>
      <c r="H220" s="113"/>
      <c r="I220" s="140">
        <v>1849.79</v>
      </c>
      <c r="J220" s="116">
        <f>I220*(1-$C$284)</f>
        <v>924.89499999999998</v>
      </c>
    </row>
    <row r="221" spans="2:12" ht="15.95">
      <c r="B221" s="139" t="s">
        <v>823</v>
      </c>
      <c r="C221" s="113" t="s">
        <v>824</v>
      </c>
      <c r="F221" s="148">
        <v>858.84</v>
      </c>
      <c r="G221" s="116">
        <f>F221</f>
        <v>858.84</v>
      </c>
      <c r="H221" s="113"/>
      <c r="I221" s="140"/>
    </row>
    <row r="222" spans="2:12" ht="15.95">
      <c r="B222" s="139" t="s">
        <v>825</v>
      </c>
      <c r="C222" s="113" t="s">
        <v>826</v>
      </c>
      <c r="F222" s="148">
        <v>247.08</v>
      </c>
      <c r="G222" s="116">
        <f>F222</f>
        <v>247.08</v>
      </c>
      <c r="H222" s="113"/>
      <c r="I222" s="140"/>
    </row>
    <row r="223" spans="2:12">
      <c r="B223" s="139"/>
      <c r="G223" s="113"/>
      <c r="H223" s="113"/>
      <c r="I223" s="113"/>
      <c r="J223" s="113"/>
    </row>
    <row r="224" spans="2:12">
      <c r="B224" s="122" t="s">
        <v>827</v>
      </c>
      <c r="C224" s="122"/>
      <c r="F224" s="122" t="s">
        <v>673</v>
      </c>
      <c r="G224" s="113" t="s">
        <v>674</v>
      </c>
      <c r="H224" s="113"/>
      <c r="I224" s="122" t="s">
        <v>675</v>
      </c>
      <c r="J224" s="113" t="s">
        <v>656</v>
      </c>
      <c r="K224" s="114"/>
      <c r="L224" s="149" t="s">
        <v>828</v>
      </c>
    </row>
    <row r="225" spans="2:14" ht="15.95">
      <c r="B225" s="139" t="s">
        <v>829</v>
      </c>
      <c r="C225" s="113" t="s">
        <v>830</v>
      </c>
      <c r="F225" s="148">
        <v>703.38</v>
      </c>
      <c r="G225" s="116">
        <f t="shared" ref="G225:G248" si="58">F225*(1-$M$4)</f>
        <v>351.69</v>
      </c>
      <c r="H225" s="113"/>
      <c r="I225" s="140">
        <v>763.2</v>
      </c>
      <c r="J225" s="116">
        <f t="shared" ref="J225:J248" si="59">I225*(1-$C$284)</f>
        <v>381.6</v>
      </c>
      <c r="L225" s="149" t="s">
        <v>831</v>
      </c>
      <c r="M225" s="113" t="s">
        <v>830</v>
      </c>
      <c r="N225" s="150">
        <v>703.38</v>
      </c>
    </row>
    <row r="226" spans="2:14" ht="15.95">
      <c r="B226" s="139" t="s">
        <v>832</v>
      </c>
      <c r="C226" s="113" t="s">
        <v>833</v>
      </c>
      <c r="F226" s="148">
        <v>703.38</v>
      </c>
      <c r="G226" s="116">
        <f t="shared" si="58"/>
        <v>351.69</v>
      </c>
      <c r="H226" s="113"/>
      <c r="I226" s="140">
        <v>763.2</v>
      </c>
      <c r="J226" s="116">
        <f t="shared" si="59"/>
        <v>381.6</v>
      </c>
      <c r="L226" s="149" t="s">
        <v>834</v>
      </c>
      <c r="M226" s="113" t="s">
        <v>833</v>
      </c>
      <c r="N226" s="150">
        <v>703.38</v>
      </c>
    </row>
    <row r="227" spans="2:14" ht="15.95">
      <c r="B227" s="139" t="s">
        <v>835</v>
      </c>
      <c r="C227" s="113" t="s">
        <v>836</v>
      </c>
      <c r="F227" s="148">
        <v>703.38</v>
      </c>
      <c r="G227" s="116">
        <f t="shared" si="58"/>
        <v>351.69</v>
      </c>
      <c r="H227" s="113"/>
      <c r="I227" s="140">
        <v>763.2</v>
      </c>
      <c r="J227" s="116">
        <f t="shared" si="59"/>
        <v>381.6</v>
      </c>
      <c r="L227" s="149" t="s">
        <v>837</v>
      </c>
      <c r="M227" s="113" t="s">
        <v>836</v>
      </c>
      <c r="N227" s="150">
        <v>703.38</v>
      </c>
    </row>
    <row r="228" spans="2:14" ht="15.95">
      <c r="B228" s="139" t="s">
        <v>838</v>
      </c>
      <c r="C228" s="113" t="s">
        <v>839</v>
      </c>
      <c r="F228" s="148">
        <v>703.38</v>
      </c>
      <c r="G228" s="116">
        <f t="shared" si="58"/>
        <v>351.69</v>
      </c>
      <c r="H228" s="113"/>
      <c r="I228" s="140">
        <v>763.2</v>
      </c>
      <c r="J228" s="116">
        <f t="shared" si="59"/>
        <v>381.6</v>
      </c>
      <c r="L228" s="149" t="s">
        <v>840</v>
      </c>
      <c r="M228" s="113" t="s">
        <v>839</v>
      </c>
      <c r="N228" s="150">
        <v>703.38</v>
      </c>
    </row>
    <row r="229" spans="2:14" ht="15.95">
      <c r="B229" s="139" t="s">
        <v>841</v>
      </c>
      <c r="C229" s="113" t="s">
        <v>842</v>
      </c>
      <c r="F229" s="148">
        <v>703.38</v>
      </c>
      <c r="G229" s="116">
        <f t="shared" si="58"/>
        <v>351.69</v>
      </c>
      <c r="H229" s="113"/>
      <c r="I229" s="140">
        <v>763.2</v>
      </c>
      <c r="J229" s="116">
        <f t="shared" si="59"/>
        <v>381.6</v>
      </c>
      <c r="L229" s="149" t="s">
        <v>843</v>
      </c>
      <c r="M229" s="113" t="s">
        <v>842</v>
      </c>
      <c r="N229" s="150">
        <v>703.38</v>
      </c>
    </row>
    <row r="230" spans="2:14" ht="15.95">
      <c r="B230" s="139" t="s">
        <v>844</v>
      </c>
      <c r="C230" s="113" t="s">
        <v>845</v>
      </c>
      <c r="F230" s="148">
        <v>703.38</v>
      </c>
      <c r="G230" s="116">
        <f t="shared" si="58"/>
        <v>351.69</v>
      </c>
      <c r="H230" s="113"/>
      <c r="I230" s="140">
        <v>763.2</v>
      </c>
      <c r="J230" s="116">
        <f t="shared" si="59"/>
        <v>381.6</v>
      </c>
      <c r="L230" s="149" t="s">
        <v>846</v>
      </c>
      <c r="M230" s="113" t="s">
        <v>845</v>
      </c>
      <c r="N230" s="150">
        <v>703.38</v>
      </c>
    </row>
    <row r="231" spans="2:14" ht="15.95">
      <c r="B231" s="139" t="s">
        <v>847</v>
      </c>
      <c r="C231" s="113" t="s">
        <v>848</v>
      </c>
      <c r="F231" s="148">
        <v>703.38</v>
      </c>
      <c r="G231" s="116">
        <f t="shared" si="58"/>
        <v>351.69</v>
      </c>
      <c r="H231" s="113"/>
      <c r="I231" s="140">
        <v>763.2</v>
      </c>
      <c r="J231" s="116">
        <f t="shared" si="59"/>
        <v>381.6</v>
      </c>
      <c r="L231" s="149" t="s">
        <v>849</v>
      </c>
      <c r="M231" s="113" t="s">
        <v>848</v>
      </c>
      <c r="N231" s="150">
        <v>703.38</v>
      </c>
    </row>
    <row r="232" spans="2:14" ht="15.95">
      <c r="B232" s="139" t="s">
        <v>850</v>
      </c>
      <c r="C232" s="113" t="s">
        <v>851</v>
      </c>
      <c r="F232" s="148">
        <v>703.38</v>
      </c>
      <c r="G232" s="116">
        <f t="shared" si="58"/>
        <v>351.69</v>
      </c>
      <c r="H232" s="113"/>
      <c r="I232" s="140">
        <v>763.2</v>
      </c>
      <c r="J232" s="116">
        <f t="shared" si="59"/>
        <v>381.6</v>
      </c>
      <c r="L232" s="149" t="s">
        <v>852</v>
      </c>
      <c r="M232" s="113" t="s">
        <v>851</v>
      </c>
      <c r="N232" s="150">
        <v>703.38</v>
      </c>
    </row>
    <row r="233" spans="2:14" ht="15.95">
      <c r="B233" s="139" t="s">
        <v>853</v>
      </c>
      <c r="C233" s="113" t="s">
        <v>854</v>
      </c>
      <c r="F233" s="148">
        <v>703.38</v>
      </c>
      <c r="G233" s="116">
        <f t="shared" si="58"/>
        <v>351.69</v>
      </c>
      <c r="H233" s="113"/>
      <c r="I233" s="140">
        <v>763.2</v>
      </c>
      <c r="J233" s="116">
        <f t="shared" si="59"/>
        <v>381.6</v>
      </c>
      <c r="L233" s="149" t="s">
        <v>855</v>
      </c>
      <c r="M233" s="113" t="s">
        <v>854</v>
      </c>
      <c r="N233" s="150">
        <v>703.38</v>
      </c>
    </row>
    <row r="234" spans="2:14" ht="15.95">
      <c r="B234" s="139" t="s">
        <v>856</v>
      </c>
      <c r="C234" s="113" t="s">
        <v>857</v>
      </c>
      <c r="F234" s="148">
        <v>703.38</v>
      </c>
      <c r="G234" s="116">
        <f t="shared" si="58"/>
        <v>351.69</v>
      </c>
      <c r="H234" s="113"/>
      <c r="I234" s="140">
        <v>763.2</v>
      </c>
      <c r="J234" s="116">
        <f t="shared" si="59"/>
        <v>381.6</v>
      </c>
      <c r="L234" s="149" t="s">
        <v>858</v>
      </c>
      <c r="M234" s="113" t="s">
        <v>857</v>
      </c>
      <c r="N234" s="150">
        <v>703.38</v>
      </c>
    </row>
    <row r="235" spans="2:14" ht="15.95">
      <c r="B235" s="139" t="s">
        <v>859</v>
      </c>
      <c r="C235" s="113" t="s">
        <v>860</v>
      </c>
      <c r="F235" s="148">
        <v>703.38</v>
      </c>
      <c r="G235" s="116">
        <f t="shared" si="58"/>
        <v>351.69</v>
      </c>
      <c r="H235" s="113"/>
      <c r="I235" s="140">
        <v>763.2</v>
      </c>
      <c r="J235" s="116">
        <f t="shared" si="59"/>
        <v>381.6</v>
      </c>
      <c r="L235" s="149" t="s">
        <v>861</v>
      </c>
      <c r="M235" s="113" t="s">
        <v>860</v>
      </c>
      <c r="N235" s="150">
        <v>703.38</v>
      </c>
    </row>
    <row r="236" spans="2:14" ht="15.95">
      <c r="B236" s="139" t="s">
        <v>862</v>
      </c>
      <c r="C236" s="113" t="s">
        <v>863</v>
      </c>
      <c r="F236" s="148">
        <v>703.38</v>
      </c>
      <c r="G236" s="116">
        <f t="shared" si="58"/>
        <v>351.69</v>
      </c>
      <c r="H236" s="113"/>
      <c r="I236" s="140">
        <v>763.2</v>
      </c>
      <c r="J236" s="116">
        <f t="shared" si="59"/>
        <v>381.6</v>
      </c>
      <c r="L236" s="149" t="s">
        <v>864</v>
      </c>
      <c r="M236" s="113" t="s">
        <v>863</v>
      </c>
      <c r="N236" s="150">
        <v>703.38</v>
      </c>
    </row>
    <row r="237" spans="2:14" ht="15.95">
      <c r="B237" s="139" t="s">
        <v>865</v>
      </c>
      <c r="C237" s="113" t="s">
        <v>866</v>
      </c>
      <c r="F237" s="148">
        <v>703.38</v>
      </c>
      <c r="G237" s="116">
        <f t="shared" si="58"/>
        <v>351.69</v>
      </c>
      <c r="H237" s="113"/>
      <c r="I237" s="140">
        <v>763.2</v>
      </c>
      <c r="J237" s="116">
        <f t="shared" si="59"/>
        <v>381.6</v>
      </c>
      <c r="L237" s="149" t="s">
        <v>867</v>
      </c>
      <c r="M237" s="116" t="s">
        <v>868</v>
      </c>
      <c r="N237" s="150">
        <v>703.38</v>
      </c>
    </row>
    <row r="238" spans="2:14" ht="15.95">
      <c r="B238" s="139" t="s">
        <v>869</v>
      </c>
      <c r="C238" s="113" t="s">
        <v>870</v>
      </c>
      <c r="F238" s="148">
        <v>703.38</v>
      </c>
      <c r="G238" s="116">
        <f t="shared" si="58"/>
        <v>351.69</v>
      </c>
      <c r="H238" s="113"/>
      <c r="I238" s="140">
        <v>763.2</v>
      </c>
      <c r="J238" s="116">
        <f t="shared" si="59"/>
        <v>381.6</v>
      </c>
      <c r="L238" s="149" t="s">
        <v>871</v>
      </c>
      <c r="M238" s="116" t="s">
        <v>872</v>
      </c>
      <c r="N238" s="150">
        <v>703.38</v>
      </c>
    </row>
    <row r="239" spans="2:14" ht="15.95">
      <c r="B239" s="139" t="s">
        <v>873</v>
      </c>
      <c r="C239" s="113" t="s">
        <v>874</v>
      </c>
      <c r="F239" s="148">
        <v>703.38</v>
      </c>
      <c r="G239" s="116">
        <f t="shared" si="58"/>
        <v>351.69</v>
      </c>
      <c r="H239" s="113"/>
      <c r="I239" s="140">
        <v>763.2</v>
      </c>
      <c r="J239" s="116">
        <f t="shared" si="59"/>
        <v>381.6</v>
      </c>
      <c r="L239" s="149" t="s">
        <v>875</v>
      </c>
      <c r="M239" s="116" t="s">
        <v>876</v>
      </c>
      <c r="N239" s="150">
        <v>703.38</v>
      </c>
    </row>
    <row r="240" spans="2:14" ht="15.95">
      <c r="B240" s="139" t="s">
        <v>877</v>
      </c>
      <c r="C240" s="113" t="s">
        <v>878</v>
      </c>
      <c r="F240" s="148">
        <v>703.38</v>
      </c>
      <c r="G240" s="116">
        <f t="shared" si="58"/>
        <v>351.69</v>
      </c>
      <c r="H240" s="113"/>
      <c r="I240" s="140">
        <v>763.2</v>
      </c>
      <c r="J240" s="116">
        <f t="shared" si="59"/>
        <v>381.6</v>
      </c>
      <c r="L240" s="149" t="s">
        <v>879</v>
      </c>
      <c r="M240" s="116" t="s">
        <v>880</v>
      </c>
      <c r="N240" s="150">
        <v>703.38</v>
      </c>
    </row>
    <row r="241" spans="2:17" ht="15.95">
      <c r="B241" s="139" t="s">
        <v>881</v>
      </c>
      <c r="C241" s="113" t="s">
        <v>882</v>
      </c>
      <c r="F241" s="148">
        <v>703.38</v>
      </c>
      <c r="G241" s="116">
        <f t="shared" si="58"/>
        <v>351.69</v>
      </c>
      <c r="H241" s="113"/>
      <c r="I241" s="140">
        <v>763.2</v>
      </c>
      <c r="J241" s="116">
        <f t="shared" si="59"/>
        <v>381.6</v>
      </c>
      <c r="L241" s="149" t="s">
        <v>883</v>
      </c>
      <c r="M241" s="116" t="s">
        <v>884</v>
      </c>
      <c r="N241" s="150">
        <v>703.38</v>
      </c>
    </row>
    <row r="242" spans="2:17" ht="15.95">
      <c r="B242" s="139" t="s">
        <v>885</v>
      </c>
      <c r="C242" s="113" t="s">
        <v>886</v>
      </c>
      <c r="F242" s="148">
        <v>703.38</v>
      </c>
      <c r="G242" s="116">
        <f t="shared" si="58"/>
        <v>351.69</v>
      </c>
      <c r="H242" s="113"/>
      <c r="I242" s="140">
        <v>763.2</v>
      </c>
      <c r="J242" s="116">
        <f t="shared" si="59"/>
        <v>381.6</v>
      </c>
      <c r="L242" s="149" t="s">
        <v>887</v>
      </c>
      <c r="M242" s="116" t="s">
        <v>888</v>
      </c>
      <c r="N242" s="150">
        <v>703.38</v>
      </c>
    </row>
    <row r="243" spans="2:17" ht="15.95">
      <c r="B243" s="139" t="s">
        <v>889</v>
      </c>
      <c r="C243" s="113" t="s">
        <v>890</v>
      </c>
      <c r="F243" s="148">
        <v>703.38</v>
      </c>
      <c r="G243" s="116">
        <f t="shared" si="58"/>
        <v>351.69</v>
      </c>
      <c r="H243" s="113"/>
      <c r="I243" s="140">
        <v>763.2</v>
      </c>
      <c r="J243" s="116">
        <f t="shared" si="59"/>
        <v>381.6</v>
      </c>
      <c r="L243" s="149" t="s">
        <v>891</v>
      </c>
      <c r="M243" s="116" t="s">
        <v>892</v>
      </c>
      <c r="N243" s="150">
        <v>703.38</v>
      </c>
    </row>
    <row r="244" spans="2:17" ht="15.95">
      <c r="B244" s="139" t="s">
        <v>893</v>
      </c>
      <c r="C244" s="113" t="s">
        <v>894</v>
      </c>
      <c r="F244" s="148">
        <v>703.38</v>
      </c>
      <c r="G244" s="116">
        <f t="shared" si="58"/>
        <v>351.69</v>
      </c>
      <c r="H244" s="113"/>
      <c r="I244" s="140">
        <v>763.2</v>
      </c>
      <c r="J244" s="116">
        <f t="shared" si="59"/>
        <v>381.6</v>
      </c>
      <c r="L244" s="149" t="s">
        <v>895</v>
      </c>
      <c r="M244" s="116" t="s">
        <v>896</v>
      </c>
      <c r="N244" s="150">
        <v>703.38</v>
      </c>
    </row>
    <row r="245" spans="2:17" ht="15.95">
      <c r="B245" s="139" t="s">
        <v>897</v>
      </c>
      <c r="C245" s="113" t="s">
        <v>898</v>
      </c>
      <c r="F245" s="148">
        <v>703.38</v>
      </c>
      <c r="G245" s="116">
        <f t="shared" si="58"/>
        <v>351.69</v>
      </c>
      <c r="H245" s="113"/>
      <c r="I245" s="140">
        <v>763.2</v>
      </c>
      <c r="J245" s="116">
        <f t="shared" si="59"/>
        <v>381.6</v>
      </c>
      <c r="L245" s="149" t="s">
        <v>899</v>
      </c>
      <c r="M245" s="116" t="s">
        <v>900</v>
      </c>
      <c r="N245" s="150">
        <v>703.38</v>
      </c>
    </row>
    <row r="246" spans="2:17" ht="15.95">
      <c r="B246" s="139" t="s">
        <v>901</v>
      </c>
      <c r="C246" s="113" t="s">
        <v>902</v>
      </c>
      <c r="F246" s="148">
        <v>703.38</v>
      </c>
      <c r="G246" s="116">
        <f t="shared" si="58"/>
        <v>351.69</v>
      </c>
      <c r="H246" s="113"/>
      <c r="I246" s="140">
        <v>763.2</v>
      </c>
      <c r="J246" s="116">
        <f t="shared" si="59"/>
        <v>381.6</v>
      </c>
      <c r="L246" s="149" t="s">
        <v>903</v>
      </c>
      <c r="M246" s="116" t="s">
        <v>904</v>
      </c>
      <c r="N246" s="150">
        <v>703.38</v>
      </c>
    </row>
    <row r="247" spans="2:17" ht="15.95">
      <c r="B247" s="139" t="s">
        <v>905</v>
      </c>
      <c r="C247" s="113" t="s">
        <v>906</v>
      </c>
      <c r="F247" s="148">
        <v>703.38</v>
      </c>
      <c r="G247" s="116">
        <f t="shared" si="58"/>
        <v>351.69</v>
      </c>
      <c r="H247" s="113"/>
      <c r="I247" s="140">
        <v>763.2</v>
      </c>
      <c r="J247" s="116">
        <f t="shared" si="59"/>
        <v>381.6</v>
      </c>
      <c r="L247" s="149" t="s">
        <v>907</v>
      </c>
      <c r="M247" s="116" t="s">
        <v>908</v>
      </c>
      <c r="N247" s="150">
        <v>703.38</v>
      </c>
    </row>
    <row r="248" spans="2:17" ht="15.95">
      <c r="B248" s="139" t="s">
        <v>909</v>
      </c>
      <c r="C248" s="113" t="s">
        <v>910</v>
      </c>
      <c r="F248" s="148">
        <v>703.38</v>
      </c>
      <c r="G248" s="116">
        <f t="shared" si="58"/>
        <v>351.69</v>
      </c>
      <c r="H248" s="113"/>
      <c r="I248" s="140">
        <v>763.2</v>
      </c>
      <c r="J248" s="116">
        <f t="shared" si="59"/>
        <v>381.6</v>
      </c>
      <c r="L248" s="149" t="s">
        <v>911</v>
      </c>
      <c r="M248" s="116" t="s">
        <v>912</v>
      </c>
      <c r="N248" s="150">
        <v>703.38</v>
      </c>
      <c r="P248" s="149" t="s">
        <v>769</v>
      </c>
      <c r="Q248" s="151" t="s">
        <v>770</v>
      </c>
    </row>
    <row r="249" spans="2:17">
      <c r="B249" s="139"/>
      <c r="H249" s="113"/>
      <c r="I249" s="140"/>
      <c r="L249" s="149" t="s">
        <v>913</v>
      </c>
    </row>
    <row r="250" spans="2:17" ht="15.95">
      <c r="B250" s="139" t="s">
        <v>914</v>
      </c>
      <c r="C250" s="113" t="s">
        <v>915</v>
      </c>
      <c r="F250" s="148">
        <f>1988.92</f>
        <v>1988.92</v>
      </c>
      <c r="G250" s="116">
        <f t="shared" ref="G250:G260" si="60">F250*(1-$M$4)</f>
        <v>994.46</v>
      </c>
      <c r="H250" s="113"/>
      <c r="I250" s="140">
        <v>2157.54</v>
      </c>
      <c r="J250" s="116">
        <f t="shared" ref="J250:J260" si="61">I250*(1-$C$284)</f>
        <v>1078.77</v>
      </c>
      <c r="L250" s="149" t="s">
        <v>916</v>
      </c>
      <c r="M250" s="116" t="s">
        <v>917</v>
      </c>
      <c r="O250" s="150">
        <v>1988.92</v>
      </c>
    </row>
    <row r="251" spans="2:17" ht="15.95">
      <c r="B251" s="139" t="s">
        <v>918</v>
      </c>
      <c r="C251" s="113" t="s">
        <v>919</v>
      </c>
      <c r="F251" s="148">
        <f t="shared" ref="F251:F254" si="62">1988.92</f>
        <v>1988.92</v>
      </c>
      <c r="G251" s="116">
        <f t="shared" si="60"/>
        <v>994.46</v>
      </c>
      <c r="H251" s="113"/>
      <c r="I251" s="140">
        <v>2157.54</v>
      </c>
      <c r="J251" s="116">
        <f t="shared" si="61"/>
        <v>1078.77</v>
      </c>
      <c r="L251" s="149" t="s">
        <v>920</v>
      </c>
      <c r="M251" s="116" t="s">
        <v>921</v>
      </c>
      <c r="O251" s="150">
        <v>1988.92</v>
      </c>
    </row>
    <row r="252" spans="2:17" ht="15.95">
      <c r="B252" s="139" t="s">
        <v>922</v>
      </c>
      <c r="C252" s="113" t="s">
        <v>923</v>
      </c>
      <c r="F252" s="148">
        <f t="shared" si="62"/>
        <v>1988.92</v>
      </c>
      <c r="G252" s="116">
        <f t="shared" si="60"/>
        <v>994.46</v>
      </c>
      <c r="H252" s="113"/>
      <c r="I252" s="140">
        <v>2157.54</v>
      </c>
      <c r="J252" s="116">
        <f t="shared" si="61"/>
        <v>1078.77</v>
      </c>
      <c r="L252" s="149" t="s">
        <v>924</v>
      </c>
      <c r="M252" s="116" t="s">
        <v>925</v>
      </c>
      <c r="O252" s="150">
        <v>1988.92</v>
      </c>
    </row>
    <row r="253" spans="2:17" ht="15.95">
      <c r="B253" s="139" t="s">
        <v>926</v>
      </c>
      <c r="C253" s="113" t="s">
        <v>927</v>
      </c>
      <c r="F253" s="148">
        <f t="shared" si="62"/>
        <v>1988.92</v>
      </c>
      <c r="G253" s="116">
        <f t="shared" si="60"/>
        <v>994.46</v>
      </c>
      <c r="H253" s="113"/>
      <c r="I253" s="140">
        <v>2157.54</v>
      </c>
      <c r="J253" s="116">
        <f t="shared" si="61"/>
        <v>1078.77</v>
      </c>
      <c r="L253" s="149" t="s">
        <v>928</v>
      </c>
      <c r="M253" s="116" t="s">
        <v>929</v>
      </c>
      <c r="O253" s="150">
        <v>1988.92</v>
      </c>
    </row>
    <row r="254" spans="2:17" ht="15.95">
      <c r="B254" s="139" t="s">
        <v>930</v>
      </c>
      <c r="C254" s="113" t="s">
        <v>931</v>
      </c>
      <c r="F254" s="148">
        <f t="shared" si="62"/>
        <v>1988.92</v>
      </c>
      <c r="G254" s="116">
        <f t="shared" si="60"/>
        <v>994.46</v>
      </c>
      <c r="H254" s="113"/>
      <c r="I254" s="140">
        <v>2157.54</v>
      </c>
      <c r="J254" s="116">
        <f t="shared" si="61"/>
        <v>1078.77</v>
      </c>
      <c r="L254" s="149" t="s">
        <v>932</v>
      </c>
      <c r="M254" s="116" t="s">
        <v>933</v>
      </c>
      <c r="O254" s="150">
        <v>1988.92</v>
      </c>
    </row>
    <row r="255" spans="2:17" ht="15.95">
      <c r="B255" s="139" t="s">
        <v>934</v>
      </c>
      <c r="C255" s="113" t="s">
        <v>935</v>
      </c>
      <c r="F255" s="148">
        <v>2158.6999999999998</v>
      </c>
      <c r="G255" s="116">
        <f t="shared" si="60"/>
        <v>1079.3499999999999</v>
      </c>
      <c r="H255" s="113"/>
      <c r="I255" s="140">
        <v>2341.7199999999998</v>
      </c>
      <c r="J255" s="116">
        <f t="shared" si="61"/>
        <v>1170.8599999999999</v>
      </c>
      <c r="L255" s="149" t="s">
        <v>936</v>
      </c>
      <c r="M255" s="116" t="s">
        <v>937</v>
      </c>
      <c r="O255" s="150">
        <v>2158.6999999999998</v>
      </c>
    </row>
    <row r="256" spans="2:17" ht="15.95">
      <c r="B256" s="139" t="s">
        <v>938</v>
      </c>
      <c r="C256" s="113" t="s">
        <v>939</v>
      </c>
      <c r="F256" s="148">
        <v>2158.6999999999998</v>
      </c>
      <c r="G256" s="116">
        <f t="shared" si="60"/>
        <v>1079.3499999999999</v>
      </c>
      <c r="H256" s="113"/>
      <c r="I256" s="140">
        <v>2341.7199999999998</v>
      </c>
      <c r="J256" s="116">
        <f t="shared" si="61"/>
        <v>1170.8599999999999</v>
      </c>
      <c r="L256" s="149" t="s">
        <v>940</v>
      </c>
      <c r="M256" s="116" t="s">
        <v>941</v>
      </c>
      <c r="O256" s="150">
        <v>2158.6999999999998</v>
      </c>
    </row>
    <row r="257" spans="2:16" ht="15.95">
      <c r="B257" s="139" t="s">
        <v>942</v>
      </c>
      <c r="C257" s="113" t="s">
        <v>943</v>
      </c>
      <c r="F257" s="148">
        <v>2158.6999999999998</v>
      </c>
      <c r="G257" s="116">
        <f t="shared" si="60"/>
        <v>1079.3499999999999</v>
      </c>
      <c r="H257" s="113"/>
      <c r="I257" s="140">
        <v>2341.7199999999998</v>
      </c>
      <c r="J257" s="116">
        <f t="shared" si="61"/>
        <v>1170.8599999999999</v>
      </c>
      <c r="L257" s="149" t="s">
        <v>944</v>
      </c>
      <c r="M257" s="116" t="s">
        <v>945</v>
      </c>
      <c r="O257" s="150">
        <v>2158.6999999999998</v>
      </c>
    </row>
    <row r="258" spans="2:16" ht="15.95">
      <c r="B258" s="139" t="s">
        <v>946</v>
      </c>
      <c r="C258" s="113" t="s">
        <v>947</v>
      </c>
      <c r="F258" s="148">
        <v>2158.6999999999998</v>
      </c>
      <c r="G258" s="116">
        <f t="shared" si="60"/>
        <v>1079.3499999999999</v>
      </c>
      <c r="H258" s="113"/>
      <c r="I258" s="140">
        <v>2341.7199999999998</v>
      </c>
      <c r="J258" s="116">
        <f t="shared" si="61"/>
        <v>1170.8599999999999</v>
      </c>
      <c r="L258" s="149" t="s">
        <v>948</v>
      </c>
      <c r="M258" s="116" t="s">
        <v>949</v>
      </c>
      <c r="O258" s="150">
        <v>2158.6999999999998</v>
      </c>
    </row>
    <row r="259" spans="2:16" ht="15.95">
      <c r="B259" s="139" t="s">
        <v>950</v>
      </c>
      <c r="C259" s="113" t="s">
        <v>951</v>
      </c>
      <c r="F259" s="148">
        <v>2158.6999999999998</v>
      </c>
      <c r="G259" s="116">
        <f t="shared" si="60"/>
        <v>1079.3499999999999</v>
      </c>
      <c r="H259" s="113"/>
      <c r="I259" s="140">
        <v>2341.7199999999998</v>
      </c>
      <c r="J259" s="116">
        <f t="shared" si="61"/>
        <v>1170.8599999999999</v>
      </c>
      <c r="L259" s="149" t="s">
        <v>952</v>
      </c>
      <c r="M259" s="116" t="s">
        <v>953</v>
      </c>
      <c r="O259" s="150">
        <v>2158.6999999999998</v>
      </c>
    </row>
    <row r="260" spans="2:16" ht="15.95">
      <c r="B260" s="139" t="s">
        <v>954</v>
      </c>
      <c r="C260" s="113" t="s">
        <v>955</v>
      </c>
      <c r="F260" s="148">
        <v>2158.6999999999998</v>
      </c>
      <c r="G260" s="116">
        <f t="shared" si="60"/>
        <v>1079.3499999999999</v>
      </c>
      <c r="H260" s="113"/>
      <c r="I260" s="140">
        <v>2341.7199999999998</v>
      </c>
      <c r="J260" s="116">
        <f t="shared" si="61"/>
        <v>1170.8599999999999</v>
      </c>
      <c r="L260" s="149" t="s">
        <v>956</v>
      </c>
      <c r="M260" s="116" t="s">
        <v>957</v>
      </c>
      <c r="O260" s="150">
        <v>2158.6999999999998</v>
      </c>
    </row>
    <row r="261" spans="2:16">
      <c r="B261" s="139"/>
      <c r="H261" s="113"/>
      <c r="I261" s="140"/>
      <c r="L261" s="149" t="s">
        <v>958</v>
      </c>
      <c r="M261" s="151" t="s">
        <v>959</v>
      </c>
      <c r="O261" s="150">
        <v>476.74</v>
      </c>
      <c r="P261" s="116" t="s">
        <v>960</v>
      </c>
    </row>
    <row r="262" spans="2:16" ht="15.95">
      <c r="B262" s="139" t="s">
        <v>961</v>
      </c>
      <c r="C262" s="113" t="s">
        <v>962</v>
      </c>
      <c r="F262" s="116">
        <v>4848.58</v>
      </c>
      <c r="G262" s="116">
        <f t="shared" ref="G262:G272" si="63">F262*(1-$M$4)</f>
        <v>2424.29</v>
      </c>
      <c r="H262" s="113"/>
      <c r="I262" s="140">
        <v>4162.43</v>
      </c>
      <c r="J262" s="116">
        <f t="shared" ref="J262:J272" si="64">I262*(1-$C$284)</f>
        <v>2081.2150000000001</v>
      </c>
      <c r="L262" s="149" t="s">
        <v>963</v>
      </c>
      <c r="M262" s="151" t="s">
        <v>964</v>
      </c>
      <c r="O262" s="150">
        <v>677.5</v>
      </c>
      <c r="P262" s="116" t="s">
        <v>960</v>
      </c>
    </row>
    <row r="263" spans="2:16" ht="15.95">
      <c r="B263" s="139" t="s">
        <v>965</v>
      </c>
      <c r="C263" s="113" t="s">
        <v>966</v>
      </c>
      <c r="F263" s="116">
        <v>4871.29</v>
      </c>
      <c r="G263" s="116">
        <f t="shared" si="63"/>
        <v>2435.645</v>
      </c>
      <c r="H263" s="113"/>
      <c r="I263" s="140">
        <v>4235.93</v>
      </c>
      <c r="J263" s="116">
        <f t="shared" si="64"/>
        <v>2117.9650000000001</v>
      </c>
    </row>
    <row r="264" spans="2:16" ht="15.95">
      <c r="B264" s="139" t="s">
        <v>967</v>
      </c>
      <c r="C264" s="113" t="s">
        <v>968</v>
      </c>
      <c r="F264" s="116">
        <v>5066.82</v>
      </c>
      <c r="G264" s="116">
        <f t="shared" si="63"/>
        <v>2533.41</v>
      </c>
      <c r="H264" s="113"/>
      <c r="I264" s="140">
        <v>4312.43</v>
      </c>
      <c r="J264" s="116">
        <f t="shared" si="64"/>
        <v>2156.2150000000001</v>
      </c>
    </row>
    <row r="265" spans="2:16" ht="15.95">
      <c r="B265" s="139" t="s">
        <v>969</v>
      </c>
      <c r="C265" s="113" t="s">
        <v>970</v>
      </c>
      <c r="F265" s="116">
        <v>5067.72</v>
      </c>
      <c r="G265" s="116">
        <f t="shared" si="63"/>
        <v>2533.86</v>
      </c>
      <c r="H265" s="113"/>
      <c r="I265" s="140">
        <v>4354.53</v>
      </c>
      <c r="J265" s="116">
        <f t="shared" si="64"/>
        <v>2177.2649999999999</v>
      </c>
    </row>
    <row r="266" spans="2:16" ht="15.95">
      <c r="B266" s="139" t="s">
        <v>971</v>
      </c>
      <c r="C266" s="113" t="s">
        <v>972</v>
      </c>
      <c r="F266" s="116">
        <v>5293.53</v>
      </c>
      <c r="G266" s="116">
        <f t="shared" si="63"/>
        <v>2646.7649999999999</v>
      </c>
      <c r="H266" s="113"/>
      <c r="I266" s="140">
        <v>4428.18</v>
      </c>
      <c r="J266" s="116">
        <f t="shared" si="64"/>
        <v>2214.09</v>
      </c>
    </row>
    <row r="267" spans="2:16" ht="15.95">
      <c r="B267" s="139" t="s">
        <v>973</v>
      </c>
      <c r="C267" s="113" t="s">
        <v>974</v>
      </c>
      <c r="F267" s="116">
        <v>6174.26</v>
      </c>
      <c r="G267" s="116">
        <f t="shared" si="63"/>
        <v>3087.13</v>
      </c>
      <c r="H267" s="113"/>
      <c r="I267" s="140">
        <v>4712.37</v>
      </c>
      <c r="J267" s="116">
        <f t="shared" si="64"/>
        <v>2356.1849999999999</v>
      </c>
    </row>
    <row r="268" spans="2:16" ht="15.95">
      <c r="B268" s="139" t="s">
        <v>975</v>
      </c>
      <c r="C268" s="113" t="s">
        <v>976</v>
      </c>
      <c r="F268" s="116">
        <v>6096.74</v>
      </c>
      <c r="G268" s="116">
        <f t="shared" si="63"/>
        <v>3048.37</v>
      </c>
      <c r="H268" s="113"/>
      <c r="I268" s="140">
        <v>4770.25</v>
      </c>
      <c r="J268" s="116">
        <f t="shared" si="64"/>
        <v>2385.125</v>
      </c>
    </row>
    <row r="269" spans="2:16" ht="15.95">
      <c r="B269" s="139" t="s">
        <v>977</v>
      </c>
      <c r="C269" s="113" t="s">
        <v>978</v>
      </c>
      <c r="F269" s="116">
        <v>6115.78</v>
      </c>
      <c r="G269" s="116">
        <f t="shared" si="63"/>
        <v>3057.89</v>
      </c>
      <c r="H269" s="113"/>
      <c r="I269" s="140">
        <v>4857.08</v>
      </c>
      <c r="J269" s="116">
        <f t="shared" si="64"/>
        <v>2428.54</v>
      </c>
    </row>
    <row r="270" spans="2:16" ht="15.95">
      <c r="B270" s="139" t="s">
        <v>979</v>
      </c>
      <c r="C270" s="113" t="s">
        <v>980</v>
      </c>
      <c r="F270" s="116">
        <v>6191.04</v>
      </c>
      <c r="G270" s="116">
        <f t="shared" si="63"/>
        <v>3095.52</v>
      </c>
      <c r="H270" s="113"/>
      <c r="I270" s="140">
        <v>4943.87</v>
      </c>
      <c r="J270" s="116">
        <f t="shared" si="64"/>
        <v>2471.9349999999999</v>
      </c>
    </row>
    <row r="271" spans="2:16" ht="15.95">
      <c r="B271" s="139" t="s">
        <v>981</v>
      </c>
      <c r="C271" s="113" t="s">
        <v>982</v>
      </c>
      <c r="F271" s="116">
        <v>6183.6</v>
      </c>
      <c r="G271" s="116">
        <f t="shared" si="63"/>
        <v>3091.8</v>
      </c>
      <c r="H271" s="113"/>
      <c r="I271" s="140">
        <v>5030.71</v>
      </c>
      <c r="J271" s="116">
        <f t="shared" si="64"/>
        <v>2515.355</v>
      </c>
    </row>
    <row r="272" spans="2:16" ht="15.95">
      <c r="B272" s="139" t="s">
        <v>983</v>
      </c>
      <c r="C272" s="113" t="s">
        <v>984</v>
      </c>
      <c r="F272" s="116">
        <v>6148.02</v>
      </c>
      <c r="G272" s="116">
        <f t="shared" si="63"/>
        <v>3074.01</v>
      </c>
      <c r="H272" s="113"/>
      <c r="I272" s="140">
        <v>5117.54</v>
      </c>
      <c r="J272" s="116">
        <f t="shared" si="64"/>
        <v>2558.77</v>
      </c>
    </row>
    <row r="273" spans="2:20">
      <c r="B273" s="139"/>
      <c r="H273" s="113"/>
      <c r="I273" s="140"/>
    </row>
    <row r="274" spans="2:20" ht="15.95">
      <c r="B274" s="139" t="s">
        <v>985</v>
      </c>
      <c r="C274" s="113" t="s">
        <v>986</v>
      </c>
      <c r="F274" s="116">
        <v>3644.21</v>
      </c>
      <c r="G274" s="116">
        <f>F274*(1-$M$4)</f>
        <v>1822.105</v>
      </c>
      <c r="H274" s="113"/>
      <c r="I274" s="140">
        <v>2920.13</v>
      </c>
      <c r="J274" s="116">
        <f>I274*(1-$C$284)</f>
        <v>1460.0650000000001</v>
      </c>
    </row>
    <row r="275" spans="2:20" ht="15.95">
      <c r="B275" s="139" t="s">
        <v>987</v>
      </c>
      <c r="C275" s="113" t="s">
        <v>988</v>
      </c>
      <c r="F275" s="116">
        <v>3666.92</v>
      </c>
      <c r="G275" s="116">
        <f>F275*(1-$M$4)</f>
        <v>1833.46</v>
      </c>
      <c r="H275" s="113"/>
      <c r="I275" s="140">
        <v>2951.56</v>
      </c>
      <c r="J275" s="116">
        <f>I275*(1-$C$284)</f>
        <v>1475.78</v>
      </c>
    </row>
    <row r="276" spans="2:20" ht="15.95">
      <c r="B276" s="139" t="s">
        <v>989</v>
      </c>
      <c r="C276" s="113" t="s">
        <v>990</v>
      </c>
      <c r="F276" s="116">
        <v>3862.45</v>
      </c>
      <c r="G276" s="116">
        <f>F276*(1-$M$4)</f>
        <v>1931.2249999999999</v>
      </c>
      <c r="H276" s="113"/>
      <c r="I276" s="140">
        <v>3089.87</v>
      </c>
      <c r="J276" s="116">
        <f>I276*(1-$C$284)</f>
        <v>1544.9349999999999</v>
      </c>
    </row>
    <row r="277" spans="2:20" ht="15.95">
      <c r="B277" s="139" t="s">
        <v>991</v>
      </c>
      <c r="C277" s="113" t="s">
        <v>992</v>
      </c>
      <c r="F277" s="116">
        <v>3851.7</v>
      </c>
      <c r="G277" s="116">
        <f>F277*(1-$M$4)</f>
        <v>1925.85</v>
      </c>
      <c r="H277" s="113"/>
      <c r="I277" s="140">
        <v>3165.63</v>
      </c>
      <c r="J277" s="116">
        <f>I277*(1-$C$284)</f>
        <v>1582.8150000000001</v>
      </c>
    </row>
    <row r="278" spans="2:20" ht="15.95">
      <c r="B278" s="139" t="s">
        <v>993</v>
      </c>
      <c r="C278" s="113" t="s">
        <v>994</v>
      </c>
      <c r="F278" s="116">
        <v>4089.16</v>
      </c>
      <c r="G278" s="116">
        <f>F278*(1-$M$4)</f>
        <v>2044.58</v>
      </c>
      <c r="H278" s="113"/>
      <c r="I278" s="140">
        <v>3248.54</v>
      </c>
      <c r="J278" s="116">
        <f>I278*(1-$C$284)</f>
        <v>1624.27</v>
      </c>
    </row>
    <row r="279" spans="2:20">
      <c r="B279" s="139"/>
      <c r="G279" s="140"/>
      <c r="I279" s="113"/>
      <c r="J279" s="113"/>
    </row>
    <row r="281" spans="2:20">
      <c r="B281" s="122" t="s">
        <v>995</v>
      </c>
      <c r="C281" s="122"/>
      <c r="E281" s="114"/>
      <c r="F281" s="114"/>
      <c r="T281" s="113"/>
    </row>
    <row r="282" spans="2:20" ht="15.95">
      <c r="B282" s="139" t="s">
        <v>996</v>
      </c>
      <c r="C282" s="152">
        <v>0.4</v>
      </c>
      <c r="E282" s="116"/>
      <c r="F282" s="116"/>
      <c r="T282" s="113"/>
    </row>
    <row r="283" spans="2:20" ht="15.95">
      <c r="B283" s="139" t="s">
        <v>997</v>
      </c>
      <c r="C283" s="152">
        <v>0.45</v>
      </c>
    </row>
    <row r="284" spans="2:20" ht="15.95">
      <c r="B284" s="139" t="s">
        <v>998</v>
      </c>
      <c r="C284" s="152">
        <v>0.5</v>
      </c>
    </row>
    <row r="285" spans="2:20" ht="15.95">
      <c r="B285" s="139" t="s">
        <v>358</v>
      </c>
      <c r="C285" s="152">
        <v>0</v>
      </c>
    </row>
    <row r="288" spans="2:20">
      <c r="B288" s="153" t="s">
        <v>999</v>
      </c>
      <c r="C288" s="156" t="s">
        <v>1000</v>
      </c>
    </row>
    <row r="289" spans="2:8">
      <c r="B289" s="114" t="s">
        <v>778</v>
      </c>
      <c r="C289" s="113" t="s">
        <v>779</v>
      </c>
      <c r="E289" s="113">
        <v>2</v>
      </c>
      <c r="F289" s="126">
        <v>1489.26</v>
      </c>
      <c r="G289" s="126">
        <v>744.63</v>
      </c>
      <c r="H289" s="126">
        <f>G289*E289</f>
        <v>1489.26</v>
      </c>
    </row>
    <row r="290" spans="2:8">
      <c r="B290" s="114" t="s">
        <v>780</v>
      </c>
      <c r="C290" s="113" t="s">
        <v>781</v>
      </c>
      <c r="E290" s="113">
        <v>2</v>
      </c>
      <c r="F290" s="126">
        <v>175.82</v>
      </c>
      <c r="G290" s="126">
        <v>87.91</v>
      </c>
      <c r="H290" s="126">
        <f t="shared" ref="H290:H291" si="65">G290*E290</f>
        <v>175.82</v>
      </c>
    </row>
    <row r="291" spans="2:8">
      <c r="B291" s="114" t="s">
        <v>782</v>
      </c>
      <c r="C291" s="113" t="s">
        <v>783</v>
      </c>
      <c r="E291" s="113">
        <v>2</v>
      </c>
      <c r="F291" s="126">
        <v>120.54</v>
      </c>
      <c r="G291" s="126">
        <v>60.27</v>
      </c>
      <c r="H291" s="126">
        <f t="shared" si="65"/>
        <v>120.54</v>
      </c>
    </row>
    <row r="292" spans="2:8">
      <c r="B292" s="114" t="s">
        <v>679</v>
      </c>
      <c r="C292" s="113" t="s">
        <v>680</v>
      </c>
      <c r="E292" s="113">
        <v>1</v>
      </c>
      <c r="F292" s="126">
        <v>6155.71</v>
      </c>
      <c r="G292" s="126">
        <v>3077.855</v>
      </c>
      <c r="H292" s="126">
        <f t="shared" ref="H292:H325" si="66">G292*E292</f>
        <v>3077.855</v>
      </c>
    </row>
    <row r="293" spans="2:8">
      <c r="B293" s="137" t="s">
        <v>771</v>
      </c>
      <c r="C293" s="122" t="s">
        <v>772</v>
      </c>
      <c r="D293" s="122"/>
      <c r="E293" s="122">
        <v>1</v>
      </c>
      <c r="F293" s="154">
        <v>551.76</v>
      </c>
      <c r="G293" s="154">
        <v>275.88</v>
      </c>
      <c r="H293" s="154">
        <f t="shared" si="66"/>
        <v>275.88</v>
      </c>
    </row>
    <row r="294" spans="2:8">
      <c r="F294" s="126"/>
      <c r="G294" s="126"/>
      <c r="H294" s="155">
        <f>SUM(H289:H293)</f>
        <v>5139.3550000000005</v>
      </c>
    </row>
    <row r="295" spans="2:8">
      <c r="B295" s="153" t="s">
        <v>1001</v>
      </c>
      <c r="C295" s="156" t="s">
        <v>1002</v>
      </c>
      <c r="F295" s="126"/>
      <c r="G295" s="126"/>
      <c r="H295" s="126"/>
    </row>
    <row r="296" spans="2:8">
      <c r="B296" s="114" t="s">
        <v>778</v>
      </c>
      <c r="C296" s="113" t="s">
        <v>779</v>
      </c>
      <c r="E296" s="113">
        <v>2</v>
      </c>
      <c r="F296" s="126">
        <v>1489.26</v>
      </c>
      <c r="G296" s="126">
        <v>744.63</v>
      </c>
      <c r="H296" s="126">
        <f>G296*E296</f>
        <v>1489.26</v>
      </c>
    </row>
    <row r="297" spans="2:8">
      <c r="B297" s="114" t="s">
        <v>780</v>
      </c>
      <c r="C297" s="113" t="s">
        <v>781</v>
      </c>
      <c r="E297" s="113">
        <v>2</v>
      </c>
      <c r="F297" s="126">
        <v>175.82</v>
      </c>
      <c r="G297" s="126">
        <v>87.91</v>
      </c>
      <c r="H297" s="126">
        <f t="shared" ref="H297:H298" si="67">G297*E297</f>
        <v>175.82</v>
      </c>
    </row>
    <row r="298" spans="2:8">
      <c r="B298" s="114" t="s">
        <v>782</v>
      </c>
      <c r="C298" s="113" t="s">
        <v>783</v>
      </c>
      <c r="E298" s="113">
        <v>2</v>
      </c>
      <c r="F298" s="126">
        <v>120.54</v>
      </c>
      <c r="G298" s="126">
        <v>60.27</v>
      </c>
      <c r="H298" s="126">
        <f t="shared" si="67"/>
        <v>120.54</v>
      </c>
    </row>
    <row r="299" spans="2:8" ht="15.95">
      <c r="B299" s="143" t="s">
        <v>838</v>
      </c>
      <c r="C299" s="113" t="s">
        <v>839</v>
      </c>
      <c r="E299" s="113">
        <v>1</v>
      </c>
      <c r="F299" s="126">
        <v>703.38</v>
      </c>
      <c r="G299" s="126">
        <f t="shared" ref="G299" si="68">F299*(1-$M$4)</f>
        <v>351.69</v>
      </c>
      <c r="H299" s="126">
        <f t="shared" si="66"/>
        <v>351.69</v>
      </c>
    </row>
    <row r="300" spans="2:8">
      <c r="B300" s="114" t="s">
        <v>679</v>
      </c>
      <c r="C300" s="113" t="s">
        <v>680</v>
      </c>
      <c r="E300" s="113">
        <v>1</v>
      </c>
      <c r="F300" s="126">
        <v>6155.71</v>
      </c>
      <c r="G300" s="126">
        <v>3077.855</v>
      </c>
      <c r="H300" s="126">
        <f t="shared" si="66"/>
        <v>3077.855</v>
      </c>
    </row>
    <row r="301" spans="2:8">
      <c r="B301" s="114" t="s">
        <v>767</v>
      </c>
      <c r="C301" s="113" t="s">
        <v>768</v>
      </c>
      <c r="E301" s="113">
        <v>1</v>
      </c>
      <c r="F301" s="126">
        <v>312.87</v>
      </c>
      <c r="G301" s="126">
        <v>156.435</v>
      </c>
      <c r="H301" s="126">
        <f>G301*E301</f>
        <v>156.435</v>
      </c>
    </row>
    <row r="302" spans="2:8">
      <c r="B302" s="137" t="s">
        <v>771</v>
      </c>
      <c r="C302" s="122" t="s">
        <v>772</v>
      </c>
      <c r="D302" s="122"/>
      <c r="E302" s="122">
        <v>1</v>
      </c>
      <c r="F302" s="154">
        <v>551.76</v>
      </c>
      <c r="G302" s="154">
        <v>275.88</v>
      </c>
      <c r="H302" s="154">
        <f>G302*E302</f>
        <v>275.88</v>
      </c>
    </row>
    <row r="303" spans="2:8">
      <c r="F303" s="126"/>
      <c r="G303" s="126">
        <f>SUM(G296:G302)</f>
        <v>4754.67</v>
      </c>
      <c r="H303" s="155">
        <f>SUM(H296:H302)</f>
        <v>5647.4800000000005</v>
      </c>
    </row>
    <row r="304" spans="2:8">
      <c r="B304" s="153" t="s">
        <v>1003</v>
      </c>
      <c r="C304" s="156" t="s">
        <v>1004</v>
      </c>
    </row>
    <row r="305" spans="2:8">
      <c r="B305" s="114" t="s">
        <v>778</v>
      </c>
      <c r="C305" s="113" t="s">
        <v>779</v>
      </c>
      <c r="E305" s="113">
        <v>2</v>
      </c>
      <c r="F305" s="126">
        <v>1489.26</v>
      </c>
      <c r="G305" s="126">
        <v>744.63</v>
      </c>
      <c r="H305" s="126">
        <f>G305*E305</f>
        <v>1489.26</v>
      </c>
    </row>
    <row r="306" spans="2:8">
      <c r="B306" s="114" t="s">
        <v>780</v>
      </c>
      <c r="C306" s="113" t="s">
        <v>781</v>
      </c>
      <c r="E306" s="113">
        <v>2</v>
      </c>
      <c r="F306" s="126">
        <v>175.82</v>
      </c>
      <c r="G306" s="126">
        <v>87.91</v>
      </c>
      <c r="H306" s="126">
        <f t="shared" ref="H306:H310" si="69">G306*E306</f>
        <v>175.82</v>
      </c>
    </row>
    <row r="307" spans="2:8">
      <c r="B307" s="114" t="s">
        <v>782</v>
      </c>
      <c r="C307" s="113" t="s">
        <v>783</v>
      </c>
      <c r="E307" s="113">
        <v>2</v>
      </c>
      <c r="F307" s="126">
        <v>120.54</v>
      </c>
      <c r="G307" s="126">
        <v>60.27</v>
      </c>
      <c r="H307" s="126">
        <f t="shared" si="69"/>
        <v>120.54</v>
      </c>
    </row>
    <row r="308" spans="2:8">
      <c r="B308" s="114" t="s">
        <v>690</v>
      </c>
      <c r="C308" s="113" t="s">
        <v>691</v>
      </c>
      <c r="E308" s="113">
        <v>1</v>
      </c>
      <c r="F308" s="126">
        <v>7123.87</v>
      </c>
      <c r="G308" s="126">
        <v>3561.9349999999999</v>
      </c>
      <c r="H308" s="126">
        <f t="shared" si="69"/>
        <v>3561.9349999999999</v>
      </c>
    </row>
    <row r="309" spans="2:8">
      <c r="B309" s="114" t="s">
        <v>724</v>
      </c>
      <c r="C309" s="113" t="s">
        <v>725</v>
      </c>
      <c r="E309" s="113">
        <v>1</v>
      </c>
      <c r="F309" s="126">
        <v>3719.02</v>
      </c>
      <c r="G309" s="126">
        <v>1859.51</v>
      </c>
      <c r="H309" s="126">
        <f t="shared" si="69"/>
        <v>1859.51</v>
      </c>
    </row>
    <row r="310" spans="2:8">
      <c r="B310" s="137" t="s">
        <v>771</v>
      </c>
      <c r="C310" s="122" t="s">
        <v>772</v>
      </c>
      <c r="D310" s="122"/>
      <c r="E310" s="122">
        <v>1</v>
      </c>
      <c r="F310" s="154">
        <v>551.76</v>
      </c>
      <c r="G310" s="154">
        <v>275.88</v>
      </c>
      <c r="H310" s="154">
        <f t="shared" si="69"/>
        <v>275.88</v>
      </c>
    </row>
    <row r="311" spans="2:8">
      <c r="F311" s="126"/>
      <c r="G311" s="126"/>
      <c r="H311" s="155">
        <f>SUM(H305:H310)</f>
        <v>7482.9450000000006</v>
      </c>
    </row>
    <row r="312" spans="2:8">
      <c r="B312" s="153" t="s">
        <v>1005</v>
      </c>
      <c r="C312" s="156" t="s">
        <v>1006</v>
      </c>
      <c r="F312" s="126"/>
      <c r="G312" s="126"/>
      <c r="H312" s="126"/>
    </row>
    <row r="313" spans="2:8" ht="15.95">
      <c r="B313" s="143" t="s">
        <v>823</v>
      </c>
      <c r="C313" s="113" t="s">
        <v>824</v>
      </c>
      <c r="E313" s="113">
        <v>1</v>
      </c>
      <c r="F313" s="126">
        <v>858.84</v>
      </c>
      <c r="G313" s="126">
        <f>F313</f>
        <v>858.84</v>
      </c>
      <c r="H313" s="126">
        <f t="shared" ref="H313" si="70">G313*E313</f>
        <v>858.84</v>
      </c>
    </row>
    <row r="314" spans="2:8">
      <c r="B314" s="114" t="s">
        <v>778</v>
      </c>
      <c r="C314" s="113" t="s">
        <v>779</v>
      </c>
      <c r="E314" s="113">
        <v>2</v>
      </c>
      <c r="F314" s="126">
        <v>1489.26</v>
      </c>
      <c r="G314" s="126">
        <v>744.63</v>
      </c>
      <c r="H314" s="126">
        <f>G314*E314</f>
        <v>1489.26</v>
      </c>
    </row>
    <row r="315" spans="2:8">
      <c r="B315" s="114" t="s">
        <v>780</v>
      </c>
      <c r="C315" s="113" t="s">
        <v>781</v>
      </c>
      <c r="E315" s="113">
        <v>2</v>
      </c>
      <c r="F315" s="126">
        <v>175.82</v>
      </c>
      <c r="G315" s="126">
        <v>87.91</v>
      </c>
      <c r="H315" s="126">
        <f t="shared" ref="H315:H318" si="71">G315*E315</f>
        <v>175.82</v>
      </c>
    </row>
    <row r="316" spans="2:8">
      <c r="B316" s="114" t="s">
        <v>782</v>
      </c>
      <c r="C316" s="113" t="s">
        <v>783</v>
      </c>
      <c r="E316" s="113">
        <v>2</v>
      </c>
      <c r="F316" s="126">
        <v>120.54</v>
      </c>
      <c r="G316" s="126">
        <v>60.27</v>
      </c>
      <c r="H316" s="126">
        <f t="shared" si="71"/>
        <v>120.54</v>
      </c>
    </row>
    <row r="317" spans="2:8" ht="15.95">
      <c r="B317" s="143" t="s">
        <v>838</v>
      </c>
      <c r="C317" s="113" t="s">
        <v>839</v>
      </c>
      <c r="E317" s="113">
        <v>1</v>
      </c>
      <c r="F317" s="126">
        <v>703.38</v>
      </c>
      <c r="G317" s="126">
        <f t="shared" ref="G317" si="72">F317*(1-$M$4)</f>
        <v>351.69</v>
      </c>
      <c r="H317" s="126">
        <f t="shared" si="71"/>
        <v>351.69</v>
      </c>
    </row>
    <row r="318" spans="2:8">
      <c r="B318" s="114" t="s">
        <v>690</v>
      </c>
      <c r="C318" s="113" t="s">
        <v>691</v>
      </c>
      <c r="E318" s="113">
        <v>1</v>
      </c>
      <c r="F318" s="126">
        <v>7123.87</v>
      </c>
      <c r="G318" s="126">
        <v>3561.9349999999999</v>
      </c>
      <c r="H318" s="126">
        <f t="shared" si="71"/>
        <v>3561.9349999999999</v>
      </c>
    </row>
    <row r="319" spans="2:8">
      <c r="B319" s="114" t="s">
        <v>767</v>
      </c>
      <c r="C319" s="113" t="s">
        <v>768</v>
      </c>
      <c r="E319" s="113">
        <v>1</v>
      </c>
      <c r="F319" s="126">
        <v>312.87</v>
      </c>
      <c r="G319" s="126">
        <v>156.435</v>
      </c>
      <c r="H319" s="126">
        <f>G319*E319</f>
        <v>156.435</v>
      </c>
    </row>
    <row r="320" spans="2:8">
      <c r="B320" s="114" t="s">
        <v>724</v>
      </c>
      <c r="C320" s="113" t="s">
        <v>725</v>
      </c>
      <c r="E320" s="113">
        <v>2</v>
      </c>
      <c r="F320" s="126">
        <v>3719.02</v>
      </c>
      <c r="G320" s="126">
        <v>1859.51</v>
      </c>
      <c r="H320" s="126">
        <f t="shared" ref="H320" si="73">G320*E320</f>
        <v>3719.02</v>
      </c>
    </row>
    <row r="321" spans="2:8">
      <c r="B321" s="137" t="s">
        <v>771</v>
      </c>
      <c r="C321" s="122" t="s">
        <v>772</v>
      </c>
      <c r="D321" s="122"/>
      <c r="E321" s="122">
        <v>1</v>
      </c>
      <c r="F321" s="154">
        <v>551.76</v>
      </c>
      <c r="G321" s="154">
        <v>275.88</v>
      </c>
      <c r="H321" s="154">
        <f>G321*E321</f>
        <v>275.88</v>
      </c>
    </row>
    <row r="322" spans="2:8">
      <c r="F322" s="126"/>
      <c r="G322" s="126">
        <f>SUM(G313:G321)</f>
        <v>7957.1</v>
      </c>
      <c r="H322" s="155">
        <f>SUM(H313:H321)</f>
        <v>10709.42</v>
      </c>
    </row>
    <row r="323" spans="2:8">
      <c r="B323" s="153" t="s">
        <v>1007</v>
      </c>
      <c r="F323" s="126"/>
      <c r="G323" s="126"/>
      <c r="H323" s="126"/>
    </row>
    <row r="324" spans="2:8">
      <c r="B324" s="114" t="s">
        <v>784</v>
      </c>
      <c r="C324" s="113" t="s">
        <v>785</v>
      </c>
      <c r="E324" s="113">
        <v>2</v>
      </c>
      <c r="F324" s="126">
        <v>67.28</v>
      </c>
      <c r="G324" s="126">
        <v>33.64</v>
      </c>
      <c r="H324" s="126">
        <f t="shared" si="66"/>
        <v>67.28</v>
      </c>
    </row>
    <row r="325" spans="2:8">
      <c r="B325" s="137" t="s">
        <v>601</v>
      </c>
      <c r="C325" s="122" t="s">
        <v>602</v>
      </c>
      <c r="D325" s="128"/>
      <c r="E325" s="122">
        <v>1</v>
      </c>
      <c r="F325" s="154">
        <v>2163.1</v>
      </c>
      <c r="G325" s="154">
        <v>1081.55</v>
      </c>
      <c r="H325" s="154">
        <f t="shared" si="66"/>
        <v>1081.55</v>
      </c>
    </row>
    <row r="326" spans="2:8">
      <c r="F326" s="126"/>
      <c r="G326" s="126"/>
      <c r="H326" s="155">
        <f>SUM(H324:H325)</f>
        <v>1148.83</v>
      </c>
    </row>
  </sheetData>
  <sheetProtection sheet="1" selectLockedCells="1"/>
  <phoneticPr fontId="2" type="noConversion"/>
  <pageMargins left="0.7" right="0.7" top="0.75" bottom="0.75" header="0.3" footer="0.3"/>
  <pageSetup scale="33" fitToHeight="0" orientation="landscape" r:id="rId1"/>
  <ignoredErrors>
    <ignoredError sqref="K8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BE8A3-DA6D-8F41-BF12-2C468F6EFC2A}">
  <sheetPr>
    <pageSetUpPr fitToPage="1"/>
  </sheetPr>
  <dimension ref="A2:O17"/>
  <sheetViews>
    <sheetView zoomScale="107" workbookViewId="0">
      <selection activeCell="C17" sqref="C17"/>
    </sheetView>
  </sheetViews>
  <sheetFormatPr defaultColWidth="11" defaultRowHeight="15.95"/>
  <cols>
    <col min="1" max="1" width="2.625" customWidth="1"/>
    <col min="2" max="2" width="12.875" customWidth="1"/>
    <col min="3" max="3" width="39.875" customWidth="1"/>
    <col min="4" max="6" width="14" customWidth="1"/>
    <col min="7" max="7" width="2.875" customWidth="1"/>
    <col min="8" max="13" width="14" customWidth="1"/>
    <col min="15" max="15" width="12.875" customWidth="1"/>
  </cols>
  <sheetData>
    <row r="2" spans="1:15" ht="21.95">
      <c r="A2" s="99"/>
      <c r="B2" s="46"/>
      <c r="C2" s="47" t="s">
        <v>1008</v>
      </c>
      <c r="D2" s="47" t="s">
        <v>1009</v>
      </c>
      <c r="E2" s="100" t="s">
        <v>1010</v>
      </c>
      <c r="F2" s="100" t="s">
        <v>1011</v>
      </c>
      <c r="G2" s="101" t="s">
        <v>1012</v>
      </c>
      <c r="H2" s="100" t="s">
        <v>1013</v>
      </c>
      <c r="I2" s="100" t="s">
        <v>1014</v>
      </c>
      <c r="J2" s="100" t="s">
        <v>1015</v>
      </c>
      <c r="K2" s="100" t="s">
        <v>1016</v>
      </c>
      <c r="L2" s="100" t="s">
        <v>1010</v>
      </c>
      <c r="M2" s="100" t="s">
        <v>1011</v>
      </c>
      <c r="O2" s="88"/>
    </row>
    <row r="3" spans="1:15" ht="21.95">
      <c r="A3" s="99"/>
      <c r="B3" s="109" t="s">
        <v>152</v>
      </c>
      <c r="C3" s="102" t="str">
        <f>IF(ISBLANK('Config #1'!B2),"",'Config #1'!B2)</f>
        <v>LED/FP (Patient Left): Camera Capable with Wall Control</v>
      </c>
      <c r="D3" s="96">
        <v>0</v>
      </c>
      <c r="E3" s="103">
        <f>'Config #1'!E27</f>
        <v>0</v>
      </c>
      <c r="F3" s="104">
        <f>E3-O3</f>
        <v>0</v>
      </c>
      <c r="G3" s="112"/>
      <c r="H3" s="98"/>
      <c r="I3" s="105">
        <f>IF('Config #1'!B55="Tandem (1st Position)",1317.19,0)</f>
        <v>0</v>
      </c>
      <c r="J3" s="105">
        <f>'Config #1'!E63</f>
        <v>132</v>
      </c>
      <c r="K3" s="105">
        <f>IF(RIGHT('Config #1'!B60,1)=")",195,0)</f>
        <v>195</v>
      </c>
      <c r="L3" s="106">
        <f>'Config #1'!E67</f>
        <v>19747.706000000002</v>
      </c>
      <c r="M3" s="107">
        <f>L3-SUM(H3:K3)</f>
        <v>19420.706000000002</v>
      </c>
      <c r="O3" s="88"/>
    </row>
    <row r="4" spans="1:15" ht="21.95">
      <c r="A4" s="99"/>
      <c r="B4" s="110" t="s">
        <v>153</v>
      </c>
      <c r="C4" s="102" t="str">
        <f>IF(ISBLANK('Config #2'!B2),"",'Config #2'!B2)</f>
        <v>LED/FP (Patient Right)</v>
      </c>
      <c r="D4" s="96">
        <v>0</v>
      </c>
      <c r="E4" s="103">
        <f>'Config #2'!E27</f>
        <v>0</v>
      </c>
      <c r="F4" s="104">
        <f t="shared" ref="F4:F12" si="0">E4-O4</f>
        <v>0</v>
      </c>
      <c r="G4" s="112"/>
      <c r="H4" s="98">
        <v>0</v>
      </c>
      <c r="I4" s="105">
        <f>IF('Config #2'!B55="Tandem (1st Position)",1317.19,0)</f>
        <v>0</v>
      </c>
      <c r="J4" s="105">
        <f>'Config #2'!E63</f>
        <v>132</v>
      </c>
      <c r="K4" s="105">
        <f>IF(RIGHT('Config #2'!B60,1)=")",195,0)</f>
        <v>0</v>
      </c>
      <c r="L4" s="106">
        <f>'Config #2'!E67</f>
        <v>16767.650000000001</v>
      </c>
      <c r="M4" s="107">
        <f>L4-SUM(H4:K4)</f>
        <v>16635.650000000001</v>
      </c>
      <c r="O4" s="88"/>
    </row>
    <row r="5" spans="1:15" ht="21.95">
      <c r="A5" s="99"/>
      <c r="B5" s="110" t="s">
        <v>154</v>
      </c>
      <c r="C5" s="102" t="str">
        <f>IF(ISBLANK('Config #3'!B2),"",'Config #3'!B2)</f>
        <v>Equipment Boom (Patient Foot)</v>
      </c>
      <c r="D5" s="96">
        <v>0</v>
      </c>
      <c r="E5" s="103">
        <f>'Config #3'!E27</f>
        <v>15494.532499999998</v>
      </c>
      <c r="F5" s="104">
        <f t="shared" si="0"/>
        <v>15494.532499999998</v>
      </c>
      <c r="G5" s="112"/>
      <c r="H5" s="98">
        <v>0</v>
      </c>
      <c r="I5" s="105">
        <f>IF('Config #3'!B55="Tandem (1st Position)",1317.19,0)</f>
        <v>0</v>
      </c>
      <c r="J5" s="105">
        <f>'Config #3'!E63</f>
        <v>0</v>
      </c>
      <c r="K5" s="105">
        <f>IF(RIGHT('Config #3'!B60,1)=")",195,0)</f>
        <v>0</v>
      </c>
      <c r="L5" s="106">
        <f>'Config #3'!E67</f>
        <v>0</v>
      </c>
      <c r="M5" s="107">
        <f>L5-SUM(H5:K5)</f>
        <v>0</v>
      </c>
    </row>
    <row r="6" spans="1:15" ht="21.95">
      <c r="A6" s="99"/>
      <c r="B6" s="110" t="s">
        <v>155</v>
      </c>
      <c r="C6" s="102" t="str">
        <f>IF(ISBLANK('Config #4'!B2),"",'Config #4'!B2)</f>
        <v>Anesthesia Boom (Patient Right Shoulder)</v>
      </c>
      <c r="D6" s="96">
        <v>0</v>
      </c>
      <c r="E6" s="103">
        <f>'Config #4'!E27</f>
        <v>11312.6325</v>
      </c>
      <c r="F6" s="104">
        <f t="shared" si="0"/>
        <v>11312.6325</v>
      </c>
      <c r="G6" s="112"/>
      <c r="H6" s="98">
        <v>0</v>
      </c>
      <c r="I6" s="105">
        <f>IF('Config #4'!B55="Tandem (1st Position)",1317.19,0)</f>
        <v>0</v>
      </c>
      <c r="J6" s="105">
        <f>'Config #4'!E63</f>
        <v>0</v>
      </c>
      <c r="K6" s="105">
        <f>IF(RIGHT('Config #4'!B60,1)=")",195,0)</f>
        <v>0</v>
      </c>
      <c r="L6" s="106">
        <f>'Config #4'!E67</f>
        <v>0</v>
      </c>
      <c r="M6" s="107">
        <f>L6-SUM(H6:K6)</f>
        <v>0</v>
      </c>
    </row>
    <row r="7" spans="1:15" ht="21.95">
      <c r="A7" s="99"/>
      <c r="B7" s="110" t="s">
        <v>156</v>
      </c>
      <c r="C7" s="102" t="str">
        <f>IF(ISBLANK('Config #5'!B2),"",'Config #5'!B2)</f>
        <v/>
      </c>
      <c r="D7" s="96">
        <v>0</v>
      </c>
      <c r="E7" s="103">
        <f>'Config #5'!E27</f>
        <v>0</v>
      </c>
      <c r="F7" s="104">
        <f t="shared" si="0"/>
        <v>0</v>
      </c>
      <c r="G7" s="112"/>
      <c r="H7" s="98">
        <v>0</v>
      </c>
      <c r="I7" s="105">
        <f>IF('Config #5'!B55="Tandem (1st Position)",1317.19,0)</f>
        <v>0</v>
      </c>
      <c r="J7" s="105">
        <f>'Config #5'!E63</f>
        <v>0</v>
      </c>
      <c r="K7" s="105">
        <f>IF(RIGHT('Config #5'!B60,1)=")",195,0)</f>
        <v>0</v>
      </c>
      <c r="L7" s="106">
        <f>'Config #5'!E67</f>
        <v>0</v>
      </c>
      <c r="M7" s="107">
        <f>L7-SUM(H7:K7)</f>
        <v>0</v>
      </c>
    </row>
    <row r="8" spans="1:15" ht="21.95">
      <c r="A8" s="99"/>
      <c r="B8" s="110" t="s">
        <v>157</v>
      </c>
      <c r="C8" s="102" t="str">
        <f>IF(ISBLANK('Config #6'!B2),"",'Config #6'!B2)</f>
        <v/>
      </c>
      <c r="D8" s="96">
        <v>0</v>
      </c>
      <c r="E8" s="103">
        <f>'Config #6'!E27</f>
        <v>0</v>
      </c>
      <c r="F8" s="104">
        <f t="shared" si="0"/>
        <v>0</v>
      </c>
      <c r="G8" s="112"/>
      <c r="H8" s="97">
        <v>0</v>
      </c>
      <c r="I8" s="105">
        <f>IF('Config #6'!B55="Tandem (1st Position)",1317.19,0)</f>
        <v>0</v>
      </c>
      <c r="J8" s="105">
        <f>'Config #6'!E63</f>
        <v>0</v>
      </c>
      <c r="K8" s="105">
        <f>IF(RIGHT('Config #6'!B60,1)=")",195,0)</f>
        <v>0</v>
      </c>
      <c r="L8" s="106">
        <f>'Config #6'!E67</f>
        <v>0</v>
      </c>
      <c r="M8" s="107"/>
      <c r="O8" s="90"/>
    </row>
    <row r="9" spans="1:15" ht="21.95">
      <c r="A9" s="99"/>
      <c r="B9" s="110" t="s">
        <v>158</v>
      </c>
      <c r="C9" s="102" t="str">
        <f>IF(ISBLANK('Config #7'!B2),"",'Config #7'!B2)</f>
        <v/>
      </c>
      <c r="D9" s="96">
        <v>0</v>
      </c>
      <c r="E9" s="103">
        <f>'Config #7'!E27</f>
        <v>0</v>
      </c>
      <c r="F9" s="104">
        <f t="shared" si="0"/>
        <v>0</v>
      </c>
      <c r="G9" s="112"/>
      <c r="H9" s="97">
        <v>0</v>
      </c>
      <c r="I9" s="105">
        <f>IF('Config #7'!B55="Tandem (1st Position)",1317.19,0)</f>
        <v>0</v>
      </c>
      <c r="J9" s="105">
        <f>'Config #7'!E63</f>
        <v>0</v>
      </c>
      <c r="K9" s="105">
        <f>IF(RIGHT('Config #7'!B60,1)=")",195,0)</f>
        <v>0</v>
      </c>
      <c r="L9" s="106">
        <f>'Config #7'!E67</f>
        <v>0</v>
      </c>
      <c r="M9" s="108"/>
      <c r="O9" s="89"/>
    </row>
    <row r="10" spans="1:15" ht="21.95">
      <c r="A10" s="99"/>
      <c r="B10" s="110" t="s">
        <v>159</v>
      </c>
      <c r="C10" s="102" t="str">
        <f>IF(ISBLANK('Config #8'!B2),"",'Config #8'!B2)</f>
        <v/>
      </c>
      <c r="D10" s="96">
        <v>0</v>
      </c>
      <c r="E10" s="103">
        <f>'Config #8'!E27</f>
        <v>0</v>
      </c>
      <c r="F10" s="104">
        <f t="shared" si="0"/>
        <v>0</v>
      </c>
      <c r="G10" s="112"/>
      <c r="H10" s="97">
        <v>0</v>
      </c>
      <c r="I10" s="105">
        <f>IF('Config #8'!B55="Tandem (1st Position)",1317.19,0)</f>
        <v>0</v>
      </c>
      <c r="J10" s="105">
        <f>'Config #8'!E63</f>
        <v>132</v>
      </c>
      <c r="K10" s="105">
        <f>IF(RIGHT('Config #8'!B60,1)=")",195,0)</f>
        <v>0</v>
      </c>
      <c r="L10" s="106">
        <f>'Config #8'!E67</f>
        <v>16856.854999999996</v>
      </c>
      <c r="M10" s="107"/>
      <c r="O10" s="90"/>
    </row>
    <row r="11" spans="1:15" ht="21.95">
      <c r="A11" s="99"/>
      <c r="B11" s="110" t="s">
        <v>160</v>
      </c>
      <c r="C11" s="102" t="str">
        <f>IF(ISBLANK('Config #9'!B2),"",'Config #9'!B2)</f>
        <v/>
      </c>
      <c r="D11" s="96">
        <v>0</v>
      </c>
      <c r="E11" s="103">
        <f>'Config #9'!E27</f>
        <v>0</v>
      </c>
      <c r="F11" s="104">
        <f t="shared" si="0"/>
        <v>0</v>
      </c>
      <c r="G11" s="112"/>
      <c r="H11" s="97">
        <v>0</v>
      </c>
      <c r="I11" s="105">
        <f>IF('Config #9'!B55="Tandem (1st Position)",1317.19,0)</f>
        <v>0</v>
      </c>
      <c r="J11" s="105">
        <f>'Config #9'!E63</f>
        <v>0</v>
      </c>
      <c r="K11" s="105">
        <f>IF(RIGHT('Config #9'!B60,1)=")",195,0)</f>
        <v>0</v>
      </c>
      <c r="L11" s="106">
        <f>'Config #9'!E67</f>
        <v>0</v>
      </c>
      <c r="M11" s="108"/>
      <c r="O11" s="89"/>
    </row>
    <row r="12" spans="1:15" ht="21.95">
      <c r="A12" s="99"/>
      <c r="B12" s="111" t="s">
        <v>161</v>
      </c>
      <c r="C12" s="102" t="str">
        <f>IF(ISBLANK('Config #10'!B2),"",'Config #10'!B2)</f>
        <v/>
      </c>
      <c r="D12" s="96">
        <v>0</v>
      </c>
      <c r="E12" s="103">
        <f>'Config #10'!E27</f>
        <v>0</v>
      </c>
      <c r="F12" s="104">
        <f t="shared" si="0"/>
        <v>0</v>
      </c>
      <c r="G12" s="112"/>
      <c r="H12" s="97">
        <v>0</v>
      </c>
      <c r="I12" s="105">
        <f>IF('Config #10'!B55="Tandem (1st Position)",1317.19,0)</f>
        <v>0</v>
      </c>
      <c r="J12" s="105">
        <f>'Config #10'!E63</f>
        <v>0</v>
      </c>
      <c r="K12" s="105">
        <f>IF(RIGHT('Config #10'!B60,1)=")",195,0)</f>
        <v>0</v>
      </c>
      <c r="L12" s="106">
        <f>'Config #10'!E67</f>
        <v>0</v>
      </c>
      <c r="M12" s="107"/>
      <c r="O12" s="90"/>
    </row>
    <row r="13" spans="1:15" ht="21.95"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O13" s="89"/>
    </row>
    <row r="14" spans="1:15" ht="21.95"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93" t="s">
        <v>1017</v>
      </c>
      <c r="M14" s="91">
        <f>SUM(E3:E12,L3:L12)</f>
        <v>80179.375999999989</v>
      </c>
      <c r="O14" s="89"/>
    </row>
    <row r="15" spans="1:15" ht="21.95">
      <c r="B15" s="89"/>
      <c r="C15" s="89"/>
      <c r="D15" s="92"/>
      <c r="E15" s="89"/>
      <c r="F15" s="89"/>
      <c r="G15" s="89"/>
      <c r="H15" s="89"/>
      <c r="I15" s="89"/>
      <c r="J15" s="89"/>
      <c r="K15" s="89"/>
      <c r="L15" s="93" t="s">
        <v>1018</v>
      </c>
      <c r="M15" s="91">
        <f>SUM(D3:D12,H3:K12)</f>
        <v>591</v>
      </c>
      <c r="O15" s="89"/>
    </row>
    <row r="16" spans="1:15" ht="21.95"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93" t="s">
        <v>1019</v>
      </c>
      <c r="M16" s="94">
        <f>M14-M15</f>
        <v>79588.375999999989</v>
      </c>
      <c r="O16" s="89"/>
    </row>
    <row r="17" spans="2:15" ht="21.95"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93" t="s">
        <v>1020</v>
      </c>
      <c r="M17" s="95">
        <f>M16/M14</f>
        <v>0.99262902719522284</v>
      </c>
      <c r="O17" s="89"/>
    </row>
  </sheetData>
  <phoneticPr fontId="2" type="noConversion"/>
  <conditionalFormatting sqref="F3:F12 M3:M12 M16:M17">
    <cfRule type="cellIs" dxfId="31" priority="1" stopIfTrue="1" operator="lessThan">
      <formula>0</formula>
    </cfRule>
    <cfRule type="cellIs" dxfId="30" priority="2" stopIfTrue="1" operator="greaterThan">
      <formula>0</formula>
    </cfRule>
  </conditionalFormatting>
  <pageMargins left="1" right="1" top="1" bottom="1" header="0.5" footer="0.5"/>
  <pageSetup scale="57" orientation="landscape" r:id="rId1"/>
  <ignoredErrors>
    <ignoredError sqref="J3 K3:K12 I4:I12" unlocked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08261-72FF-5C4C-8962-75B69833E68E}">
  <sheetPr>
    <pageSetUpPr fitToPage="1"/>
  </sheetPr>
  <dimension ref="A1:AH71"/>
  <sheetViews>
    <sheetView zoomScale="174" zoomScaleNormal="100" workbookViewId="0">
      <selection activeCell="B2" sqref="B2"/>
    </sheetView>
  </sheetViews>
  <sheetFormatPr defaultColWidth="11" defaultRowHeight="15.95" outlineLevelRow="1" outlineLevelCol="1"/>
  <cols>
    <col min="1" max="1" width="27.875" customWidth="1"/>
    <col min="2" max="2" width="43" customWidth="1"/>
    <col min="3" max="5" width="17.625" customWidth="1" outlineLevel="1"/>
    <col min="6" max="6" width="2.375" customWidth="1"/>
    <col min="7" max="7" width="18.375" customWidth="1" outlineLevel="1"/>
    <col min="8" max="8" width="8.375" customWidth="1" outlineLevel="1"/>
    <col min="9" max="9" width="2.375" customWidth="1"/>
    <col min="10" max="10" width="7" bestFit="1" customWidth="1"/>
    <col min="11" max="11" width="14" customWidth="1"/>
    <col min="12" max="13" width="3.375" customWidth="1"/>
    <col min="14" max="14" width="16.5" customWidth="1"/>
    <col min="15" max="16" width="3.375" customWidth="1"/>
    <col min="17" max="17" width="13.375" customWidth="1"/>
    <col min="18" max="18" width="3" customWidth="1"/>
    <col min="19" max="19" width="13" customWidth="1"/>
    <col min="20" max="21" width="3.375" customWidth="1"/>
    <col min="22" max="22" width="16.375" customWidth="1"/>
    <col min="23" max="24" width="3.375" customWidth="1"/>
    <col min="25" max="25" width="13.375" customWidth="1"/>
    <col min="26" max="26" width="13.375" style="40" customWidth="1"/>
    <col min="27" max="29" width="13.375" customWidth="1"/>
    <col min="30" max="30" width="13" customWidth="1"/>
    <col min="31" max="31" width="3.5" hidden="1" customWidth="1"/>
    <col min="32" max="33" width="4.375" hidden="1" customWidth="1"/>
    <col min="34" max="34" width="4.5" hidden="1" customWidth="1"/>
  </cols>
  <sheetData>
    <row r="1" spans="1:34">
      <c r="A1" s="46" t="s">
        <v>1021</v>
      </c>
      <c r="B1" s="47" t="s">
        <v>1022</v>
      </c>
    </row>
    <row r="2" spans="1:34">
      <c r="A2" s="48" t="s">
        <v>163</v>
      </c>
      <c r="B2" s="33" t="s">
        <v>1023</v>
      </c>
    </row>
    <row r="3" spans="1:34">
      <c r="E3" s="37"/>
    </row>
    <row r="4" spans="1:34" ht="18.95">
      <c r="A4" s="46" t="s">
        <v>1024</v>
      </c>
      <c r="B4" s="47" t="s">
        <v>1025</v>
      </c>
      <c r="C4" s="47" t="s">
        <v>1026</v>
      </c>
      <c r="D4" s="47" t="s">
        <v>1027</v>
      </c>
      <c r="E4" s="47" t="s">
        <v>1028</v>
      </c>
      <c r="G4" s="79" t="s">
        <v>1029</v>
      </c>
      <c r="H4" s="80" t="s">
        <v>1030</v>
      </c>
      <c r="J4" s="83" t="s">
        <v>1031</v>
      </c>
      <c r="K4" s="84" t="s">
        <v>1032</v>
      </c>
      <c r="L4" s="282" t="s">
        <v>1033</v>
      </c>
      <c r="M4" s="282"/>
      <c r="N4" s="282"/>
      <c r="O4" s="282"/>
      <c r="P4" s="282"/>
      <c r="Q4" s="80" t="s">
        <v>1032</v>
      </c>
      <c r="R4" s="36"/>
      <c r="S4" s="79" t="s">
        <v>1032</v>
      </c>
      <c r="T4" s="282" t="s">
        <v>1034</v>
      </c>
      <c r="U4" s="282"/>
      <c r="V4" s="282"/>
      <c r="W4" s="282"/>
      <c r="X4" s="282"/>
      <c r="Y4" s="80" t="s">
        <v>1032</v>
      </c>
      <c r="AE4">
        <f>COUNTIF(K5,"(2) Duplexes")+COUNTIF(Y5,"(2) Duplexes")</f>
        <v>0</v>
      </c>
      <c r="AF4">
        <f>COUNTIF(Q5:S5,"(2) Duplexes")</f>
        <v>0</v>
      </c>
      <c r="AG4">
        <f>COUNTIF(K5,"(3) Duplexes")+COUNTIF(Y5,"(3) Duplexes")</f>
        <v>0</v>
      </c>
      <c r="AH4">
        <f>COUNTIF(Q5:S5,"(3) Duplexes")</f>
        <v>0</v>
      </c>
    </row>
    <row r="5" spans="1:34" hidden="1" outlineLevel="1">
      <c r="A5" s="49" t="s">
        <v>1035</v>
      </c>
      <c r="B5" s="50" t="str">
        <f>IF(OR(ISBLANK(B8),ISBLANK(B9)),"",IF(ISBLANK(B9),0,(VLOOKUP(B9,'Ondal Booms'!B:F,5,FALSE)))&amp;IF(ISBLANK(B8),0,(VLOOKUP(B8,'Ondal Booms'!B:F,5,FALSE))))</f>
        <v/>
      </c>
      <c r="C5" s="4">
        <f>IF(OR(ISBLANK(B5),B5=""),0,VLOOKUP(B5,'Ondal Booms'!B:G,4,FALSE))</f>
        <v>0</v>
      </c>
      <c r="D5" s="37">
        <f>IF(OR(ISBLANK(B5),B5=""),0,VLOOKUP(B5,'Ondal Booms'!B:G,2,FALSE))</f>
        <v>0</v>
      </c>
      <c r="E5" s="35">
        <f>IF(OR(ISBLANK(B5),B5=""),0,VLOOKUP(B5,'Ondal Booms'!B:G,3,FALSE))</f>
        <v>0</v>
      </c>
      <c r="G5" s="48" t="s">
        <v>1036</v>
      </c>
      <c r="H5" s="77">
        <f>COUNTIF(K5:Y14,"(2) Duplexes")*2+COUNTIF(K5:Y14,"(3) Duplexes")*3</f>
        <v>0</v>
      </c>
      <c r="J5" s="67" t="s">
        <v>1037</v>
      </c>
      <c r="K5" s="82"/>
      <c r="L5" s="56"/>
      <c r="M5" s="57"/>
      <c r="N5" s="58"/>
      <c r="O5" s="59"/>
      <c r="P5" s="57"/>
      <c r="Q5" s="82"/>
      <c r="S5" s="82"/>
      <c r="T5" s="59"/>
      <c r="U5" s="57"/>
      <c r="V5" s="58"/>
      <c r="W5" s="59"/>
      <c r="X5" s="57"/>
      <c r="Y5" s="82"/>
      <c r="Z5" s="40">
        <f>15-COUNTIFS(K5:Y5,"")</f>
        <v>0</v>
      </c>
    </row>
    <row r="6" spans="1:34" ht="17.100000000000001" hidden="1" outlineLevel="1" thickBot="1">
      <c r="A6" s="55" t="s">
        <v>310</v>
      </c>
      <c r="B6" s="7"/>
      <c r="C6" s="4">
        <f>IF(OR(ISBLANK(B6),B6=""),0,VLOOKUP(B6,'Ondal Booms'!B:G,4,FALSE))</f>
        <v>0</v>
      </c>
      <c r="D6" s="37">
        <f>IF(OR(ISBLANK(B6),B6=""),0,VLOOKUP(B6,'Ondal Booms'!B:G,2,FALSE))</f>
        <v>0</v>
      </c>
      <c r="E6" s="35">
        <f>IF(OR(ISBLANK(B6),B6=""),0,VLOOKUP(B6,'Ondal Booms'!B:G,3,FALSE))</f>
        <v>0</v>
      </c>
      <c r="J6" s="55" t="s">
        <v>1038</v>
      </c>
      <c r="K6" s="33"/>
      <c r="L6" s="56"/>
      <c r="M6" s="57"/>
      <c r="N6" s="58"/>
      <c r="O6" s="59"/>
      <c r="P6" s="57"/>
      <c r="Q6" s="33"/>
      <c r="S6" s="33"/>
      <c r="T6" s="59"/>
      <c r="U6" s="57"/>
      <c r="V6" s="58"/>
      <c r="W6" s="59"/>
      <c r="X6" s="57"/>
      <c r="Y6" s="33"/>
      <c r="Z6" s="40">
        <f t="shared" ref="Z6:Z14" si="0">15-COUNTIFS(K6:Y6,"")</f>
        <v>0</v>
      </c>
      <c r="AE6">
        <f>COUNTIF(K7,"(2) Duplexes")+COUNTIF(Y7,"(2) Duplexes")</f>
        <v>0</v>
      </c>
      <c r="AF6">
        <f>COUNTIF(Q7:S7,"(2) Duplexes")</f>
        <v>0</v>
      </c>
      <c r="AG6">
        <f>COUNTIF(K7,"(3) Duplexes")+COUNTIF(Y7,"(3) Duplexes")</f>
        <v>0</v>
      </c>
      <c r="AH6">
        <f>COUNTIF(Q7:S7,"(3) Duplexes")</f>
        <v>0</v>
      </c>
    </row>
    <row r="7" spans="1:34" hidden="1" outlineLevel="1">
      <c r="A7" s="55" t="s">
        <v>354</v>
      </c>
      <c r="B7" s="45"/>
      <c r="C7" s="4">
        <f>IF(OR(ISBLANK(B7),B7=""),0,VLOOKUP(B7,'Ondal Booms'!B:G,4,FALSE))</f>
        <v>0</v>
      </c>
      <c r="D7" s="37">
        <f>IF(OR(ISBLANK(B7),B7=""),0,VLOOKUP(B7,'Ondal Booms'!B:G,2,FALSE))</f>
        <v>0</v>
      </c>
      <c r="E7" s="35">
        <f>IF(OR(ISBLANK(B7),B7=""),0,VLOOKUP(B7,'Ondal Booms'!B:G,3,FALSE))</f>
        <v>0</v>
      </c>
      <c r="G7" s="79" t="s">
        <v>1039</v>
      </c>
      <c r="H7" s="80" t="s">
        <v>1030</v>
      </c>
      <c r="J7" s="55" t="s">
        <v>1040</v>
      </c>
      <c r="K7" s="33"/>
      <c r="L7" s="52"/>
      <c r="M7" s="53"/>
      <c r="N7" s="58"/>
      <c r="O7" s="54"/>
      <c r="P7" s="53"/>
      <c r="Q7" s="33"/>
      <c r="S7" s="33"/>
      <c r="T7" s="54"/>
      <c r="U7" s="53"/>
      <c r="V7" s="58"/>
      <c r="W7" s="54"/>
      <c r="X7" s="53"/>
      <c r="Y7" s="33"/>
      <c r="Z7" s="40">
        <f t="shared" si="0"/>
        <v>0</v>
      </c>
    </row>
    <row r="8" spans="1:34" ht="17.100000000000001" hidden="1" outlineLevel="1" thickBot="1">
      <c r="A8" s="55" t="s">
        <v>355</v>
      </c>
      <c r="B8" s="8"/>
      <c r="C8" s="4">
        <f>IF(OR(ISBLANK(B8),B8=""),0,VLOOKUP(B8,'Ondal Booms'!B:G,4,FALSE))</f>
        <v>0</v>
      </c>
      <c r="D8" s="37">
        <f>IF(OR(ISBLANK(B8),B8=""),0,VLOOKUP(B8,'Ondal Booms'!B:G,2,FALSE))</f>
        <v>0</v>
      </c>
      <c r="E8" s="35">
        <f>IF(OR(ISBLANK(B8),B8=""),0,VLOOKUP(B8,'Ondal Booms'!B:G,3,FALSE))</f>
        <v>0</v>
      </c>
      <c r="G8" s="55" t="s">
        <v>1041</v>
      </c>
      <c r="H8" s="78">
        <f>(COUNTIF(K5:Y14,"Data"))</f>
        <v>0</v>
      </c>
      <c r="J8" s="55" t="s">
        <v>1042</v>
      </c>
      <c r="K8" s="33"/>
      <c r="L8" s="56"/>
      <c r="M8" s="57"/>
      <c r="N8" s="58"/>
      <c r="O8" s="59"/>
      <c r="P8" s="57"/>
      <c r="Q8" s="33"/>
      <c r="S8" s="33"/>
      <c r="T8" s="59"/>
      <c r="U8" s="57"/>
      <c r="V8" s="58"/>
      <c r="W8" s="59"/>
      <c r="X8" s="57"/>
      <c r="Y8" s="33"/>
      <c r="Z8" s="40">
        <f t="shared" si="0"/>
        <v>0</v>
      </c>
      <c r="AE8">
        <f>COUNTIF(K9,"(2) Duplexes")+COUNTIF(Y9,"(2) Duplexes")</f>
        <v>0</v>
      </c>
      <c r="AF8">
        <f>COUNTIF(Q9:S9,"(2) Duplexes")</f>
        <v>0</v>
      </c>
      <c r="AG8">
        <f>COUNTIF(K9,"(3) Duplexes")+COUNTIF(Y9,"(3) Duplexes")</f>
        <v>0</v>
      </c>
      <c r="AH8">
        <f>COUNTIF(Q9:S9,"(3) Duplexes")</f>
        <v>0</v>
      </c>
    </row>
    <row r="9" spans="1:34" hidden="1" outlineLevel="1">
      <c r="A9" s="55" t="s">
        <v>356</v>
      </c>
      <c r="B9" s="7"/>
      <c r="C9" s="4">
        <f>IF(OR(ISBLANK(B9),B9=""),0,VLOOKUP(B9,'Ondal Booms'!B:G,4,FALSE))</f>
        <v>0</v>
      </c>
      <c r="D9" s="37">
        <f>IF(OR(ISBLANK(B9),B9=""),0,VLOOKUP(B9,'Ondal Booms'!B:G,2,FALSE))</f>
        <v>0</v>
      </c>
      <c r="E9" s="35">
        <f>IF(OR(ISBLANK(B9),B9=""),0,VLOOKUP(B9,'Ondal Booms'!B:G,3,FALSE))</f>
        <v>0</v>
      </c>
      <c r="G9" s="64" t="s">
        <v>1043</v>
      </c>
      <c r="H9" s="77">
        <f>(COUNTIF(K5:Y14,"Storz 4in1"))</f>
        <v>0</v>
      </c>
      <c r="J9" s="55" t="s">
        <v>1044</v>
      </c>
      <c r="K9" s="33"/>
      <c r="L9" s="52"/>
      <c r="M9" s="53"/>
      <c r="N9" s="58"/>
      <c r="O9" s="54"/>
      <c r="P9" s="53"/>
      <c r="Q9" s="33"/>
      <c r="S9" s="33"/>
      <c r="T9" s="54"/>
      <c r="U9" s="53"/>
      <c r="V9" s="58"/>
      <c r="W9" s="54"/>
      <c r="X9" s="53"/>
      <c r="Y9" s="33"/>
      <c r="Z9" s="40">
        <f t="shared" si="0"/>
        <v>0</v>
      </c>
    </row>
    <row r="10" spans="1:34" ht="17.100000000000001" hidden="1" outlineLevel="1" thickBot="1">
      <c r="A10" s="55" t="s">
        <v>418</v>
      </c>
      <c r="B10" s="7"/>
      <c r="C10" s="4">
        <f>IF(OR(ISBLANK(B10),B10=""),0,VLOOKUP(B10,'Ondal Booms'!B:G,4,FALSE))</f>
        <v>0</v>
      </c>
      <c r="D10" s="37">
        <f>IF(OR(ISBLANK(B10),B10=""),0,VLOOKUP(B10,'Ondal Booms'!B:G,2,FALSE))</f>
        <v>0</v>
      </c>
      <c r="E10" s="35">
        <f>IF(OR(ISBLANK(B10),B10=""),0,VLOOKUP(B10,'Ondal Booms'!B:G,3,FALSE))</f>
        <v>0</v>
      </c>
      <c r="J10" s="55" t="s">
        <v>1045</v>
      </c>
      <c r="K10" s="33"/>
      <c r="L10" s="60"/>
      <c r="M10" s="61"/>
      <c r="N10" s="58"/>
      <c r="O10" s="62"/>
      <c r="P10" s="61"/>
      <c r="Q10" s="33"/>
      <c r="S10" s="33"/>
      <c r="T10" s="62"/>
      <c r="U10" s="61"/>
      <c r="V10" s="58"/>
      <c r="W10" s="62"/>
      <c r="X10" s="61"/>
      <c r="Y10" s="33"/>
      <c r="Z10" s="40">
        <f>15-COUNTIFS(K10:Y10,"")</f>
        <v>0</v>
      </c>
      <c r="AE10">
        <f>COUNTIF(K11,"(2) Duplexes")+COUNTIF(Y11,"(2) Duplexes")</f>
        <v>0</v>
      </c>
      <c r="AF10">
        <f>COUNTIF(Q11:S11,"(2) Duplexes")</f>
        <v>0</v>
      </c>
      <c r="AG10">
        <f>COUNTIF(K11,"(3) Duplexes")+COUNTIF(Y11,"(3) Duplexes")</f>
        <v>0</v>
      </c>
      <c r="AH10">
        <f>COUNTIF(Q11:S11,"(3) Duplexes")</f>
        <v>0</v>
      </c>
    </row>
    <row r="11" spans="1:34" hidden="1" outlineLevel="1">
      <c r="A11" s="55" t="s">
        <v>357</v>
      </c>
      <c r="B11" s="7"/>
      <c r="C11" s="4">
        <f>IF(OR(ISBLANK(B11),B11=""),0,VLOOKUP(B11,'Ondal Booms'!B:G,4,FALSE))</f>
        <v>0</v>
      </c>
      <c r="D11" s="37">
        <f>IF(OR(ISBLANK(B11),B11=""),0,VLOOKUP(B11,'Ondal Booms'!B:G,2,FALSE))</f>
        <v>0</v>
      </c>
      <c r="E11" s="35">
        <f>IF(OR(ISBLANK(B11),B11=""),0,VLOOKUP(B11,'Ondal Booms'!B:G,3,FALSE))</f>
        <v>0</v>
      </c>
      <c r="G11" s="79" t="s">
        <v>1046</v>
      </c>
      <c r="H11" s="80" t="s">
        <v>1030</v>
      </c>
      <c r="J11" s="55" t="s">
        <v>1047</v>
      </c>
      <c r="K11" s="33"/>
      <c r="L11" s="56"/>
      <c r="M11" s="57"/>
      <c r="N11" s="58"/>
      <c r="O11" s="59"/>
      <c r="P11" s="57"/>
      <c r="Q11" s="33"/>
      <c r="S11" s="33"/>
      <c r="T11" s="59"/>
      <c r="U11" s="57"/>
      <c r="V11" s="58"/>
      <c r="W11" s="59"/>
      <c r="X11" s="57"/>
      <c r="Y11" s="33"/>
      <c r="Z11" s="40">
        <f t="shared" si="0"/>
        <v>0</v>
      </c>
    </row>
    <row r="12" spans="1:34" ht="17.100000000000001" hidden="1" outlineLevel="1" thickBot="1">
      <c r="A12" s="49" t="s">
        <v>99</v>
      </c>
      <c r="B12" s="50" t="str">
        <f>IF(OR(H5=0,ISBLANK(H5)),"",H5&amp;" Duplexes")</f>
        <v/>
      </c>
      <c r="C12" s="4">
        <f>IF(OR(ISBLANK(B12),B12=""),0,VLOOKUP(B12,'Ondal Booms'!B:G,4,FALSE))</f>
        <v>0</v>
      </c>
      <c r="D12" s="37">
        <f>IF(OR(ISBLANK(B12),B12=""),0,VLOOKUP(B12,'Ondal Booms'!B:G,2,FALSE))</f>
        <v>0</v>
      </c>
      <c r="E12" s="35">
        <f>IF(OR(ISBLANK(B12),B12=""),0,VLOOKUP(B12,'Ondal Booms'!B:G,3,FALSE))</f>
        <v>0</v>
      </c>
      <c r="G12" s="55" t="s">
        <v>1048</v>
      </c>
      <c r="H12" s="78">
        <f>(COUNTIF(K5:Y14,"Oxygen"))</f>
        <v>0</v>
      </c>
      <c r="J12" s="55" t="s">
        <v>1049</v>
      </c>
      <c r="K12" s="33"/>
      <c r="L12" s="60"/>
      <c r="M12" s="61"/>
      <c r="N12" s="58"/>
      <c r="O12" s="62"/>
      <c r="P12" s="61"/>
      <c r="Q12" s="33"/>
      <c r="S12" s="33"/>
      <c r="T12" s="62"/>
      <c r="U12" s="61"/>
      <c r="V12" s="58"/>
      <c r="W12" s="62"/>
      <c r="X12" s="61"/>
      <c r="Y12" s="33"/>
      <c r="Z12" s="40">
        <f t="shared" si="0"/>
        <v>0</v>
      </c>
      <c r="AE12">
        <f>COUNTIF(K13,"(2) Duplexes")+COUNTIF(Y13,"(2) Duplexes")</f>
        <v>0</v>
      </c>
      <c r="AF12">
        <f>COUNTIF(Q13:S13,"(2) Duplexes")</f>
        <v>0</v>
      </c>
      <c r="AG12">
        <f>COUNTIF(K13,"(3) Duplexes")+COUNTIF(Y13,"(3) Duplexes")</f>
        <v>0</v>
      </c>
      <c r="AH12">
        <f>COUNTIF(Q13:S13,"(3) Duplexes")</f>
        <v>0</v>
      </c>
    </row>
    <row r="13" spans="1:34" hidden="1" outlineLevel="1">
      <c r="A13" s="49" t="s">
        <v>95</v>
      </c>
      <c r="B13" s="50" t="str">
        <f>IF(OR(SUM(H12:H18)=0,ISBLANK(SUM(H12:H18))),"",SUM(H12:H18)&amp;" Outlets")</f>
        <v/>
      </c>
      <c r="C13" s="4">
        <f>IF(OR(ISBLANK(B13),B13=""),0,VLOOKUP(B13,'Ondal Booms'!B:G,4,FALSE))</f>
        <v>0</v>
      </c>
      <c r="D13" s="37">
        <f>IF(OR(ISBLANK(B13),B13=""),0,VLOOKUP(B13,'Ondal Booms'!B:G,2,FALSE))</f>
        <v>0</v>
      </c>
      <c r="E13" s="35">
        <f>IF(OR(ISBLANK(B13),B13=""),0,VLOOKUP(B13,'Ondal Booms'!B:G,3,FALSE))</f>
        <v>0</v>
      </c>
      <c r="G13" s="55" t="s">
        <v>1050</v>
      </c>
      <c r="H13" s="77">
        <f>COUNTIF(K5:Y14,"Medical Air")</f>
        <v>0</v>
      </c>
      <c r="J13" s="55" t="s">
        <v>1051</v>
      </c>
      <c r="K13" s="33"/>
      <c r="L13" s="56"/>
      <c r="M13" s="57"/>
      <c r="N13" s="58"/>
      <c r="O13" s="59"/>
      <c r="P13" s="57"/>
      <c r="Q13" s="33"/>
      <c r="S13" s="33"/>
      <c r="T13" s="59"/>
      <c r="U13" s="57"/>
      <c r="V13" s="58"/>
      <c r="W13" s="59"/>
      <c r="X13" s="57"/>
      <c r="Y13" s="33"/>
      <c r="Z13" s="40">
        <f t="shared" si="0"/>
        <v>0</v>
      </c>
    </row>
    <row r="14" spans="1:34" ht="17.100000000000001" hidden="1" outlineLevel="1" thickBot="1">
      <c r="A14" s="55" t="s">
        <v>1052</v>
      </c>
      <c r="B14" s="45"/>
      <c r="C14" s="4">
        <f>IF(OR(ISBLANK(B14),B14=""),0,VLOOKUP(B14,'Ondal Booms'!B:G,4,FALSE))</f>
        <v>0</v>
      </c>
      <c r="D14" s="37">
        <f>IF(OR(ISBLANK(B14),B14=""),0,VLOOKUP(B14,'Ondal Booms'!B:G,2,FALSE))</f>
        <v>0</v>
      </c>
      <c r="E14" s="35">
        <f>IF(OR(ISBLANK(B14),B14=""),0,VLOOKUP(B14,'Ondal Booms'!B:G,3,FALSE))</f>
        <v>0</v>
      </c>
      <c r="G14" s="55" t="s">
        <v>1053</v>
      </c>
      <c r="H14" s="77">
        <f>COUNTIF(K5:Y14,"Nitrous Oxide")</f>
        <v>0</v>
      </c>
      <c r="J14" s="64" t="s">
        <v>1054</v>
      </c>
      <c r="K14" s="33"/>
      <c r="L14" s="60"/>
      <c r="M14" s="61"/>
      <c r="N14" s="63"/>
      <c r="O14" s="62"/>
      <c r="P14" s="61"/>
      <c r="Q14" s="33"/>
      <c r="S14" s="33"/>
      <c r="T14" s="62"/>
      <c r="U14" s="61"/>
      <c r="V14" s="63"/>
      <c r="W14" s="62"/>
      <c r="X14" s="61"/>
      <c r="Y14" s="33"/>
      <c r="Z14" s="40">
        <f t="shared" si="0"/>
        <v>0</v>
      </c>
    </row>
    <row r="15" spans="1:34" hidden="1" outlineLevel="1">
      <c r="A15" s="55" t="s">
        <v>454</v>
      </c>
      <c r="B15" s="45"/>
      <c r="C15" s="4">
        <f>IF(OR(ISBLANK(B15),B15=""),0,VLOOKUP(B15,'Ondal Booms'!B:G,4,FALSE))</f>
        <v>0</v>
      </c>
      <c r="D15" s="37">
        <f>IF(OR(ISBLANK(B15),B15=""),0,VLOOKUP(B15,'Ondal Booms'!B:G,2,FALSE))</f>
        <v>0</v>
      </c>
      <c r="E15" s="35">
        <f>IF(OR(ISBLANK(B15),B15=""),0,VLOOKUP(B15,'Ondal Booms'!B:G,3,FALSE))</f>
        <v>0</v>
      </c>
      <c r="G15" s="55" t="s">
        <v>1055</v>
      </c>
      <c r="H15" s="77">
        <f>COUNTIF(K5:Y14,"WAGD")</f>
        <v>0</v>
      </c>
    </row>
    <row r="16" spans="1:34" hidden="1" outlineLevel="1">
      <c r="A16" s="55" t="s">
        <v>455</v>
      </c>
      <c r="B16" s="45"/>
      <c r="C16" s="4">
        <f>IF(OR(ISBLANK(B16),B16=""),0,VLOOKUP(B16,'Ondal Booms'!B:G,4,FALSE))</f>
        <v>0</v>
      </c>
      <c r="D16" s="37">
        <f>IF(OR(ISBLANK(B16),B16=""),0,VLOOKUP(B16,'Ondal Booms'!B:G,2,FALSE))</f>
        <v>0</v>
      </c>
      <c r="E16" s="35">
        <f>IF(OR(ISBLANK(B16),B16=""),0,VLOOKUP(B16,'Ondal Booms'!B:G,3,FALSE))</f>
        <v>0</v>
      </c>
      <c r="G16" s="55" t="s">
        <v>1056</v>
      </c>
      <c r="H16" s="77">
        <f>COUNTIF(K5:Y14,"Vacuum")</f>
        <v>0</v>
      </c>
    </row>
    <row r="17" spans="1:34" hidden="1" outlineLevel="1">
      <c r="A17" s="55" t="s">
        <v>1057</v>
      </c>
      <c r="B17" s="45"/>
      <c r="C17" s="4">
        <f>IF(OR(ISBLANK(B17),B17=""),0,VLOOKUP(B17,'Ondal Booms'!B:G,4,FALSE))</f>
        <v>0</v>
      </c>
      <c r="D17" s="37">
        <f>IF(OR(ISBLANK(B17),B17=""),0,VLOOKUP(B17,'Ondal Booms'!B:G,2,FALSE))</f>
        <v>0</v>
      </c>
      <c r="E17" s="35">
        <f>IF(OR(ISBLANK(B17),B17=""),0,VLOOKUP(B17,'Ondal Booms'!B:G,3,FALSE))</f>
        <v>0</v>
      </c>
      <c r="G17" s="55" t="s">
        <v>1058</v>
      </c>
      <c r="H17" s="77">
        <f>COUNTIF(K5:Y14,"Nitrogen")</f>
        <v>0</v>
      </c>
    </row>
    <row r="18" spans="1:34" hidden="1" outlineLevel="1">
      <c r="A18" s="55" t="s">
        <v>1059</v>
      </c>
      <c r="B18" s="45"/>
      <c r="C18" s="4">
        <f>IF(OR(ISBLANK(B18),B18=""),0,VLOOKUP(B18,'Ondal Booms'!B:G,4,FALSE))</f>
        <v>0</v>
      </c>
      <c r="D18" s="37">
        <f>IF(OR(ISBLANK(B18),B18=""),0,VLOOKUP(B18,'Ondal Booms'!B:G,2,FALSE))</f>
        <v>0</v>
      </c>
      <c r="E18" s="35">
        <f>IF(OR(ISBLANK(B18),B18=""),0,VLOOKUP(B18,'Ondal Booms'!B:G,3,FALSE))</f>
        <v>0</v>
      </c>
      <c r="G18" s="64" t="s">
        <v>1060</v>
      </c>
      <c r="H18" s="77">
        <f>COUNTIF(K5:Y14,"Carbon Dioxide")</f>
        <v>0</v>
      </c>
    </row>
    <row r="19" spans="1:34" hidden="1" outlineLevel="1">
      <c r="A19" s="55" t="s">
        <v>1061</v>
      </c>
      <c r="B19" s="45"/>
      <c r="C19" s="4">
        <f>IF(OR(ISBLANK(B19),B19=""),0,VLOOKUP(B19,'Ondal Booms'!B:G,4,FALSE))</f>
        <v>0</v>
      </c>
      <c r="D19" s="37">
        <f>IF(OR(ISBLANK(B19),B19=""),0,VLOOKUP(B19,'Ondal Booms'!B:G,2,FALSE))</f>
        <v>0</v>
      </c>
      <c r="E19" s="35">
        <f>IF(OR(ISBLANK(B19),B19=""),0,VLOOKUP(B19,'Ondal Booms'!B:G,3,FALSE))</f>
        <v>0</v>
      </c>
      <c r="H19" s="36"/>
    </row>
    <row r="20" spans="1:34" hidden="1" outlineLevel="1">
      <c r="A20" s="55" t="s">
        <v>1062</v>
      </c>
      <c r="B20" s="45"/>
      <c r="C20" s="4">
        <f>IF(OR(ISBLANK(B20),B20=""),0,VLOOKUP(B20,'Ondal Booms'!B:G,4,FALSE))</f>
        <v>0</v>
      </c>
      <c r="D20" s="37">
        <f>IF(OR(ISBLANK(B20),B20=""),0,VLOOKUP(B20,'Ondal Booms'!B:G,2,FALSE))</f>
        <v>0</v>
      </c>
      <c r="E20" s="35">
        <f>IF(OR(ISBLANK(B20),B20=""),0,VLOOKUP(B20,'Ondal Booms'!B:G,3,FALSE))</f>
        <v>0</v>
      </c>
    </row>
    <row r="21" spans="1:34" hidden="1" outlineLevel="1">
      <c r="A21" s="55" t="s">
        <v>1063</v>
      </c>
      <c r="B21" s="45"/>
      <c r="C21" s="4">
        <f>IF(OR(ISBLANK(B21),B21=""),0,VLOOKUP(B21,'Ondal Booms'!B:G,4,FALSE))</f>
        <v>0</v>
      </c>
      <c r="D21" s="37">
        <f>IF(OR(ISBLANK(B21),B21=""),0,VLOOKUP(B21,'Ondal Booms'!B:G,2,FALSE))</f>
        <v>0</v>
      </c>
      <c r="E21" s="35">
        <f>IF(OR(ISBLANK(B21),B21=""),0,VLOOKUP(B21,'Ondal Booms'!B:G,3,FALSE))</f>
        <v>0</v>
      </c>
      <c r="G21" s="37"/>
    </row>
    <row r="22" spans="1:34" hidden="1" outlineLevel="1">
      <c r="A22" s="55" t="s">
        <v>1064</v>
      </c>
      <c r="B22" s="45"/>
      <c r="C22" s="4">
        <f>IF(OR(ISBLANK(B22),B22=""),0,VLOOKUP(B22,'Ondal Booms'!B:G,4,FALSE))</f>
        <v>0</v>
      </c>
      <c r="D22" s="37">
        <f>IF(OR(ISBLANK(B22),B22=""),0,VLOOKUP(B22,'Ondal Booms'!B:G,2,FALSE))</f>
        <v>0</v>
      </c>
      <c r="E22" s="35">
        <f>IF(OR(ISBLANK(B22),B22=""),0,VLOOKUP(B22,'Ondal Booms'!B:G,3,FALSE))</f>
        <v>0</v>
      </c>
      <c r="G22" s="37"/>
    </row>
    <row r="23" spans="1:34" hidden="1" outlineLevel="1">
      <c r="A23" s="64" t="s">
        <v>1065</v>
      </c>
      <c r="B23" s="45"/>
      <c r="C23" s="4">
        <f>IF(OR(ISBLANK(B23),B23=""),0,VLOOKUP(B23,'Ondal Booms'!B:G,4,FALSE))</f>
        <v>0</v>
      </c>
      <c r="D23" s="37">
        <f>IF(OR(ISBLANK(B23),B23=""),0,VLOOKUP(B23,'Ondal Booms'!B:G,2,FALSE))</f>
        <v>0</v>
      </c>
      <c r="E23" s="35">
        <f>IF(OR(ISBLANK(B23),B23=""),0,VLOOKUP(B23,'Ondal Booms'!B:G,3,FALSE))</f>
        <v>0</v>
      </c>
    </row>
    <row r="24" spans="1:34" hidden="1" outlineLevel="1">
      <c r="C24" s="4"/>
      <c r="E24" s="37"/>
    </row>
    <row r="25" spans="1:34" hidden="1" outlineLevel="1">
      <c r="A25" s="49" t="s">
        <v>1066</v>
      </c>
      <c r="B25" s="70" t="str">
        <f>IF(OR(ISBLANK(B5),B5=""),"",
IF(OR(AND(B11="200mm Service Head",SUM(Z7:Z14)&gt;0),AND(B11="400mm Service Head",SUM(Z9:Z14)&gt;0),AND(B11="600mm Service Head",SUM(Z11:Z14)&gt;0),AND(B11="800mm Service Head",SUM(Z13:Z14)&gt;0)),"Select Longer Service Head or Remove Services",
IF(AND(RIGHT(B9,2)="XL",RIGHT(B8,2)&lt;&gt;"XL"),"BOTTOM XL ARM REQUIRES TOP XL ARM",
IF(OR(ISBLANK(B6),ISBLANK(B7),ISBLANK(B8),ISBLANK(B9),ISBLANK(B10),ISBLANK(B11),ISBLANK(B15),ISBLANK(B16),ISBLANK(B14)),"Missing Selections for Configuration",
IF(AND(B11="Large Monitor Carrier",B9&lt;&gt;"Spring Articulating"),"Large Monitor Requires Spring Bottom Arm",
IF(OR(AND(RIGHT(B7,2)="XL",RIGHT(B8,2)&lt;&gt;"XL"),AND(RIGHT(B8,2)="XL",RIGHT(B7,2)&lt;&gt;"XL")),"Both Top Arm and Ceiling Flange Must Be XL",
IF(COUNTIF(AE4:AH12,1)&gt;1,"Mismatch Electrical Configuration",
""))))))
)</f>
        <v/>
      </c>
      <c r="C25" s="4"/>
      <c r="D25" s="4"/>
      <c r="E25" s="35"/>
    </row>
    <row r="26" spans="1:34" hidden="1" outlineLevel="1">
      <c r="B26" s="1"/>
      <c r="C26" s="47" t="s">
        <v>1026</v>
      </c>
      <c r="D26" s="47" t="s">
        <v>1027</v>
      </c>
      <c r="E26" s="47" t="s">
        <v>1067</v>
      </c>
      <c r="F26" s="35"/>
      <c r="I26" s="35"/>
    </row>
    <row r="27" spans="1:34" ht="17.100000000000001" collapsed="1" thickBot="1">
      <c r="A27" s="69" t="s">
        <v>1068</v>
      </c>
      <c r="B27" s="72" t="str">
        <f>IF(OR(B6="",ISBLANK(B6)),"NO CONFIGURATION SELECTED",C27)</f>
        <v>NO CONFIGURATION SELECTED</v>
      </c>
      <c r="C27" s="65">
        <f>SUM(C5:C23)</f>
        <v>0</v>
      </c>
      <c r="D27" s="65">
        <f t="shared" ref="D27:E27" si="1">SUM(D5:D23)</f>
        <v>0</v>
      </c>
      <c r="E27" s="65">
        <f t="shared" si="1"/>
        <v>0</v>
      </c>
      <c r="F27" s="1"/>
      <c r="I27" s="1"/>
      <c r="J27" t="str">
        <f>"&lt;-- EXPAND TO SHOW OPTIONS / SERVICE HEAD"</f>
        <v>&lt;-- EXPAND TO SHOW OPTIONS / SERVICE HEAD</v>
      </c>
      <c r="AC27" s="285"/>
      <c r="AD27" s="285"/>
      <c r="AE27" s="285"/>
      <c r="AF27" s="285"/>
    </row>
    <row r="28" spans="1:34" ht="17.100000000000001" thickTop="1">
      <c r="C28" s="66"/>
      <c r="D28" s="66"/>
      <c r="E28" s="66"/>
      <c r="F28" s="1"/>
      <c r="I28" s="1"/>
      <c r="AE28">
        <f>COUNTIF(K30,"(2) Duplexes")+COUNTIF(Y30,"(2) Duplexes")</f>
        <v>0</v>
      </c>
      <c r="AF28">
        <f>COUNTIF(Q30:S30,"(2) Duplexes")</f>
        <v>0</v>
      </c>
      <c r="AG28">
        <f>COUNTIF(K30,"(3) Duplexes")+COUNTIF(Y30,"(3) Duplexes")</f>
        <v>0</v>
      </c>
      <c r="AH28">
        <f>COUNTIF(Q30:S30,"(3) Duplexes")</f>
        <v>0</v>
      </c>
    </row>
    <row r="29" spans="1:34" ht="18.95">
      <c r="A29" s="46" t="s">
        <v>1069</v>
      </c>
      <c r="B29" s="47" t="s">
        <v>1025</v>
      </c>
      <c r="C29" s="47" t="s">
        <v>1026</v>
      </c>
      <c r="D29" s="47" t="s">
        <v>1027</v>
      </c>
      <c r="E29" s="47" t="s">
        <v>1028</v>
      </c>
      <c r="G29" s="79" t="s">
        <v>1029</v>
      </c>
      <c r="H29" s="80" t="s">
        <v>1030</v>
      </c>
      <c r="J29" s="83" t="s">
        <v>1031</v>
      </c>
      <c r="K29" s="84" t="s">
        <v>1032</v>
      </c>
      <c r="L29" s="282" t="s">
        <v>1033</v>
      </c>
      <c r="M29" s="282"/>
      <c r="N29" s="282"/>
      <c r="O29" s="282"/>
      <c r="P29" s="282"/>
      <c r="Q29" s="80" t="s">
        <v>1032</v>
      </c>
      <c r="R29" s="36"/>
      <c r="S29" s="79" t="s">
        <v>1032</v>
      </c>
      <c r="T29" s="282" t="s">
        <v>1034</v>
      </c>
      <c r="U29" s="282"/>
      <c r="V29" s="282"/>
      <c r="W29" s="282"/>
      <c r="X29" s="282"/>
      <c r="Y29" s="80" t="s">
        <v>1032</v>
      </c>
    </row>
    <row r="30" spans="1:34" hidden="1" outlineLevel="1">
      <c r="A30" s="49" t="s">
        <v>1035</v>
      </c>
      <c r="B30" s="50" t="str">
        <f>IF(OR(ISBLANK(B32),ISBLANK(B33)),"",IF(ISBLANK(B33),0,(VLOOKUP(B33,'Ondal Booms'!B:F,5,FALSE)))&amp;IF(ISBLANK(B32),0,(VLOOKUP(B32,'Ondal Booms'!B:F,5,FALSE))))</f>
        <v/>
      </c>
      <c r="C30" s="4">
        <f>IF(OR(ISBLANK(B30),B30=""),0,VLOOKUP(B30,'Ondal Booms'!B:G,4,FALSE))</f>
        <v>0</v>
      </c>
      <c r="D30" s="37">
        <f>IF(OR(ISBLANK(B30),B30=""),0,VLOOKUP(B30,'Ondal Booms'!B:G,2,FALSE))</f>
        <v>0</v>
      </c>
      <c r="E30" s="35">
        <f>IF(OR(ISBLANK(B30),B30=""),0,VLOOKUP(B30,'Ondal Booms'!B:G,3,FALSE))</f>
        <v>0</v>
      </c>
      <c r="G30" s="48" t="s">
        <v>1036</v>
      </c>
      <c r="H30" s="77">
        <f>COUNTIF(K30:Y39,"(2) Duplexes")*2+COUNTIF(K30:Y39,"(3) Duplexes")*3</f>
        <v>0</v>
      </c>
      <c r="J30" s="51" t="s">
        <v>1037</v>
      </c>
      <c r="K30" s="82"/>
      <c r="L30" s="56"/>
      <c r="M30" s="57"/>
      <c r="N30" s="58"/>
      <c r="O30" s="59"/>
      <c r="P30" s="57"/>
      <c r="Q30" s="82"/>
      <c r="S30" s="82"/>
      <c r="T30" s="59"/>
      <c r="U30" s="57"/>
      <c r="V30" s="58"/>
      <c r="W30" s="59"/>
      <c r="X30" s="57"/>
      <c r="Y30" s="82"/>
      <c r="Z30" s="40">
        <f>15-COUNTIFS(K30:Y30,"")</f>
        <v>0</v>
      </c>
    </row>
    <row r="31" spans="1:34" ht="17.100000000000001" hidden="1" outlineLevel="1" thickBot="1">
      <c r="A31" s="55" t="s">
        <v>354</v>
      </c>
      <c r="B31" s="45"/>
      <c r="C31" s="4">
        <f>IF(OR(ISBLANK(B31),B31=""),0,VLOOKUP(B31,'Ondal Booms'!B:G,4,FALSE))</f>
        <v>0</v>
      </c>
      <c r="D31" s="37">
        <f>IF(OR(ISBLANK(B31),B31=""),0,VLOOKUP(B31,'Ondal Booms'!B:G,2,FALSE))</f>
        <v>0</v>
      </c>
      <c r="E31" s="35">
        <f>IF(OR(ISBLANK(B31),B31=""),0,VLOOKUP(B31,'Ondal Booms'!B:G,3,FALSE))</f>
        <v>0</v>
      </c>
      <c r="G31" s="79" t="s">
        <v>1039</v>
      </c>
      <c r="H31" s="80" t="s">
        <v>1030</v>
      </c>
      <c r="J31" s="51" t="s">
        <v>1038</v>
      </c>
      <c r="K31" s="33"/>
      <c r="L31" s="56"/>
      <c r="M31" s="57"/>
      <c r="N31" s="58"/>
      <c r="O31" s="59"/>
      <c r="P31" s="57"/>
      <c r="Q31" s="33"/>
      <c r="S31" s="33"/>
      <c r="T31" s="59"/>
      <c r="U31" s="57"/>
      <c r="V31" s="58"/>
      <c r="W31" s="59"/>
      <c r="X31" s="57"/>
      <c r="Y31" s="33"/>
      <c r="Z31" s="40">
        <f t="shared" ref="Z31:Z34" si="2">15-COUNTIFS(K31:Y31,"")</f>
        <v>0</v>
      </c>
      <c r="AE31">
        <f>COUNTIF(K32,"(2) Duplexes")+COUNTIF(Y32,"(2) Duplexes")</f>
        <v>0</v>
      </c>
      <c r="AF31">
        <f>COUNTIF(Q32:S32,"(2) Duplexes")</f>
        <v>0</v>
      </c>
      <c r="AG31">
        <f>COUNTIF(K32,"(3) Duplexes")+COUNTIF(Y32,"(3) Duplexes")</f>
        <v>0</v>
      </c>
      <c r="AH31">
        <f>COUNTIF(Q32:S32,"(3) Duplexes")</f>
        <v>0</v>
      </c>
    </row>
    <row r="32" spans="1:34" hidden="1" outlineLevel="1">
      <c r="A32" s="55" t="s">
        <v>355</v>
      </c>
      <c r="B32" s="8"/>
      <c r="C32" s="4">
        <f>IF(OR(ISBLANK(B32),B32=""),0,VLOOKUP(B32,'Ondal Booms'!B:G,4,FALSE))</f>
        <v>0</v>
      </c>
      <c r="D32" s="37">
        <f>IF(OR(ISBLANK(B32),B32=""),0,VLOOKUP(B32,'Ondal Booms'!B:G,2,FALSE))</f>
        <v>0</v>
      </c>
      <c r="E32" s="35">
        <f>IF(OR(ISBLANK(B32),B32=""),0,VLOOKUP(B32,'Ondal Booms'!B:G,3,FALSE))</f>
        <v>0</v>
      </c>
      <c r="G32" s="55" t="s">
        <v>1041</v>
      </c>
      <c r="H32" s="78">
        <f>(COUNTIF(K30:Y39,"Data"))</f>
        <v>0</v>
      </c>
      <c r="J32" s="51" t="s">
        <v>1040</v>
      </c>
      <c r="K32" s="33"/>
      <c r="L32" s="52"/>
      <c r="M32" s="53"/>
      <c r="N32" s="58"/>
      <c r="O32" s="54"/>
      <c r="P32" s="53"/>
      <c r="Q32" s="33"/>
      <c r="S32" s="33"/>
      <c r="T32" s="54"/>
      <c r="U32" s="53"/>
      <c r="V32" s="58"/>
      <c r="W32" s="54"/>
      <c r="X32" s="53"/>
      <c r="Y32" s="33"/>
      <c r="Z32" s="40">
        <f t="shared" si="2"/>
        <v>0</v>
      </c>
    </row>
    <row r="33" spans="1:34" ht="17.100000000000001" hidden="1" outlineLevel="1" thickBot="1">
      <c r="A33" s="55" t="s">
        <v>356</v>
      </c>
      <c r="B33" s="7"/>
      <c r="C33" s="4">
        <f>IF(OR(ISBLANK(B33),B33=""),0,VLOOKUP(B33,'Ondal Booms'!B:G,4,FALSE))</f>
        <v>0</v>
      </c>
      <c r="D33" s="37">
        <f>IF(OR(ISBLANK(B33),B33=""),0,VLOOKUP(B33,'Ondal Booms'!B:G,2,FALSE))</f>
        <v>0</v>
      </c>
      <c r="E33" s="35">
        <f>IF(OR(ISBLANK(B33),B33=""),0,VLOOKUP(B33,'Ondal Booms'!B:G,3,FALSE))</f>
        <v>0</v>
      </c>
      <c r="G33" s="64" t="s">
        <v>1043</v>
      </c>
      <c r="H33" s="77">
        <f>(COUNTIF(K30:Y39,"Storz 4in1"))</f>
        <v>0</v>
      </c>
      <c r="J33" s="51" t="s">
        <v>1042</v>
      </c>
      <c r="K33" s="33"/>
      <c r="L33" s="56"/>
      <c r="M33" s="57"/>
      <c r="N33" s="58"/>
      <c r="O33" s="59"/>
      <c r="P33" s="57"/>
      <c r="Q33" s="33"/>
      <c r="S33" s="33"/>
      <c r="T33" s="59"/>
      <c r="U33" s="57"/>
      <c r="V33" s="58"/>
      <c r="W33" s="59"/>
      <c r="X33" s="57"/>
      <c r="Y33" s="33"/>
      <c r="Z33" s="40">
        <f t="shared" si="2"/>
        <v>0</v>
      </c>
      <c r="AE33">
        <f>COUNTIF(K34,"(2) Duplexes")+COUNTIF(Y34,"(2) Duplexes")</f>
        <v>0</v>
      </c>
      <c r="AF33">
        <f>COUNTIF(Q34:S34,"(2) Duplexes")</f>
        <v>0</v>
      </c>
      <c r="AG33">
        <f>COUNTIF(K34,"(3) Duplexes")+COUNTIF(Y34,"(3) Duplexes")</f>
        <v>0</v>
      </c>
      <c r="AH33">
        <f>COUNTIF(Q34:S34,"(3) Duplexes")</f>
        <v>0</v>
      </c>
    </row>
    <row r="34" spans="1:34" hidden="1" outlineLevel="1">
      <c r="A34" s="55" t="s">
        <v>418</v>
      </c>
      <c r="B34" s="7"/>
      <c r="C34" s="4">
        <f>IF(OR(ISBLANK(B34),B34=""),0,VLOOKUP(B34,'Ondal Booms'!B:G,4,FALSE))</f>
        <v>0</v>
      </c>
      <c r="D34" s="37">
        <f>IF(OR(ISBLANK(B34),B34=""),0,VLOOKUP(B34,'Ondal Booms'!B:G,2,FALSE))</f>
        <v>0</v>
      </c>
      <c r="E34" s="35">
        <f>IF(OR(ISBLANK(B34),B34=""),0,VLOOKUP(B34,'Ondal Booms'!B:G,3,FALSE))</f>
        <v>0</v>
      </c>
      <c r="J34" s="51" t="s">
        <v>1044</v>
      </c>
      <c r="K34" s="33"/>
      <c r="L34" s="52"/>
      <c r="M34" s="53"/>
      <c r="N34" s="58"/>
      <c r="O34" s="54"/>
      <c r="P34" s="53"/>
      <c r="Q34" s="33"/>
      <c r="S34" s="33"/>
      <c r="T34" s="54"/>
      <c r="U34" s="53"/>
      <c r="V34" s="58"/>
      <c r="W34" s="54"/>
      <c r="X34" s="53"/>
      <c r="Y34" s="33"/>
      <c r="Z34" s="40">
        <f t="shared" si="2"/>
        <v>0</v>
      </c>
    </row>
    <row r="35" spans="1:34" ht="17.100000000000001" hidden="1" outlineLevel="1" thickBot="1">
      <c r="A35" s="55" t="s">
        <v>357</v>
      </c>
      <c r="B35" s="7"/>
      <c r="C35" s="4">
        <f>IF(OR(ISBLANK(B35),B35=""),0,VLOOKUP(B35,'Ondal Booms'!B:G,4,FALSE))</f>
        <v>0</v>
      </c>
      <c r="D35" s="37">
        <f>IF(OR(ISBLANK(B35),B35=""),0,VLOOKUP(B35,'Ondal Booms'!B:G,2,FALSE))</f>
        <v>0</v>
      </c>
      <c r="E35" s="35">
        <f>IF(OR(ISBLANK(B35),B35=""),0,VLOOKUP(B35,'Ondal Booms'!B:G,3,FALSE))</f>
        <v>0</v>
      </c>
      <c r="G35" s="79" t="s">
        <v>1046</v>
      </c>
      <c r="H35" s="80" t="s">
        <v>1030</v>
      </c>
      <c r="J35" s="51" t="s">
        <v>1045</v>
      </c>
      <c r="K35" s="33"/>
      <c r="L35" s="60"/>
      <c r="M35" s="61"/>
      <c r="N35" s="58"/>
      <c r="O35" s="62"/>
      <c r="P35" s="61"/>
      <c r="Q35" s="33"/>
      <c r="S35" s="33"/>
      <c r="T35" s="62"/>
      <c r="U35" s="61"/>
      <c r="V35" s="58"/>
      <c r="W35" s="62"/>
      <c r="X35" s="61"/>
      <c r="Y35" s="33"/>
      <c r="Z35" s="40">
        <f>15-COUNTIFS(K35:Y35,"")</f>
        <v>0</v>
      </c>
      <c r="AE35">
        <f>COUNTIF(K36,"(2) Duplexes")+COUNTIF(Y36,"(2) Duplexes")</f>
        <v>0</v>
      </c>
      <c r="AF35">
        <f>COUNTIF(Q36:S36,"(2) Duplexes")</f>
        <v>0</v>
      </c>
      <c r="AG35">
        <f>COUNTIF(K36,"(3) Duplexes")+COUNTIF(Y36,"(3) Duplexes")</f>
        <v>0</v>
      </c>
      <c r="AH35">
        <f>COUNTIF(Q36:S36,"(3) Duplexes")</f>
        <v>0</v>
      </c>
    </row>
    <row r="36" spans="1:34" hidden="1" outlineLevel="1">
      <c r="A36" s="49" t="s">
        <v>99</v>
      </c>
      <c r="B36" s="50" t="str">
        <f>IF(OR(H30=0,ISBLANK(H30)),"",H30&amp;" Duplexes")</f>
        <v/>
      </c>
      <c r="C36" s="4">
        <f>IF(OR(ISBLANK(B36),B36=""),0,VLOOKUP(B36,'Ondal Booms'!B:G,4,FALSE))</f>
        <v>0</v>
      </c>
      <c r="D36" s="37">
        <f>IF(OR(ISBLANK(B36),B36=""),0,VLOOKUP(B36,'Ondal Booms'!B:G,2,FALSE))</f>
        <v>0</v>
      </c>
      <c r="E36" s="35">
        <f>IF(OR(ISBLANK(B36),B36=""),0,VLOOKUP(B36,'Ondal Booms'!B:G,3,FALSE))</f>
        <v>0</v>
      </c>
      <c r="G36" s="55" t="s">
        <v>1048</v>
      </c>
      <c r="H36" s="78">
        <f>(COUNTIF(K30:Y39,"Oxygen"))</f>
        <v>0</v>
      </c>
      <c r="J36" s="51" t="s">
        <v>1047</v>
      </c>
      <c r="K36" s="33"/>
      <c r="L36" s="56"/>
      <c r="M36" s="57"/>
      <c r="N36" s="58"/>
      <c r="O36" s="59"/>
      <c r="P36" s="57"/>
      <c r="Q36" s="33"/>
      <c r="S36" s="33"/>
      <c r="T36" s="59"/>
      <c r="U36" s="57"/>
      <c r="V36" s="58"/>
      <c r="W36" s="59"/>
      <c r="X36" s="57"/>
      <c r="Y36" s="33"/>
      <c r="Z36" s="40">
        <f t="shared" ref="Z36:Z39" si="3">15-COUNTIFS(K36:Y36,"")</f>
        <v>0</v>
      </c>
    </row>
    <row r="37" spans="1:34" ht="17.100000000000001" hidden="1" outlineLevel="1" thickBot="1">
      <c r="A37" s="49" t="s">
        <v>95</v>
      </c>
      <c r="B37" s="50" t="str">
        <f>IF(OR(SUM(H36:H42)=0,ISBLANK(SUM(H36:H42))),"",SUM(H36:H42)&amp;" Outlets")</f>
        <v/>
      </c>
      <c r="C37" s="4">
        <f>IF(OR(ISBLANK(B37),B37=""),0,VLOOKUP(B37,'Ondal Booms'!B:G,4,FALSE))</f>
        <v>0</v>
      </c>
      <c r="D37" s="37">
        <f>IF(OR(ISBLANK(B37),B37=""),0,VLOOKUP(B37,'Ondal Booms'!B:G,2,FALSE))</f>
        <v>0</v>
      </c>
      <c r="E37" s="35">
        <f>IF(OR(ISBLANK(B37),B37=""),0,VLOOKUP(B37,'Ondal Booms'!B:G,3,FALSE))</f>
        <v>0</v>
      </c>
      <c r="G37" s="55" t="s">
        <v>1050</v>
      </c>
      <c r="H37" s="77">
        <f>COUNTIF(K30:Y39,"Medical Air")</f>
        <v>0</v>
      </c>
      <c r="J37" s="51" t="s">
        <v>1049</v>
      </c>
      <c r="K37" s="33"/>
      <c r="L37" s="60"/>
      <c r="M37" s="61"/>
      <c r="N37" s="58"/>
      <c r="O37" s="62"/>
      <c r="P37" s="61"/>
      <c r="Q37" s="33"/>
      <c r="S37" s="33"/>
      <c r="T37" s="62"/>
      <c r="U37" s="61"/>
      <c r="V37" s="58"/>
      <c r="W37" s="62"/>
      <c r="X37" s="61"/>
      <c r="Y37" s="33"/>
      <c r="Z37" s="40">
        <f t="shared" si="3"/>
        <v>0</v>
      </c>
      <c r="AE37">
        <f>COUNTIF(K38,"(2) Duplexes")+COUNTIF(Y38,"(2) Duplexes")</f>
        <v>0</v>
      </c>
      <c r="AF37">
        <f>COUNTIF(Q38:S38,"(2) Duplexes")</f>
        <v>0</v>
      </c>
      <c r="AG37">
        <f>COUNTIF(K38,"(3) Duplexes")+COUNTIF(Y38,"(3) Duplexes")</f>
        <v>0</v>
      </c>
      <c r="AH37">
        <f>COUNTIF(Q38:S38,"(3) Duplexes")</f>
        <v>0</v>
      </c>
    </row>
    <row r="38" spans="1:34" hidden="1" outlineLevel="1">
      <c r="A38" s="55" t="s">
        <v>1052</v>
      </c>
      <c r="B38" s="45"/>
      <c r="C38" s="4">
        <f>IF(OR(ISBLANK(B38),B38=""),0,VLOOKUP(B38,'Ondal Booms'!B:G,4,FALSE))</f>
        <v>0</v>
      </c>
      <c r="D38" s="37">
        <f>IF(OR(ISBLANK(B38),B38=""),0,VLOOKUP(B38,'Ondal Booms'!B:G,2,FALSE))</f>
        <v>0</v>
      </c>
      <c r="E38" s="35">
        <f>IF(OR(ISBLANK(B38),B38=""),0,VLOOKUP(B38,'Ondal Booms'!B:G,3,FALSE))</f>
        <v>0</v>
      </c>
      <c r="G38" s="55" t="s">
        <v>1053</v>
      </c>
      <c r="H38" s="77">
        <f>COUNTIF(K30:Y39,"Nitrous Oxide")</f>
        <v>0</v>
      </c>
      <c r="J38" s="51" t="s">
        <v>1051</v>
      </c>
      <c r="K38" s="33"/>
      <c r="L38" s="56"/>
      <c r="M38" s="57"/>
      <c r="N38" s="58"/>
      <c r="O38" s="59"/>
      <c r="P38" s="57"/>
      <c r="Q38" s="33"/>
      <c r="S38" s="33"/>
      <c r="T38" s="59"/>
      <c r="U38" s="57"/>
      <c r="V38" s="58"/>
      <c r="W38" s="59"/>
      <c r="X38" s="57"/>
      <c r="Y38" s="33"/>
      <c r="Z38" s="40">
        <f t="shared" si="3"/>
        <v>0</v>
      </c>
    </row>
    <row r="39" spans="1:34" ht="17.100000000000001" hidden="1" outlineLevel="1" thickBot="1">
      <c r="A39" s="55" t="s">
        <v>454</v>
      </c>
      <c r="B39" s="45"/>
      <c r="C39" s="4">
        <f>IF(OR(ISBLANK(B39),B39=""),0,VLOOKUP(B39,'Ondal Booms'!B:G,4,FALSE))</f>
        <v>0</v>
      </c>
      <c r="D39" s="37">
        <f>IF(OR(ISBLANK(B39),B39=""),0,VLOOKUP(B39,'Ondal Booms'!B:G,2,FALSE))</f>
        <v>0</v>
      </c>
      <c r="E39" s="35">
        <f>IF(OR(ISBLANK(B39),B39=""),0,VLOOKUP(B39,'Ondal Booms'!B:G,3,FALSE))</f>
        <v>0</v>
      </c>
      <c r="G39" s="55" t="s">
        <v>1055</v>
      </c>
      <c r="H39" s="77">
        <f>COUNTIF(K30:Y39,"WAGD")</f>
        <v>0</v>
      </c>
      <c r="J39" s="51" t="s">
        <v>1054</v>
      </c>
      <c r="K39" s="33"/>
      <c r="L39" s="60"/>
      <c r="M39" s="61"/>
      <c r="N39" s="63"/>
      <c r="O39" s="62"/>
      <c r="P39" s="61"/>
      <c r="Q39" s="33"/>
      <c r="S39" s="33"/>
      <c r="T39" s="62"/>
      <c r="U39" s="61"/>
      <c r="V39" s="63"/>
      <c r="W39" s="62"/>
      <c r="X39" s="61"/>
      <c r="Y39" s="33"/>
      <c r="Z39" s="40">
        <f t="shared" si="3"/>
        <v>0</v>
      </c>
    </row>
    <row r="40" spans="1:34" hidden="1" outlineLevel="1">
      <c r="A40" s="55" t="s">
        <v>455</v>
      </c>
      <c r="B40" s="45"/>
      <c r="C40" s="4">
        <f>IF(OR(ISBLANK(B40),B40=""),0,VLOOKUP(B40,'Ondal Booms'!B:G,4,FALSE))</f>
        <v>0</v>
      </c>
      <c r="D40" s="37">
        <f>IF(OR(ISBLANK(B40),B40=""),0,VLOOKUP(B40,'Ondal Booms'!B:G,2,FALSE))</f>
        <v>0</v>
      </c>
      <c r="E40" s="35">
        <f>IF(OR(ISBLANK(B40),B40=""),0,VLOOKUP(B40,'Ondal Booms'!B:G,3,FALSE))</f>
        <v>0</v>
      </c>
      <c r="G40" s="55" t="s">
        <v>1056</v>
      </c>
      <c r="H40" s="77">
        <f>COUNTIF(K30:Y39,"Vacuum")</f>
        <v>0</v>
      </c>
    </row>
    <row r="41" spans="1:34" hidden="1" outlineLevel="1">
      <c r="A41" s="55" t="s">
        <v>1057</v>
      </c>
      <c r="B41" s="45"/>
      <c r="C41" s="4">
        <f>IF(OR(ISBLANK(B41),B41=""),0,VLOOKUP(B41,'Ondal Booms'!B:G,4,FALSE))</f>
        <v>0</v>
      </c>
      <c r="D41" s="37">
        <f>IF(OR(ISBLANK(B41),B41=""),0,VLOOKUP(B41,'Ondal Booms'!B:G,2,FALSE))</f>
        <v>0</v>
      </c>
      <c r="E41" s="35">
        <f>IF(OR(ISBLANK(B41),B41=""),0,VLOOKUP(B41,'Ondal Booms'!B:G,3,FALSE))</f>
        <v>0</v>
      </c>
      <c r="G41" s="55" t="s">
        <v>1058</v>
      </c>
      <c r="H41" s="77">
        <f>COUNTIF(K30:Y39,"Nitrogen")</f>
        <v>0</v>
      </c>
    </row>
    <row r="42" spans="1:34" hidden="1" outlineLevel="1">
      <c r="A42" s="55" t="s">
        <v>1059</v>
      </c>
      <c r="B42" s="45"/>
      <c r="C42" s="4">
        <f>IF(OR(ISBLANK(B42),B42=""),0,VLOOKUP(B42,'Ondal Booms'!B:G,4,FALSE))</f>
        <v>0</v>
      </c>
      <c r="D42" s="37">
        <f>IF(OR(ISBLANK(B42),B42=""),0,VLOOKUP(B42,'Ondal Booms'!B:G,2,FALSE))</f>
        <v>0</v>
      </c>
      <c r="E42" s="35">
        <f>IF(OR(ISBLANK(B42),B42=""),0,VLOOKUP(B42,'Ondal Booms'!B:G,3,FALSE))</f>
        <v>0</v>
      </c>
      <c r="G42" s="64" t="s">
        <v>1060</v>
      </c>
      <c r="H42" s="77">
        <f>COUNTIF(K30:Y39,"Carbon Dioxide")</f>
        <v>0</v>
      </c>
    </row>
    <row r="43" spans="1:34" hidden="1" outlineLevel="1">
      <c r="A43" s="55" t="s">
        <v>1061</v>
      </c>
      <c r="B43" s="45"/>
      <c r="C43" s="4">
        <f>IF(OR(ISBLANK(B43),B43=""),0,VLOOKUP(B43,'Ondal Booms'!B:G,4,FALSE))</f>
        <v>0</v>
      </c>
      <c r="D43" s="37">
        <f>IF(OR(ISBLANK(B43),B43=""),0,VLOOKUP(B43,'Ondal Booms'!B:G,2,FALSE))</f>
        <v>0</v>
      </c>
      <c r="E43" s="35">
        <f>IF(OR(ISBLANK(B43),B43=""),0,VLOOKUP(B43,'Ondal Booms'!B:G,3,FALSE))</f>
        <v>0</v>
      </c>
      <c r="H43" s="36"/>
    </row>
    <row r="44" spans="1:34" hidden="1" outlineLevel="1">
      <c r="A44" s="55" t="s">
        <v>1062</v>
      </c>
      <c r="B44" s="45"/>
      <c r="C44" s="4">
        <f>IF(OR(ISBLANK(B44),B44=""),0,VLOOKUP(B44,'Ondal Booms'!B:G,4,FALSE))</f>
        <v>0</v>
      </c>
      <c r="D44" s="37">
        <f>IF(OR(ISBLANK(B44),B44=""),0,VLOOKUP(B44,'Ondal Booms'!B:G,2,FALSE))</f>
        <v>0</v>
      </c>
      <c r="E44" s="35">
        <f>IF(OR(ISBLANK(B44),B44=""),0,VLOOKUP(B44,'Ondal Booms'!B:G,3,FALSE))</f>
        <v>0</v>
      </c>
    </row>
    <row r="45" spans="1:34" hidden="1" outlineLevel="1">
      <c r="A45" s="55" t="s">
        <v>1063</v>
      </c>
      <c r="B45" s="45"/>
      <c r="C45" s="4">
        <f>IF(OR(ISBLANK(B45),B45=""),0,VLOOKUP(B45,'Ondal Booms'!B:G,4,FALSE))</f>
        <v>0</v>
      </c>
      <c r="D45" s="37">
        <f>IF(OR(ISBLANK(B45),B45=""),0,VLOOKUP(B45,'Ondal Booms'!B:G,2,FALSE))</f>
        <v>0</v>
      </c>
      <c r="E45" s="35">
        <f>IF(OR(ISBLANK(B45),B45=""),0,VLOOKUP(B45,'Ondal Booms'!B:G,3,FALSE))</f>
        <v>0</v>
      </c>
      <c r="G45" s="37"/>
    </row>
    <row r="46" spans="1:34" hidden="1" outlineLevel="1">
      <c r="A46" s="55" t="s">
        <v>1064</v>
      </c>
      <c r="B46" s="45"/>
      <c r="C46" s="4">
        <f>IF(OR(ISBLANK(B46),B46=""),0,VLOOKUP(B46,'Ondal Booms'!B:G,4,FALSE))</f>
        <v>0</v>
      </c>
      <c r="D46" s="37">
        <f>IF(OR(ISBLANK(B46),B46=""),0,VLOOKUP(B46,'Ondal Booms'!B:G,2,FALSE))</f>
        <v>0</v>
      </c>
      <c r="E46" s="35">
        <f>IF(OR(ISBLANK(B46),B46=""),0,VLOOKUP(B46,'Ondal Booms'!B:G,3,FALSE))</f>
        <v>0</v>
      </c>
      <c r="G46" s="37"/>
    </row>
    <row r="47" spans="1:34" hidden="1" outlineLevel="1">
      <c r="A47" s="64" t="s">
        <v>1065</v>
      </c>
      <c r="B47" s="45"/>
      <c r="C47" s="4">
        <f>IF(OR(ISBLANK(B47),B47=""),0,VLOOKUP(B47,'Ondal Booms'!B:G,4,FALSE))</f>
        <v>0</v>
      </c>
      <c r="D47" s="37">
        <f>IF(OR(ISBLANK(B47),B47=""),0,VLOOKUP(B47,'Ondal Booms'!B:G,2,FALSE))</f>
        <v>0</v>
      </c>
      <c r="E47" s="35">
        <f>IF(OR(ISBLANK(B47),B47=""),0,VLOOKUP(B47,'Ondal Booms'!B:G,3,FALSE))</f>
        <v>0</v>
      </c>
    </row>
    <row r="48" spans="1:34" hidden="1" outlineLevel="1">
      <c r="C48" s="4"/>
      <c r="E48" s="37"/>
    </row>
    <row r="49" spans="1:32" hidden="1" outlineLevel="1">
      <c r="A49" s="49" t="s">
        <v>1066</v>
      </c>
      <c r="B49" s="70" t="str">
        <f>IF(OR(ISBLANK(B30),B30=""),"",
IF(OR(AND(B35="200mm Service Head",SUM(Z32:Z39)&gt;0),AND(B35="400mm Service Head",SUM(Z34:Z39)&gt;0),AND(B35="600mm Service Head",SUM(Z36:Z39)&gt;0),AND(B35="800mm Service Head",SUM(Z38:Z39)&gt;0)),"Select Longer Service Head or Remove Services",
IF(AND(RIGHT(B33,2)="XL",RIGHT(B32,2)&lt;&gt;"XL"),"BOTTOM XL ARM REQUIRES TOP XL ARM",
IF(OR(ISBLANK(#REF!),ISBLANK(B31),ISBLANK(B32),ISBLANK(B33),ISBLANK(B34),ISBLANK(B35),ISBLANK(B39),ISBLANK(B40),ISBLANK(B38)),"Missing Selections for Configuration",
IF(AND(B35="Large Monitor Carrier",B33&lt;&gt;"Spring Articulating"),"Large Monitor Requires Spring Bottom Arm",
IF(OR(AND(RIGHT(B31,2)="XL",RIGHT(B32,2)&lt;&gt;"XL"),AND(RIGHT(B32,2)="XL",RIGHT(B31,2)&lt;&gt;"XL")),"Both Top Arm and Ceiling Flange Must Be XL",
IF(COUNTIF(AE29:AH37,1)&gt;1,"Mismatch Electrical Configuration",
""))))))
)</f>
        <v/>
      </c>
      <c r="C49" s="4"/>
      <c r="D49" s="4"/>
      <c r="E49" s="35"/>
    </row>
    <row r="50" spans="1:32" hidden="1" outlineLevel="1">
      <c r="B50" s="1"/>
      <c r="C50" s="47" t="s">
        <v>1026</v>
      </c>
      <c r="D50" s="47" t="s">
        <v>1027</v>
      </c>
      <c r="E50" s="47" t="s">
        <v>1067</v>
      </c>
      <c r="F50" s="35"/>
      <c r="I50" s="35"/>
    </row>
    <row r="51" spans="1:32" ht="17.100000000000001" collapsed="1" thickBot="1">
      <c r="A51" s="69" t="s">
        <v>1068</v>
      </c>
      <c r="B51" s="72" t="str">
        <f>IF(OR(B30="",ISBLANK(B30)),"NO CONFIGURATION SELECTED",C51)</f>
        <v>NO CONFIGURATION SELECTED</v>
      </c>
      <c r="C51" s="65">
        <f>SUM(C30:C47)</f>
        <v>0</v>
      </c>
      <c r="D51" s="65">
        <f t="shared" ref="D51:E51" si="4">SUM(D30:D47)</f>
        <v>0</v>
      </c>
      <c r="E51" s="65">
        <f t="shared" si="4"/>
        <v>0</v>
      </c>
      <c r="F51" s="1"/>
      <c r="I51" s="1"/>
      <c r="J51" t="str">
        <f>"&lt;-- EXPAND TO SHOW OPTIONS / SERVICE HEAD"</f>
        <v>&lt;-- EXPAND TO SHOW OPTIONS / SERVICE HEAD</v>
      </c>
    </row>
    <row r="52" spans="1:32" ht="17.100000000000001" thickTop="1">
      <c r="AC52" s="285"/>
      <c r="AD52" s="285"/>
      <c r="AE52" s="285"/>
      <c r="AF52" s="285"/>
    </row>
    <row r="53" spans="1:32">
      <c r="A53" s="46" t="s">
        <v>1070</v>
      </c>
      <c r="B53" s="47" t="s">
        <v>1025</v>
      </c>
      <c r="C53" s="47" t="s">
        <v>1026</v>
      </c>
      <c r="D53" s="47" t="s">
        <v>1071</v>
      </c>
      <c r="E53" s="47" t="s">
        <v>1072</v>
      </c>
    </row>
    <row r="54" spans="1:32" outlineLevel="1">
      <c r="A54" s="49" t="s">
        <v>1035</v>
      </c>
      <c r="B54" s="50" t="str">
        <f>IF(AND(ISBLANK(B57),ISBLANK(B58),ISBLANK(B59)),"",
IF(B55="Upgrade Only","UPGRADE",
IF(RIGHT(B57,4)="(3P)","(3P) ","")&amp;
IF(ISBLANK(B57),"",VLOOKUP(B57,'Simeon Lights'!C:H,2,FALSE))&amp;
IF(ISBLANK(B58),""," / "&amp;VLOOKUP(B58,'Simeon Lights'!C:H,2,FALSE))&amp;
IF(ISBLANK(B59),""," / "&amp;VLOOKUP(B59,'Simeon Lights'!C:H,2,FALSE))))</f>
        <v>FP / LED</v>
      </c>
      <c r="C54" s="4">
        <f>IF(ISBLANK(B57),0,(VLOOKUP(B54,'Simeon Lights'!C:J,6,FALSE)))</f>
        <v>10357.416666666668</v>
      </c>
      <c r="D54" s="37">
        <f>IF(ISBLANK(B57),0,(VLOOKUP(B54,'Simeon Lights'!C:J,4,FALSE)))</f>
        <v>6214.4500000000007</v>
      </c>
      <c r="E54" s="37">
        <f>IF(ISBLANK(B57),0,(VLOOKUP(B54,'Simeon Lights'!C:J,5,FALSE)))</f>
        <v>3107.2250000000004</v>
      </c>
      <c r="G54" s="1"/>
      <c r="H54" s="1"/>
    </row>
    <row r="55" spans="1:32" outlineLevel="1">
      <c r="A55" s="55" t="s">
        <v>310</v>
      </c>
      <c r="B55" s="33" t="s">
        <v>645</v>
      </c>
      <c r="C55" s="4">
        <f>IF(ISBLANK(B55),0,VLOOKUP(B55,'Simeon Lights'!C:J,6,FALSE))</f>
        <v>1441.05</v>
      </c>
      <c r="D55" s="37">
        <f>IF(ISBLANK(B55),0,VLOOKUP(B55,'Simeon Lights'!C:J,4,FALSE))</f>
        <v>864.63</v>
      </c>
      <c r="E55" s="37">
        <f>IF(ISBLANK(B55),0,VLOOKUP(B55,'Simeon Lights'!C:J,5,FALSE))</f>
        <v>432.315</v>
      </c>
    </row>
    <row r="56" spans="1:32" outlineLevel="1">
      <c r="A56" s="55" t="s">
        <v>1073</v>
      </c>
      <c r="B56" s="33" t="s">
        <v>577</v>
      </c>
      <c r="C56" s="4">
        <f>IF(ISBLANK(B56),0,VLOOKUP(B56,'Simeon Lights'!C:J,6,FALSE))</f>
        <v>0</v>
      </c>
      <c r="D56" s="37">
        <f>IF(ISBLANK(B56),0,VLOOKUP(B56,'Simeon Lights'!C:J,4,FALSE))</f>
        <v>0</v>
      </c>
      <c r="E56" s="37">
        <f>IF(ISBLANK(B56),0,VLOOKUP(B56,'Simeon Lights'!C:J,5,FALSE))</f>
        <v>0</v>
      </c>
    </row>
    <row r="57" spans="1:32" outlineLevel="1">
      <c r="A57" s="55" t="s">
        <v>1074</v>
      </c>
      <c r="B57" s="33" t="s">
        <v>548</v>
      </c>
      <c r="C57" s="4">
        <f>IF(ISBLANK(B57),0,VLOOKUP(B57,'Simeon Lights'!C:J,6,FALSE))</f>
        <v>13583.949999999999</v>
      </c>
      <c r="D57" s="37">
        <f>IF(ISBLANK(B57),0,VLOOKUP(B57,'Simeon Lights'!C:J,4,FALSE))</f>
        <v>8150.369999999999</v>
      </c>
      <c r="E57" s="37">
        <f>IF(ISBLANK(B57),0,VLOOKUP(B57,'Simeon Lights'!C:J,5,FALSE))</f>
        <v>4075.1849999999995</v>
      </c>
    </row>
    <row r="58" spans="1:32" outlineLevel="1">
      <c r="A58" s="55" t="s">
        <v>1075</v>
      </c>
      <c r="B58" s="33" t="s">
        <v>1076</v>
      </c>
      <c r="C58" s="4">
        <f>IF(ISBLANK(B58),0,VLOOKUP(B58,'Simeon Lights'!C:J,6,FALSE))</f>
        <v>30069.75</v>
      </c>
      <c r="D58" s="37">
        <f>IF(ISBLANK(B58),0,VLOOKUP(B58,'Simeon Lights'!C:J,4,FALSE))</f>
        <v>18041.849999999999</v>
      </c>
      <c r="E58" s="37">
        <f>IF(ISBLANK(B58),0,VLOOKUP(B58,'Simeon Lights'!C:J,5,FALSE))</f>
        <v>9020.9249999999993</v>
      </c>
    </row>
    <row r="59" spans="1:32" outlineLevel="1">
      <c r="A59" s="55" t="s">
        <v>1077</v>
      </c>
      <c r="B59" s="33"/>
      <c r="C59" s="4">
        <f>IF(ISBLANK(B59),0,VLOOKUP(B59,'Simeon Lights'!C:J,6,FALSE))</f>
        <v>0</v>
      </c>
      <c r="D59" s="37">
        <f>IF(ISBLANK(B59),0,VLOOKUP(B59,'Simeon Lights'!C:J,4,FALSE))</f>
        <v>0</v>
      </c>
      <c r="E59" s="37">
        <f>IF(ISBLANK(B59),0,VLOOKUP(B59,'Simeon Lights'!C:J,5,FALSE))</f>
        <v>0</v>
      </c>
    </row>
    <row r="60" spans="1:32" outlineLevel="1">
      <c r="A60" s="55" t="s">
        <v>589</v>
      </c>
      <c r="B60" s="34" t="s">
        <v>598</v>
      </c>
      <c r="C60" s="4">
        <f>IF(ISBLANK(B60),0,VLOOKUP(B60,'Simeon Lights'!C:J,6,FALSE))</f>
        <v>4992.2833333333338</v>
      </c>
      <c r="D60" s="37">
        <f>IF(ISBLANK(B60),0,VLOOKUP(B60,'Simeon Lights'!C:J,4,FALSE))</f>
        <v>2995.37</v>
      </c>
      <c r="E60" s="37">
        <f>IF(ISBLANK(B60),0,VLOOKUP(B60,'Simeon Lights'!C:J,5,FALSE))</f>
        <v>1497.6849999999999</v>
      </c>
    </row>
    <row r="61" spans="1:32" outlineLevel="1">
      <c r="A61" s="55" t="s">
        <v>1078</v>
      </c>
      <c r="B61" s="34" t="s">
        <v>612</v>
      </c>
      <c r="C61" s="4">
        <f>IF(ISBLANK(B61),0,VLOOKUP(B61,'Simeon Lights'!C:J,6,FALSE))</f>
        <v>0</v>
      </c>
      <c r="D61" s="37">
        <f>IF(ISBLANK(B61),0,VLOOKUP(B61,'Simeon Lights'!C:J,4,FALSE))</f>
        <v>0</v>
      </c>
      <c r="E61" s="37">
        <f>IF(ISBLANK(B61),0,VLOOKUP(B61,'Simeon Lights'!C:J,5,FALSE))</f>
        <v>0</v>
      </c>
    </row>
    <row r="62" spans="1:32" outlineLevel="1">
      <c r="A62" s="55" t="s">
        <v>615</v>
      </c>
      <c r="B62" s="34" t="s">
        <v>620</v>
      </c>
      <c r="C62" s="4">
        <f>IF(ISBLANK(B62),0,VLOOKUP(B62,'Simeon Lights'!C:J,6,FALSE))</f>
        <v>4941.2366666666676</v>
      </c>
      <c r="D62" s="37">
        <f>IF(ISBLANK(B62),0,VLOOKUP(B62,'Simeon Lights'!C:J,4,FALSE))</f>
        <v>2695.22</v>
      </c>
      <c r="E62" s="37">
        <f>IF(ISBLANK(B62),0,VLOOKUP(B62,'Simeon Lights'!C:J,5,FALSE))</f>
        <v>1482.3710000000001</v>
      </c>
    </row>
    <row r="63" spans="1:32" outlineLevel="1">
      <c r="A63" s="64" t="s">
        <v>1079</v>
      </c>
      <c r="B63" s="34" t="s">
        <v>628</v>
      </c>
      <c r="C63" s="4">
        <f>IF(ISBLANK(B63),0,VLOOKUP(B63,'Simeon Lights'!C:J,6,FALSE))</f>
        <v>440</v>
      </c>
      <c r="D63" s="37">
        <f>IF(ISBLANK(B63),0,VLOOKUP(B63,'Simeon Lights'!C:J,4,FALSE))</f>
        <v>264</v>
      </c>
      <c r="E63" s="37">
        <f>IF(ISBLANK(B63),0,VLOOKUP(B63,'Simeon Lights'!C:J,5,FALSE))</f>
        <v>132</v>
      </c>
    </row>
    <row r="64" spans="1:32" outlineLevel="1">
      <c r="C64" s="4"/>
      <c r="D64" s="4"/>
      <c r="E64" s="44"/>
    </row>
    <row r="65" spans="1:10" outlineLevel="1">
      <c r="A65" s="49" t="s">
        <v>1066</v>
      </c>
      <c r="B65" s="70" t="str">
        <f xml:space="preserve">
IF(AND(ISBLANK(B57),ISBLANK(B58),ISBLANK(B59)),"",
IF(AND(ISBLANK(B57),B58&lt;&gt;""),"ARM 1 MISSING",
IF(AND(ISBLANK(B57),B59&lt;&gt;""),"ARM 1 MISSING",
IF(ISBLANK(B58)&amp;ISBLANK(B59)="TRUEFALSE","ARM 2 MISSING",
IF(AND(B57&lt;&gt;"",B58="32in Flat Panel",B59&lt;&gt;""),"FP CANNOT BE MIDDLE ARM",
IF(OR(ISBLANK(B55),ISBLANK(B56),ISBLANK(B60),ISBLANK(B61),ISBLANK(B62),ISBLANK(B63)),"Missing Selections",""))))))</f>
        <v/>
      </c>
      <c r="C65" s="4"/>
      <c r="D65" s="4"/>
      <c r="E65" s="35"/>
    </row>
    <row r="66" spans="1:10" outlineLevel="1">
      <c r="B66" s="71"/>
      <c r="C66" s="47" t="s">
        <v>1026</v>
      </c>
      <c r="D66" s="47" t="s">
        <v>1071</v>
      </c>
      <c r="E66" s="47" t="s">
        <v>1072</v>
      </c>
      <c r="F66" s="1"/>
      <c r="I66" s="1"/>
    </row>
    <row r="67" spans="1:10" ht="17.100000000000001" thickBot="1">
      <c r="A67" s="69" t="s">
        <v>1068</v>
      </c>
      <c r="B67" s="72">
        <f>IF(OR(ISBLANK(B57),ISBLANK(B58)&amp;ISBLANK(B59)="TRUEFALSE"),"NO CONFIGURATION SELECTED",IF(B65&lt;&gt;"","ERROR IN CONFIGURATION",IF(B57="",0,SUM(C54:C63))))</f>
        <v>65825.686666666661</v>
      </c>
      <c r="C67" s="65">
        <f>SUM(C54:C65)</f>
        <v>65825.686666666661</v>
      </c>
      <c r="D67" s="65">
        <f t="shared" ref="D67:E67" si="5">SUM(D54:D65)</f>
        <v>39225.890000000007</v>
      </c>
      <c r="E67" s="65">
        <f t="shared" si="5"/>
        <v>19747.706000000002</v>
      </c>
      <c r="J67" t="str">
        <f>"&lt;-- EXPAND TO SHOW OPTIONS"</f>
        <v>&lt;-- EXPAND TO SHOW OPTIONS</v>
      </c>
    </row>
    <row r="68" spans="1:10" ht="17.100000000000001" thickTop="1">
      <c r="E68" s="1"/>
    </row>
    <row r="69" spans="1:10">
      <c r="A69" s="46"/>
      <c r="B69" s="47" t="s">
        <v>1080</v>
      </c>
      <c r="E69" s="47" t="s">
        <v>1081</v>
      </c>
    </row>
    <row r="70" spans="1:10" ht="17.100000000000001" thickBot="1">
      <c r="A70" s="69" t="s">
        <v>1082</v>
      </c>
      <c r="B70" s="72">
        <f>IF(OR(B27="Error in Configuration",B27="No Configuration Selected"),0,B27)+IF(OR(B51="Error in Configuration",B51="No Configuration Selected"),0,B51)+IF(OR(B67="Error in Configuration",B67="No Configuration Selected"),0,B67)</f>
        <v>65825.686666666661</v>
      </c>
      <c r="E70" s="65">
        <f>SUM(E67,E51,E27)</f>
        <v>19747.706000000002</v>
      </c>
      <c r="G70" s="1"/>
      <c r="H70" s="1"/>
    </row>
    <row r="71" spans="1:10" ht="17.100000000000001" thickTop="1"/>
  </sheetData>
  <sheetProtection sheet="1" formatColumns="0" formatRows="0" selectLockedCells="1"/>
  <mergeCells count="6">
    <mergeCell ref="AC52:AF52"/>
    <mergeCell ref="L4:P4"/>
    <mergeCell ref="T4:X4"/>
    <mergeCell ref="L29:P29"/>
    <mergeCell ref="T29:X29"/>
    <mergeCell ref="AC27:AF27"/>
  </mergeCells>
  <phoneticPr fontId="2" type="noConversion"/>
  <conditionalFormatting sqref="B25">
    <cfRule type="expression" dxfId="29" priority="2">
      <formula>$B$25&lt;&gt;""</formula>
    </cfRule>
  </conditionalFormatting>
  <conditionalFormatting sqref="B49">
    <cfRule type="expression" dxfId="28" priority="1">
      <formula>$B$25&lt;&gt;""</formula>
    </cfRule>
  </conditionalFormatting>
  <conditionalFormatting sqref="B65">
    <cfRule type="expression" dxfId="27" priority="3" stopIfTrue="1">
      <formula>$B$65&lt;&gt;""</formula>
    </cfRule>
  </conditionalFormatting>
  <pageMargins left="0.7" right="0.7" top="0.75" bottom="0.75" header="0.3" footer="0.3"/>
  <pageSetup scale="35" orientation="landscape" r:id="rId1"/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 xr:uid="{AE320654-118D-CA4A-8EB4-698C1B8ED910}">
          <x14:formula1>
            <xm:f>'Simeon Lights'!$C$79:$C$83</xm:f>
          </x14:formula1>
          <xm:sqref>B62</xm:sqref>
        </x14:dataValidation>
        <x14:dataValidation type="list" allowBlank="1" showInputMessage="1" showErrorMessage="1" xr:uid="{CC6D94E7-4549-5445-87BE-61A5399AC47F}">
          <x14:formula1>
            <xm:f>'BnL Drop Downs'!$A$2:$A$11</xm:f>
          </x14:formula1>
          <xm:sqref>R5:R16 R30:R41</xm:sqref>
        </x14:dataValidation>
        <x14:dataValidation type="list" allowBlank="1" showInputMessage="1" showErrorMessage="1" xr:uid="{FC02B3A2-FF6C-304C-B0D8-AC856C4FE44E}">
          <x14:formula1>
            <xm:f>'BnL Drop Downs'!$A$2:$A$14</xm:f>
          </x14:formula1>
          <xm:sqref>K5:K16 Q5:Q16 S5:S16 Y5:Y16 K30:K41 Q30:Q41 S30:S41 Y30:Y41</xm:sqref>
        </x14:dataValidation>
        <x14:dataValidation type="list" allowBlank="1" showInputMessage="1" showErrorMessage="1" xr:uid="{9C177858-E28E-5546-A6CB-07AEA6CEAE43}">
          <x14:formula1>
            <xm:f>'Simeon Lights'!$C$62:$C$71</xm:f>
          </x14:formula1>
          <xm:sqref>B60</xm:sqref>
        </x14:dataValidation>
        <x14:dataValidation type="list" allowBlank="1" showInputMessage="1" showErrorMessage="1" xr:uid="{48A073C6-6937-5C4B-80DA-617D5F7BCC73}">
          <x14:formula1>
            <xm:f>'Simeon Lights'!$C$74:$C$76</xm:f>
          </x14:formula1>
          <xm:sqref>B61</xm:sqref>
        </x14:dataValidation>
        <x14:dataValidation type="list" allowBlank="1" showInputMessage="1" showErrorMessage="1" xr:uid="{5C9407F4-8ACD-7A4C-88F4-C188174557BF}">
          <x14:formula1>
            <xm:f>'Simeon Lights'!$C$86:$C$93</xm:f>
          </x14:formula1>
          <xm:sqref>B63</xm:sqref>
        </x14:dataValidation>
        <x14:dataValidation type="list" allowBlank="1" showInputMessage="1" showErrorMessage="1" xr:uid="{36F81125-33FE-AC41-8010-02101FCF54E7}">
          <x14:formula1>
            <xm:f>'Simeon Lights'!$C$103:$C$108</xm:f>
          </x14:formula1>
          <xm:sqref>B55</xm:sqref>
        </x14:dataValidation>
        <x14:dataValidation type="list" allowBlank="1" showInputMessage="1" showErrorMessage="1" xr:uid="{68F20AE0-5BED-0A4E-9F81-3BA2E6B461CA}">
          <x14:formula1>
            <xm:f>'Ondal Booms'!$B$48:$B$51</xm:f>
          </x14:formula1>
          <xm:sqref>B6</xm:sqref>
        </x14:dataValidation>
        <x14:dataValidation type="list" allowBlank="1" showInputMessage="1" showErrorMessage="1" xr:uid="{F53D6174-7F20-7843-AB97-0247C5AF7B9C}">
          <x14:formula1>
            <xm:f>'Ondal Booms'!$B$152:$B$157</xm:f>
          </x14:formula1>
          <xm:sqref>B16 B40</xm:sqref>
        </x14:dataValidation>
        <x14:dataValidation type="list" allowBlank="1" showInputMessage="1" showErrorMessage="1" xr:uid="{C0388AA6-CFFF-084E-84BA-77ED33C0087B}">
          <x14:formula1>
            <xm:f>'Ondal Booms'!$B$55:$B$61</xm:f>
          </x14:formula1>
          <xm:sqref>B7 B31</xm:sqref>
        </x14:dataValidation>
        <x14:dataValidation type="list" allowBlank="1" showInputMessage="1" showErrorMessage="1" xr:uid="{85247D3E-477F-7040-AC6F-A8157BE55FF0}">
          <x14:formula1>
            <xm:f>'Ondal Booms'!$B$64:$B$74</xm:f>
          </x14:formula1>
          <xm:sqref>B8 B32</xm:sqref>
        </x14:dataValidation>
        <x14:dataValidation type="list" allowBlank="1" showInputMessage="1" showErrorMessage="1" xr:uid="{C378D4C8-5CA1-9645-AE21-D519DB3495B7}">
          <x14:formula1>
            <xm:f>'Ondal Booms'!$B$77:$B$87</xm:f>
          </x14:formula1>
          <xm:sqref>B9 B33</xm:sqref>
        </x14:dataValidation>
        <x14:dataValidation type="list" allowBlank="1" showInputMessage="1" showErrorMessage="1" xr:uid="{D377DEFA-F771-9240-B1D4-47739875ED25}">
          <x14:formula1>
            <xm:f>'Ondal Booms'!$B$100:$B$106</xm:f>
          </x14:formula1>
          <xm:sqref>B11 B35</xm:sqref>
        </x14:dataValidation>
        <x14:dataValidation type="list" allowBlank="1" showInputMessage="1" showErrorMessage="1" xr:uid="{252AB8C9-EF34-CC47-A005-6D0C1E0C0E0C}">
          <x14:formula1>
            <xm:f>'Ondal Booms'!$B$90:$B$96</xm:f>
          </x14:formula1>
          <xm:sqref>B10 B34</xm:sqref>
        </x14:dataValidation>
        <x14:dataValidation type="list" allowBlank="1" showInputMessage="1" showErrorMessage="1" xr:uid="{48F3300A-EE7D-1F4E-888E-42710767F380}">
          <x14:formula1>
            <xm:f>'Ondal Booms'!$B$3:$B$10</xm:f>
          </x14:formula1>
          <xm:sqref>B6:B9 B31:B33</xm:sqref>
        </x14:dataValidation>
        <x14:dataValidation type="list" allowBlank="1" showDropDown="1" showInputMessage="1" showErrorMessage="1" xr:uid="{32BAEE51-8488-8541-B496-66DC58C67375}">
          <x14:formula1>
            <xm:f>'Ondal Booms'!$B$3:$B$10</xm:f>
          </x14:formula1>
          <xm:sqref>B5:B7 B30:B31</xm:sqref>
        </x14:dataValidation>
        <x14:dataValidation type="list" allowBlank="1" showInputMessage="1" showErrorMessage="1" xr:uid="{3B19B1E3-D2B5-1E4B-B038-7A09CB1B99E5}">
          <x14:formula1>
            <xm:f>'Ondal Booms'!$B$169:$B$181</xm:f>
          </x14:formula1>
          <xm:sqref>B17:B23 B41:B47</xm:sqref>
        </x14:dataValidation>
        <x14:dataValidation type="list" allowBlank="1" showInputMessage="1" showErrorMessage="1" xr:uid="{123BCE90-4771-0743-A3E3-28563157603E}">
          <x14:formula1>
            <xm:f>'Ondal Booms'!$B$145:$B$150</xm:f>
          </x14:formula1>
          <xm:sqref>B15 B39</xm:sqref>
        </x14:dataValidation>
        <x14:dataValidation type="list" allowBlank="1" showInputMessage="1" showErrorMessage="1" xr:uid="{B363FAFB-478B-9644-9F5D-1FDAD694C0CF}">
          <x14:formula1>
            <xm:f>'Ondal Booms'!#REF!</xm:f>
          </x14:formula1>
          <xm:sqref>B15:B16 B39:B40</xm:sqref>
        </x14:dataValidation>
        <x14:dataValidation type="list" allowBlank="1" showInputMessage="1" showErrorMessage="1" xr:uid="{EDCF9D4A-C94E-574A-957D-95CAB4224DC0}">
          <x14:formula1>
            <xm:f>'Ondal Booms'!$B$159:$B$166</xm:f>
          </x14:formula1>
          <xm:sqref>B14 B38</xm:sqref>
        </x14:dataValidation>
        <x14:dataValidation type="list" allowBlank="1" showInputMessage="1" showErrorMessage="1" xr:uid="{7A5CFC11-68A6-5E4F-B880-259398328F92}">
          <x14:formula1>
            <xm:f>'Simeon Lights'!$C$49:$C$59</xm:f>
          </x14:formula1>
          <xm:sqref>B56</xm:sqref>
        </x14:dataValidation>
        <x14:dataValidation type="list" allowBlank="1" showInputMessage="1" showErrorMessage="1" xr:uid="{CA5BF7B4-CDD3-CA4C-B219-7589CD3003D5}">
          <x14:formula1>
            <xm:f>'Simeon Lights'!$C$27:$C$45</xm:f>
          </x14:formula1>
          <xm:sqref>B57:B59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8C5D4-5AF1-4F43-BD9F-FFE25CE750E3}">
  <dimension ref="A1:AH71"/>
  <sheetViews>
    <sheetView tabSelected="1" zoomScale="140" zoomScaleNormal="100" workbookViewId="0">
      <selection activeCell="B63" sqref="B63"/>
    </sheetView>
  </sheetViews>
  <sheetFormatPr defaultColWidth="11" defaultRowHeight="15.95" outlineLevelRow="1" outlineLevelCol="1"/>
  <cols>
    <col min="1" max="1" width="27.875" customWidth="1"/>
    <col min="2" max="2" width="43" customWidth="1"/>
    <col min="3" max="5" width="17.625" customWidth="1" outlineLevel="1"/>
    <col min="6" max="6" width="2.375" customWidth="1"/>
    <col min="7" max="7" width="18.375" hidden="1" customWidth="1" outlineLevel="1"/>
    <col min="8" max="8" width="8.375" hidden="1" customWidth="1" outlineLevel="1"/>
    <col min="9" max="9" width="2.375" customWidth="1" collapsed="1"/>
    <col min="10" max="10" width="7" bestFit="1" customWidth="1"/>
    <col min="11" max="11" width="14" customWidth="1"/>
    <col min="12" max="13" width="3.375" customWidth="1"/>
    <col min="14" max="14" width="16.5" customWidth="1"/>
    <col min="15" max="16" width="3.375" customWidth="1"/>
    <col min="17" max="17" width="13.375" customWidth="1"/>
    <col min="18" max="18" width="3" customWidth="1"/>
    <col min="19" max="19" width="13" customWidth="1"/>
    <col min="20" max="21" width="3.375" customWidth="1"/>
    <col min="22" max="22" width="16.375" customWidth="1"/>
    <col min="23" max="24" width="3.375" customWidth="1"/>
    <col min="25" max="25" width="13.375" customWidth="1"/>
    <col min="26" max="26" width="13.375" style="40" customWidth="1"/>
    <col min="27" max="29" width="13.375" customWidth="1"/>
    <col min="30" max="30" width="13" customWidth="1"/>
    <col min="31" max="31" width="3.5" hidden="1" customWidth="1"/>
    <col min="32" max="33" width="4.375" hidden="1" customWidth="1"/>
    <col min="34" max="34" width="4.5" hidden="1" customWidth="1"/>
  </cols>
  <sheetData>
    <row r="1" spans="1:34">
      <c r="A1" s="46" t="s">
        <v>1083</v>
      </c>
      <c r="B1" s="47" t="s">
        <v>1022</v>
      </c>
    </row>
    <row r="2" spans="1:34">
      <c r="A2" s="48" t="s">
        <v>163</v>
      </c>
      <c r="B2" s="33" t="s">
        <v>1084</v>
      </c>
    </row>
    <row r="3" spans="1:34">
      <c r="E3" s="37"/>
    </row>
    <row r="4" spans="1:34" ht="18.95">
      <c r="A4" s="46" t="s">
        <v>1024</v>
      </c>
      <c r="B4" s="47" t="s">
        <v>1025</v>
      </c>
      <c r="C4" s="47" t="s">
        <v>1026</v>
      </c>
      <c r="D4" s="47" t="s">
        <v>1027</v>
      </c>
      <c r="E4" s="47" t="s">
        <v>1028</v>
      </c>
      <c r="G4" s="79" t="s">
        <v>1029</v>
      </c>
      <c r="H4" s="80" t="s">
        <v>1030</v>
      </c>
      <c r="J4" s="83" t="s">
        <v>1031</v>
      </c>
      <c r="K4" s="84" t="s">
        <v>1032</v>
      </c>
      <c r="L4" s="282" t="s">
        <v>1033</v>
      </c>
      <c r="M4" s="282"/>
      <c r="N4" s="282"/>
      <c r="O4" s="282"/>
      <c r="P4" s="282"/>
      <c r="Q4" s="80" t="s">
        <v>1032</v>
      </c>
      <c r="R4" s="36"/>
      <c r="S4" s="79" t="s">
        <v>1032</v>
      </c>
      <c r="T4" s="282" t="s">
        <v>1034</v>
      </c>
      <c r="U4" s="282"/>
      <c r="V4" s="282"/>
      <c r="W4" s="282"/>
      <c r="X4" s="282"/>
      <c r="Y4" s="80" t="s">
        <v>1032</v>
      </c>
      <c r="AE4">
        <f>COUNTIF(K5,"(2) Duplexes")+COUNTIF(Y5,"(2) Duplexes")</f>
        <v>0</v>
      </c>
      <c r="AF4">
        <f>COUNTIF(Q5:S5,"(2) Duplexes")</f>
        <v>0</v>
      </c>
      <c r="AG4">
        <f>COUNTIF(K5,"(3) Duplexes")+COUNTIF(Y5,"(3) Duplexes")</f>
        <v>0</v>
      </c>
      <c r="AH4">
        <f>COUNTIF(Q5:S5,"(3) Duplexes")</f>
        <v>0</v>
      </c>
    </row>
    <row r="5" spans="1:34" hidden="1" outlineLevel="1">
      <c r="A5" s="49" t="s">
        <v>1035</v>
      </c>
      <c r="B5" s="50" t="str">
        <f>IF(OR(ISBLANK(B8),ISBLANK(B9)),"",IF(ISBLANK(B9),0,(VLOOKUP(B9,'Ondal Booms'!B:F,5,FALSE)))&amp;IF(ISBLANK(B8),0,(VLOOKUP(B8,'Ondal Booms'!B:F,5,FALSE))))</f>
        <v/>
      </c>
      <c r="C5" s="4">
        <f>IF(OR(ISBLANK(B5),B5=""),0,VLOOKUP(B5,'Ondal Booms'!B:G,4,FALSE))</f>
        <v>0</v>
      </c>
      <c r="D5" s="37">
        <f>IF(OR(ISBLANK(B5),B5=""),0,VLOOKUP(B5,'Ondal Booms'!B:G,2,FALSE))</f>
        <v>0</v>
      </c>
      <c r="E5" s="35">
        <f>IF(OR(ISBLANK(B5),B5=""),0,VLOOKUP(B5,'Ondal Booms'!B:G,3,FALSE))</f>
        <v>0</v>
      </c>
      <c r="G5" s="48" t="s">
        <v>1036</v>
      </c>
      <c r="H5" s="77">
        <f>COUNTIF(K5:Y14,"(2) Duplexes")*2+COUNTIF(K5:Y14,"(3) Duplexes")*3</f>
        <v>0</v>
      </c>
      <c r="J5" s="67" t="s">
        <v>1037</v>
      </c>
      <c r="K5" s="82"/>
      <c r="L5" s="56"/>
      <c r="M5" s="57"/>
      <c r="N5" s="58"/>
      <c r="O5" s="59"/>
      <c r="P5" s="57"/>
      <c r="Q5" s="82"/>
      <c r="S5" s="82"/>
      <c r="T5" s="59"/>
      <c r="U5" s="57"/>
      <c r="V5" s="58"/>
      <c r="W5" s="59"/>
      <c r="X5" s="57"/>
      <c r="Y5" s="82"/>
      <c r="Z5" s="40">
        <f>15-COUNTIFS(K5:Y5,"")</f>
        <v>0</v>
      </c>
    </row>
    <row r="6" spans="1:34" ht="17.100000000000001" hidden="1" outlineLevel="1" thickBot="1">
      <c r="A6" s="55" t="s">
        <v>310</v>
      </c>
      <c r="B6" s="7"/>
      <c r="C6" s="4">
        <f>IF(OR(ISBLANK(B6),B6=""),0,VLOOKUP(B6,'Ondal Booms'!B:G,4,FALSE))</f>
        <v>0</v>
      </c>
      <c r="D6" s="37">
        <f>IF(OR(ISBLANK(B6),B6=""),0,VLOOKUP(B6,'Ondal Booms'!B:G,2,FALSE))</f>
        <v>0</v>
      </c>
      <c r="E6" s="35">
        <f>IF(OR(ISBLANK(B6),B6=""),0,VLOOKUP(B6,'Ondal Booms'!B:G,3,FALSE))</f>
        <v>0</v>
      </c>
      <c r="J6" s="55" t="s">
        <v>1038</v>
      </c>
      <c r="K6" s="33"/>
      <c r="L6" s="56"/>
      <c r="M6" s="57"/>
      <c r="N6" s="58"/>
      <c r="O6" s="59"/>
      <c r="P6" s="57"/>
      <c r="Q6" s="33"/>
      <c r="S6" s="33"/>
      <c r="T6" s="59"/>
      <c r="U6" s="57"/>
      <c r="V6" s="58"/>
      <c r="W6" s="59"/>
      <c r="X6" s="57"/>
      <c r="Y6" s="33"/>
      <c r="Z6" s="40">
        <f t="shared" ref="Z6:Z14" si="0">15-COUNTIFS(K6:Y6,"")</f>
        <v>0</v>
      </c>
      <c r="AE6">
        <f>COUNTIF(K7,"(2) Duplexes")+COUNTIF(Y7,"(2) Duplexes")</f>
        <v>0</v>
      </c>
      <c r="AF6">
        <f>COUNTIF(Q7:S7,"(2) Duplexes")</f>
        <v>0</v>
      </c>
      <c r="AG6">
        <f>COUNTIF(K7,"(3) Duplexes")+COUNTIF(Y7,"(3) Duplexes")</f>
        <v>0</v>
      </c>
      <c r="AH6">
        <f>COUNTIF(Q7:S7,"(3) Duplexes")</f>
        <v>0</v>
      </c>
    </row>
    <row r="7" spans="1:34" hidden="1" outlineLevel="1">
      <c r="A7" s="55" t="s">
        <v>354</v>
      </c>
      <c r="B7" s="45"/>
      <c r="C7" s="4">
        <f>IF(OR(ISBLANK(B7),B7=""),0,VLOOKUP(B7,'Ondal Booms'!B:G,4,FALSE))</f>
        <v>0</v>
      </c>
      <c r="D7" s="37">
        <f>IF(OR(ISBLANK(B7),B7=""),0,VLOOKUP(B7,'Ondal Booms'!B:G,2,FALSE))</f>
        <v>0</v>
      </c>
      <c r="E7" s="35">
        <f>IF(OR(ISBLANK(B7),B7=""),0,VLOOKUP(B7,'Ondal Booms'!B:G,3,FALSE))</f>
        <v>0</v>
      </c>
      <c r="G7" s="79" t="s">
        <v>1039</v>
      </c>
      <c r="H7" s="80" t="s">
        <v>1030</v>
      </c>
      <c r="J7" s="55" t="s">
        <v>1040</v>
      </c>
      <c r="K7" s="33"/>
      <c r="L7" s="52"/>
      <c r="M7" s="53"/>
      <c r="N7" s="58"/>
      <c r="O7" s="54"/>
      <c r="P7" s="53"/>
      <c r="Q7" s="33"/>
      <c r="S7" s="33"/>
      <c r="T7" s="54"/>
      <c r="U7" s="53"/>
      <c r="V7" s="58"/>
      <c r="W7" s="54"/>
      <c r="X7" s="53"/>
      <c r="Y7" s="33"/>
      <c r="Z7" s="40">
        <f t="shared" si="0"/>
        <v>0</v>
      </c>
    </row>
    <row r="8" spans="1:34" ht="17.100000000000001" hidden="1" outlineLevel="1" thickBot="1">
      <c r="A8" s="55" t="s">
        <v>355</v>
      </c>
      <c r="B8" s="8"/>
      <c r="C8" s="4">
        <f>IF(OR(ISBLANK(B8),B8=""),0,VLOOKUP(B8,'Ondal Booms'!B:G,4,FALSE))</f>
        <v>0</v>
      </c>
      <c r="D8" s="37">
        <f>IF(OR(ISBLANK(B8),B8=""),0,VLOOKUP(B8,'Ondal Booms'!B:G,2,FALSE))</f>
        <v>0</v>
      </c>
      <c r="E8" s="35">
        <f>IF(OR(ISBLANK(B8),B8=""),0,VLOOKUP(B8,'Ondal Booms'!B:G,3,FALSE))</f>
        <v>0</v>
      </c>
      <c r="G8" s="55" t="s">
        <v>1041</v>
      </c>
      <c r="H8" s="78">
        <f>(COUNTIF(K5:Y14,"Data"))</f>
        <v>0</v>
      </c>
      <c r="J8" s="55" t="s">
        <v>1042</v>
      </c>
      <c r="K8" s="33"/>
      <c r="L8" s="56"/>
      <c r="M8" s="57"/>
      <c r="N8" s="58"/>
      <c r="O8" s="59"/>
      <c r="P8" s="57"/>
      <c r="Q8" s="33"/>
      <c r="S8" s="33"/>
      <c r="T8" s="59"/>
      <c r="U8" s="57"/>
      <c r="V8" s="58"/>
      <c r="W8" s="59"/>
      <c r="X8" s="57"/>
      <c r="Y8" s="33"/>
      <c r="Z8" s="40">
        <f t="shared" si="0"/>
        <v>0</v>
      </c>
      <c r="AE8">
        <f>COUNTIF(K9,"(2) Duplexes")+COUNTIF(Y9,"(2) Duplexes")</f>
        <v>0</v>
      </c>
      <c r="AF8">
        <f>COUNTIF(Q9:S9,"(2) Duplexes")</f>
        <v>0</v>
      </c>
      <c r="AG8">
        <f>COUNTIF(K9,"(3) Duplexes")+COUNTIF(Y9,"(3) Duplexes")</f>
        <v>0</v>
      </c>
      <c r="AH8">
        <f>COUNTIF(Q9:S9,"(3) Duplexes")</f>
        <v>0</v>
      </c>
    </row>
    <row r="9" spans="1:34" hidden="1" outlineLevel="1">
      <c r="A9" s="55" t="s">
        <v>356</v>
      </c>
      <c r="B9" s="7"/>
      <c r="C9" s="4">
        <f>IF(OR(ISBLANK(B9),B9=""),0,VLOOKUP(B9,'Ondal Booms'!B:G,4,FALSE))</f>
        <v>0</v>
      </c>
      <c r="D9" s="37">
        <f>IF(OR(ISBLANK(B9),B9=""),0,VLOOKUP(B9,'Ondal Booms'!B:G,2,FALSE))</f>
        <v>0</v>
      </c>
      <c r="E9" s="35">
        <f>IF(OR(ISBLANK(B9),B9=""),0,VLOOKUP(B9,'Ondal Booms'!B:G,3,FALSE))</f>
        <v>0</v>
      </c>
      <c r="G9" s="64" t="s">
        <v>1043</v>
      </c>
      <c r="H9" s="77">
        <f>(COUNTIF(K5:Y14,"Storz 4in1"))</f>
        <v>0</v>
      </c>
      <c r="J9" s="55" t="s">
        <v>1044</v>
      </c>
      <c r="K9" s="33"/>
      <c r="L9" s="52"/>
      <c r="M9" s="53"/>
      <c r="N9" s="58"/>
      <c r="O9" s="54"/>
      <c r="P9" s="53"/>
      <c r="Q9" s="33"/>
      <c r="S9" s="33"/>
      <c r="T9" s="54"/>
      <c r="U9" s="53"/>
      <c r="V9" s="58"/>
      <c r="W9" s="54"/>
      <c r="X9" s="53"/>
      <c r="Y9" s="33"/>
      <c r="Z9" s="40">
        <f t="shared" si="0"/>
        <v>0</v>
      </c>
    </row>
    <row r="10" spans="1:34" ht="17.100000000000001" hidden="1" outlineLevel="1" thickBot="1">
      <c r="A10" s="55" t="s">
        <v>418</v>
      </c>
      <c r="B10" s="7"/>
      <c r="C10" s="4">
        <f>IF(OR(ISBLANK(B10),B10=""),0,VLOOKUP(B10,'Ondal Booms'!B:G,4,FALSE))</f>
        <v>0</v>
      </c>
      <c r="D10" s="37">
        <f>IF(OR(ISBLANK(B10),B10=""),0,VLOOKUP(B10,'Ondal Booms'!B:G,2,FALSE))</f>
        <v>0</v>
      </c>
      <c r="E10" s="35">
        <f>IF(OR(ISBLANK(B10),B10=""),0,VLOOKUP(B10,'Ondal Booms'!B:G,3,FALSE))</f>
        <v>0</v>
      </c>
      <c r="J10" s="55" t="s">
        <v>1045</v>
      </c>
      <c r="K10" s="33"/>
      <c r="L10" s="60"/>
      <c r="M10" s="61"/>
      <c r="N10" s="58"/>
      <c r="O10" s="62"/>
      <c r="P10" s="61"/>
      <c r="Q10" s="33"/>
      <c r="S10" s="33"/>
      <c r="T10" s="62"/>
      <c r="U10" s="61"/>
      <c r="V10" s="58"/>
      <c r="W10" s="62"/>
      <c r="X10" s="61"/>
      <c r="Y10" s="33"/>
      <c r="Z10" s="40">
        <f>15-COUNTIFS(K10:Y10,"")</f>
        <v>0</v>
      </c>
      <c r="AE10">
        <f>COUNTIF(K11,"(2) Duplexes")+COUNTIF(Y11,"(2) Duplexes")</f>
        <v>0</v>
      </c>
      <c r="AF10">
        <f>COUNTIF(Q11:S11,"(2) Duplexes")</f>
        <v>0</v>
      </c>
      <c r="AG10">
        <f>COUNTIF(K11,"(3) Duplexes")+COUNTIF(Y11,"(3) Duplexes")</f>
        <v>0</v>
      </c>
      <c r="AH10">
        <f>COUNTIF(Q11:S11,"(3) Duplexes")</f>
        <v>0</v>
      </c>
    </row>
    <row r="11" spans="1:34" hidden="1" outlineLevel="1">
      <c r="A11" s="55" t="s">
        <v>357</v>
      </c>
      <c r="B11" s="7"/>
      <c r="C11" s="4">
        <f>IF(OR(ISBLANK(B11),B11=""),0,VLOOKUP(B11,'Ondal Booms'!B:G,4,FALSE))</f>
        <v>0</v>
      </c>
      <c r="D11" s="37">
        <f>IF(OR(ISBLANK(B11),B11=""),0,VLOOKUP(B11,'Ondal Booms'!B:G,2,FALSE))</f>
        <v>0</v>
      </c>
      <c r="E11" s="35">
        <f>IF(OR(ISBLANK(B11),B11=""),0,VLOOKUP(B11,'Ondal Booms'!B:G,3,FALSE))</f>
        <v>0</v>
      </c>
      <c r="G11" s="79" t="s">
        <v>1046</v>
      </c>
      <c r="H11" s="80" t="s">
        <v>1030</v>
      </c>
      <c r="J11" s="55" t="s">
        <v>1047</v>
      </c>
      <c r="K11" s="33"/>
      <c r="L11" s="56"/>
      <c r="M11" s="57"/>
      <c r="N11" s="58"/>
      <c r="O11" s="59"/>
      <c r="P11" s="57"/>
      <c r="Q11" s="33"/>
      <c r="S11" s="33"/>
      <c r="T11" s="59"/>
      <c r="U11" s="57"/>
      <c r="V11" s="58"/>
      <c r="W11" s="59"/>
      <c r="X11" s="57"/>
      <c r="Y11" s="33"/>
      <c r="Z11" s="40">
        <f t="shared" si="0"/>
        <v>0</v>
      </c>
    </row>
    <row r="12" spans="1:34" ht="17.100000000000001" hidden="1" outlineLevel="1" thickBot="1">
      <c r="A12" s="49" t="s">
        <v>99</v>
      </c>
      <c r="B12" s="50" t="str">
        <f>IF(OR(H5=0,ISBLANK(H5)),"",H5&amp;" Duplexes")</f>
        <v/>
      </c>
      <c r="C12" s="4">
        <f>IF(OR(ISBLANK(B12),B12=""),0,VLOOKUP(B12,'Ondal Booms'!B:G,4,FALSE))</f>
        <v>0</v>
      </c>
      <c r="D12" s="37">
        <f>IF(OR(ISBLANK(B12),B12=""),0,VLOOKUP(B12,'Ondal Booms'!B:G,2,FALSE))</f>
        <v>0</v>
      </c>
      <c r="E12" s="35">
        <f>IF(OR(ISBLANK(B12),B12=""),0,VLOOKUP(B12,'Ondal Booms'!B:G,3,FALSE))</f>
        <v>0</v>
      </c>
      <c r="G12" s="55" t="s">
        <v>1048</v>
      </c>
      <c r="H12" s="78">
        <f>(COUNTIF(K5:Y14,"Oxygen"))</f>
        <v>0</v>
      </c>
      <c r="J12" s="55" t="s">
        <v>1049</v>
      </c>
      <c r="K12" s="33"/>
      <c r="L12" s="60"/>
      <c r="M12" s="61"/>
      <c r="N12" s="58"/>
      <c r="O12" s="62"/>
      <c r="P12" s="61"/>
      <c r="Q12" s="33"/>
      <c r="S12" s="33"/>
      <c r="T12" s="62"/>
      <c r="U12" s="61"/>
      <c r="V12" s="58"/>
      <c r="W12" s="62"/>
      <c r="X12" s="61"/>
      <c r="Y12" s="33"/>
      <c r="Z12" s="40">
        <f t="shared" si="0"/>
        <v>0</v>
      </c>
      <c r="AE12">
        <f>COUNTIF(K13,"(2) Duplexes")+COUNTIF(Y13,"(2) Duplexes")</f>
        <v>0</v>
      </c>
      <c r="AF12">
        <f>COUNTIF(Q13:S13,"(2) Duplexes")</f>
        <v>0</v>
      </c>
      <c r="AG12">
        <f>COUNTIF(K13,"(3) Duplexes")+COUNTIF(Y13,"(3) Duplexes")</f>
        <v>0</v>
      </c>
      <c r="AH12">
        <f>COUNTIF(Q13:S13,"(3) Duplexes")</f>
        <v>0</v>
      </c>
    </row>
    <row r="13" spans="1:34" hidden="1" outlineLevel="1">
      <c r="A13" s="49" t="s">
        <v>95</v>
      </c>
      <c r="B13" s="50" t="str">
        <f>IF(OR(SUM(H12:H18)=0,ISBLANK(SUM(H12:H18))),"",SUM(H12:H18)&amp;" Outlets")</f>
        <v/>
      </c>
      <c r="C13" s="4">
        <f>IF(OR(ISBLANK(B13),B13=""),0,VLOOKUP(B13,'Ondal Booms'!B:G,4,FALSE))</f>
        <v>0</v>
      </c>
      <c r="D13" s="37">
        <f>IF(OR(ISBLANK(B13),B13=""),0,VLOOKUP(B13,'Ondal Booms'!B:G,2,FALSE))</f>
        <v>0</v>
      </c>
      <c r="E13" s="35">
        <f>IF(OR(ISBLANK(B13),B13=""),0,VLOOKUP(B13,'Ondal Booms'!B:G,3,FALSE))</f>
        <v>0</v>
      </c>
      <c r="G13" s="55" t="s">
        <v>1050</v>
      </c>
      <c r="H13" s="77">
        <f>COUNTIF(K5:Y14,"Medical Air")</f>
        <v>0</v>
      </c>
      <c r="J13" s="55" t="s">
        <v>1051</v>
      </c>
      <c r="K13" s="33"/>
      <c r="L13" s="56"/>
      <c r="M13" s="57"/>
      <c r="N13" s="58"/>
      <c r="O13" s="59"/>
      <c r="P13" s="57"/>
      <c r="Q13" s="33"/>
      <c r="S13" s="33"/>
      <c r="T13" s="59"/>
      <c r="U13" s="57"/>
      <c r="V13" s="58"/>
      <c r="W13" s="59"/>
      <c r="X13" s="57"/>
      <c r="Y13" s="33"/>
      <c r="Z13" s="40">
        <f t="shared" si="0"/>
        <v>0</v>
      </c>
    </row>
    <row r="14" spans="1:34" ht="17.100000000000001" hidden="1" outlineLevel="1" thickBot="1">
      <c r="A14" s="55" t="s">
        <v>1052</v>
      </c>
      <c r="B14" s="45"/>
      <c r="C14" s="4">
        <f>IF(OR(ISBLANK(B14),B14=""),0,VLOOKUP(B14,'Ondal Booms'!B:G,4,FALSE))</f>
        <v>0</v>
      </c>
      <c r="D14" s="37">
        <f>IF(OR(ISBLANK(B14),B14=""),0,VLOOKUP(B14,'Ondal Booms'!B:G,2,FALSE))</f>
        <v>0</v>
      </c>
      <c r="E14" s="35">
        <f>IF(OR(ISBLANK(B14),B14=""),0,VLOOKUP(B14,'Ondal Booms'!B:G,3,FALSE))</f>
        <v>0</v>
      </c>
      <c r="G14" s="55" t="s">
        <v>1053</v>
      </c>
      <c r="H14" s="77">
        <f>COUNTIF(K5:Y14,"Nitrous Oxide")</f>
        <v>0</v>
      </c>
      <c r="J14" s="64" t="s">
        <v>1054</v>
      </c>
      <c r="K14" s="33"/>
      <c r="L14" s="60"/>
      <c r="M14" s="61"/>
      <c r="N14" s="63"/>
      <c r="O14" s="62"/>
      <c r="P14" s="61"/>
      <c r="Q14" s="33"/>
      <c r="S14" s="33"/>
      <c r="T14" s="62"/>
      <c r="U14" s="61"/>
      <c r="V14" s="63"/>
      <c r="W14" s="62"/>
      <c r="X14" s="61"/>
      <c r="Y14" s="33"/>
      <c r="Z14" s="40">
        <f t="shared" si="0"/>
        <v>0</v>
      </c>
    </row>
    <row r="15" spans="1:34" hidden="1" outlineLevel="1">
      <c r="A15" s="55" t="s">
        <v>454</v>
      </c>
      <c r="B15" s="45"/>
      <c r="C15" s="4">
        <f>IF(OR(ISBLANK(B15),B15=""),0,VLOOKUP(B15,'Ondal Booms'!B:G,4,FALSE))</f>
        <v>0</v>
      </c>
      <c r="D15" s="37">
        <f>IF(OR(ISBLANK(B15),B15=""),0,VLOOKUP(B15,'Ondal Booms'!B:G,2,FALSE))</f>
        <v>0</v>
      </c>
      <c r="E15" s="35">
        <f>IF(OR(ISBLANK(B15),B15=""),0,VLOOKUP(B15,'Ondal Booms'!B:G,3,FALSE))</f>
        <v>0</v>
      </c>
      <c r="G15" s="55" t="s">
        <v>1055</v>
      </c>
      <c r="H15" s="77">
        <f>COUNTIF(K5:Y14,"WAGD")</f>
        <v>0</v>
      </c>
    </row>
    <row r="16" spans="1:34" hidden="1" outlineLevel="1">
      <c r="A16" s="55" t="s">
        <v>455</v>
      </c>
      <c r="B16" s="45"/>
      <c r="C16" s="4">
        <f>IF(OR(ISBLANK(B16),B16=""),0,VLOOKUP(B16,'Ondal Booms'!B:G,4,FALSE))</f>
        <v>0</v>
      </c>
      <c r="D16" s="37">
        <f>IF(OR(ISBLANK(B16),B16=""),0,VLOOKUP(B16,'Ondal Booms'!B:G,2,FALSE))</f>
        <v>0</v>
      </c>
      <c r="E16" s="35">
        <f>IF(OR(ISBLANK(B16),B16=""),0,VLOOKUP(B16,'Ondal Booms'!B:G,3,FALSE))</f>
        <v>0</v>
      </c>
      <c r="G16" s="55" t="s">
        <v>1056</v>
      </c>
      <c r="H16" s="77">
        <f>COUNTIF(K5:Y14,"Vacuum")</f>
        <v>0</v>
      </c>
    </row>
    <row r="17" spans="1:34" hidden="1" outlineLevel="1">
      <c r="A17" s="55" t="s">
        <v>1057</v>
      </c>
      <c r="B17" s="45"/>
      <c r="C17" s="4">
        <f>IF(OR(ISBLANK(B17),B17=""),0,VLOOKUP(B17,'Ondal Booms'!B:G,4,FALSE))</f>
        <v>0</v>
      </c>
      <c r="D17" s="37">
        <f>IF(OR(ISBLANK(B17),B17=""),0,VLOOKUP(B17,'Ondal Booms'!B:G,2,FALSE))</f>
        <v>0</v>
      </c>
      <c r="E17" s="35">
        <f>IF(OR(ISBLANK(B17),B17=""),0,VLOOKUP(B17,'Ondal Booms'!B:G,3,FALSE))</f>
        <v>0</v>
      </c>
      <c r="G17" s="55" t="s">
        <v>1058</v>
      </c>
      <c r="H17" s="77">
        <f>COUNTIF(K5:Y14,"Nitrogen")</f>
        <v>0</v>
      </c>
    </row>
    <row r="18" spans="1:34" hidden="1" outlineLevel="1">
      <c r="A18" s="55" t="s">
        <v>1059</v>
      </c>
      <c r="B18" s="45"/>
      <c r="C18" s="4">
        <f>IF(OR(ISBLANK(B18),B18=""),0,VLOOKUP(B18,'Ondal Booms'!B:G,4,FALSE))</f>
        <v>0</v>
      </c>
      <c r="D18" s="37">
        <f>IF(OR(ISBLANK(B18),B18=""),0,VLOOKUP(B18,'Ondal Booms'!B:G,2,FALSE))</f>
        <v>0</v>
      </c>
      <c r="E18" s="35">
        <f>IF(OR(ISBLANK(B18),B18=""),0,VLOOKUP(B18,'Ondal Booms'!B:G,3,FALSE))</f>
        <v>0</v>
      </c>
      <c r="G18" s="64" t="s">
        <v>1060</v>
      </c>
      <c r="H18" s="77">
        <f>COUNTIF(K5:Y14,"Carbon Dioxide")</f>
        <v>0</v>
      </c>
    </row>
    <row r="19" spans="1:34" hidden="1" outlineLevel="1">
      <c r="A19" s="55" t="s">
        <v>1061</v>
      </c>
      <c r="B19" s="45"/>
      <c r="C19" s="4">
        <f>IF(OR(ISBLANK(B19),B19=""),0,VLOOKUP(B19,'Ondal Booms'!B:G,4,FALSE))</f>
        <v>0</v>
      </c>
      <c r="D19" s="37">
        <f>IF(OR(ISBLANK(B19),B19=""),0,VLOOKUP(B19,'Ondal Booms'!B:G,2,FALSE))</f>
        <v>0</v>
      </c>
      <c r="E19" s="35">
        <f>IF(OR(ISBLANK(B19),B19=""),0,VLOOKUP(B19,'Ondal Booms'!B:G,3,FALSE))</f>
        <v>0</v>
      </c>
      <c r="H19" s="36"/>
    </row>
    <row r="20" spans="1:34" hidden="1" outlineLevel="1">
      <c r="A20" s="55" t="s">
        <v>1062</v>
      </c>
      <c r="B20" s="45"/>
      <c r="C20" s="4">
        <f>IF(OR(ISBLANK(B20),B20=""),0,VLOOKUP(B20,'Ondal Booms'!B:G,4,FALSE))</f>
        <v>0</v>
      </c>
      <c r="D20" s="37">
        <f>IF(OR(ISBLANK(B20),B20=""),0,VLOOKUP(B20,'Ondal Booms'!B:G,2,FALSE))</f>
        <v>0</v>
      </c>
      <c r="E20" s="35">
        <f>IF(OR(ISBLANK(B20),B20=""),0,VLOOKUP(B20,'Ondal Booms'!B:G,3,FALSE))</f>
        <v>0</v>
      </c>
    </row>
    <row r="21" spans="1:34" hidden="1" outlineLevel="1">
      <c r="A21" s="55" t="s">
        <v>1063</v>
      </c>
      <c r="B21" s="45"/>
      <c r="C21" s="4">
        <f>IF(OR(ISBLANK(B21),B21=""),0,VLOOKUP(B21,'Ondal Booms'!B:G,4,FALSE))</f>
        <v>0</v>
      </c>
      <c r="D21" s="37">
        <f>IF(OR(ISBLANK(B21),B21=""),0,VLOOKUP(B21,'Ondal Booms'!B:G,2,FALSE))</f>
        <v>0</v>
      </c>
      <c r="E21" s="35">
        <f>IF(OR(ISBLANK(B21),B21=""),0,VLOOKUP(B21,'Ondal Booms'!B:G,3,FALSE))</f>
        <v>0</v>
      </c>
      <c r="G21" s="37"/>
    </row>
    <row r="22" spans="1:34" hidden="1" outlineLevel="1">
      <c r="A22" s="55" t="s">
        <v>1064</v>
      </c>
      <c r="B22" s="45"/>
      <c r="C22" s="4">
        <f>IF(OR(ISBLANK(B22),B22=""),0,VLOOKUP(B22,'Ondal Booms'!B:G,4,FALSE))</f>
        <v>0</v>
      </c>
      <c r="D22" s="37">
        <f>IF(OR(ISBLANK(B22),B22=""),0,VLOOKUP(B22,'Ondal Booms'!B:G,2,FALSE))</f>
        <v>0</v>
      </c>
      <c r="E22" s="35">
        <f>IF(OR(ISBLANK(B22),B22=""),0,VLOOKUP(B22,'Ondal Booms'!B:G,3,FALSE))</f>
        <v>0</v>
      </c>
      <c r="G22" s="37"/>
    </row>
    <row r="23" spans="1:34" hidden="1" outlineLevel="1">
      <c r="A23" s="64" t="s">
        <v>1065</v>
      </c>
      <c r="B23" s="45"/>
      <c r="C23" s="4">
        <f>IF(OR(ISBLANK(B23),B23=""),0,VLOOKUP(B23,'Ondal Booms'!B:G,4,FALSE))</f>
        <v>0</v>
      </c>
      <c r="D23" s="37">
        <f>IF(OR(ISBLANK(B23),B23=""),0,VLOOKUP(B23,'Ondal Booms'!B:G,2,FALSE))</f>
        <v>0</v>
      </c>
      <c r="E23" s="35">
        <f>IF(OR(ISBLANK(B23),B23=""),0,VLOOKUP(B23,'Ondal Booms'!B:G,3,FALSE))</f>
        <v>0</v>
      </c>
    </row>
    <row r="24" spans="1:34" hidden="1" outlineLevel="1">
      <c r="C24" s="4"/>
      <c r="E24" s="37"/>
    </row>
    <row r="25" spans="1:34" hidden="1" outlineLevel="1">
      <c r="A25" s="49" t="s">
        <v>1066</v>
      </c>
      <c r="B25" s="70" t="str">
        <f>IF(OR(ISBLANK(B5),B5=""),"",
IF(OR(AND(B11="200mm Service Head",SUM(Z7:Z14)&gt;0),AND(B11="400mm Service Head",SUM(Z9:Z14)&gt;0),AND(B11="600mm Service Head",SUM(Z11:Z14)&gt;0),AND(B11="800mm Service Head",SUM(Z13:Z14)&gt;0)),"Select Longer Service Head or Remove Services",
IF(AND(RIGHT(B9,2)="XL",RIGHT(B8,2)&lt;&gt;"XL"),"BOTTOM XL ARM REQUIRES TOP XL ARM",
IF(OR(ISBLANK(B6),ISBLANK(B7),ISBLANK(B8),ISBLANK(B9),ISBLANK(B10),ISBLANK(B11),ISBLANK(B15),ISBLANK(B16),ISBLANK(B14)),"Missing Selections for Configuration",
IF(AND(B11="Large Monitor Carrier",B9&lt;&gt;"Spring Articulating"),"Large Monitor Requires Spring Bottom Arm",
IF(OR(AND(RIGHT(B7,2)="XL",RIGHT(B8,2)&lt;&gt;"XL"),AND(RIGHT(B8,2)="XL",RIGHT(B7,2)&lt;&gt;"XL")),"Both Top Arm and Ceiling Flange Must Be XL",
IF(COUNTIF(AE4:AH12,1)&gt;1,"Mismatch Electrical Configuration",
""))))))
)</f>
        <v/>
      </c>
      <c r="C25" s="4"/>
      <c r="D25" s="4"/>
      <c r="E25" s="35"/>
    </row>
    <row r="26" spans="1:34" hidden="1" outlineLevel="1">
      <c r="B26" s="1"/>
      <c r="C26" s="47" t="s">
        <v>1026</v>
      </c>
      <c r="D26" s="47" t="s">
        <v>1027</v>
      </c>
      <c r="E26" s="47" t="s">
        <v>1067</v>
      </c>
      <c r="F26" s="35"/>
      <c r="I26" s="35"/>
    </row>
    <row r="27" spans="1:34" ht="17.100000000000001" collapsed="1" thickBot="1">
      <c r="A27" s="69" t="s">
        <v>1068</v>
      </c>
      <c r="B27" s="72" t="str">
        <f>IF(OR(B6="",ISBLANK(B6)),"NO CONFIGURATION SELECTED",C27)</f>
        <v>NO CONFIGURATION SELECTED</v>
      </c>
      <c r="C27" s="65">
        <f>SUM(C5:C23)</f>
        <v>0</v>
      </c>
      <c r="D27" s="65">
        <f t="shared" ref="D27:E27" si="1">SUM(D5:D23)</f>
        <v>0</v>
      </c>
      <c r="E27" s="65">
        <f t="shared" si="1"/>
        <v>0</v>
      </c>
      <c r="F27" s="1"/>
      <c r="I27" s="1"/>
      <c r="J27" t="str">
        <f>"&lt;-- EXPAND TO SHOW OPTIONS / SERVICE HEAD"</f>
        <v>&lt;-- EXPAND TO SHOW OPTIONS / SERVICE HEAD</v>
      </c>
      <c r="AC27" s="285"/>
      <c r="AD27" s="285"/>
      <c r="AE27" s="285"/>
      <c r="AF27" s="285"/>
    </row>
    <row r="28" spans="1:34" ht="17.100000000000001" thickTop="1">
      <c r="C28" s="66"/>
      <c r="D28" s="66"/>
      <c r="E28" s="66"/>
      <c r="F28" s="1"/>
      <c r="I28" s="1"/>
      <c r="AE28">
        <f>COUNTIF(K30,"(2) Duplexes")+COUNTIF(Y30,"(2) Duplexes")</f>
        <v>0</v>
      </c>
      <c r="AF28">
        <f>COUNTIF(Q30:S30,"(2) Duplexes")</f>
        <v>0</v>
      </c>
      <c r="AG28">
        <f>COUNTIF(K30,"(3) Duplexes")+COUNTIF(Y30,"(3) Duplexes")</f>
        <v>0</v>
      </c>
      <c r="AH28">
        <f>COUNTIF(Q30:S30,"(3) Duplexes")</f>
        <v>0</v>
      </c>
    </row>
    <row r="29" spans="1:34" ht="18.95">
      <c r="A29" s="46" t="s">
        <v>1069</v>
      </c>
      <c r="B29" s="47" t="s">
        <v>1025</v>
      </c>
      <c r="C29" s="47" t="s">
        <v>1026</v>
      </c>
      <c r="D29" s="47" t="s">
        <v>1027</v>
      </c>
      <c r="E29" s="47" t="s">
        <v>1028</v>
      </c>
      <c r="G29" s="79" t="s">
        <v>1029</v>
      </c>
      <c r="H29" s="80" t="s">
        <v>1030</v>
      </c>
      <c r="J29" s="83" t="s">
        <v>1031</v>
      </c>
      <c r="K29" s="84" t="s">
        <v>1032</v>
      </c>
      <c r="L29" s="282" t="s">
        <v>1033</v>
      </c>
      <c r="M29" s="282"/>
      <c r="N29" s="282"/>
      <c r="O29" s="282"/>
      <c r="P29" s="282"/>
      <c r="Q29" s="80" t="s">
        <v>1032</v>
      </c>
      <c r="R29" s="36"/>
      <c r="S29" s="79" t="s">
        <v>1032</v>
      </c>
      <c r="T29" s="282" t="s">
        <v>1034</v>
      </c>
      <c r="U29" s="282"/>
      <c r="V29" s="282"/>
      <c r="W29" s="282"/>
      <c r="X29" s="282"/>
      <c r="Y29" s="80" t="s">
        <v>1032</v>
      </c>
    </row>
    <row r="30" spans="1:34" hidden="1" outlineLevel="1">
      <c r="A30" s="49" t="s">
        <v>1035</v>
      </c>
      <c r="B30" s="50" t="str">
        <f>IF(OR(ISBLANK(B32),ISBLANK(B33)),"",IF(ISBLANK(B33),0,(VLOOKUP(B33,'Ondal Booms'!B:F,5,FALSE)))&amp;IF(ISBLANK(B32),0,(VLOOKUP(B32,'Ondal Booms'!B:F,5,FALSE))))</f>
        <v/>
      </c>
      <c r="C30" s="4">
        <f>IF(OR(ISBLANK(B30),B30=""),0,VLOOKUP(B30,'Ondal Booms'!B:G,4,FALSE))</f>
        <v>0</v>
      </c>
      <c r="D30" s="37">
        <f>IF(OR(ISBLANK(B30),B30=""),0,VLOOKUP(B30,'Ondal Booms'!B:G,2,FALSE))</f>
        <v>0</v>
      </c>
      <c r="E30" s="35">
        <f>IF(OR(ISBLANK(B30),B30=""),0,VLOOKUP(B30,'Ondal Booms'!B:G,3,FALSE))</f>
        <v>0</v>
      </c>
      <c r="G30" s="48" t="s">
        <v>1036</v>
      </c>
      <c r="H30" s="77">
        <f>COUNTIF(K30:Y39,"(2) Duplexes")*2+COUNTIF(K30:Y39,"(3) Duplexes")*3</f>
        <v>0</v>
      </c>
      <c r="J30" s="51" t="s">
        <v>1037</v>
      </c>
      <c r="K30" s="82"/>
      <c r="L30" s="56"/>
      <c r="M30" s="57"/>
      <c r="N30" s="58"/>
      <c r="O30" s="59"/>
      <c r="P30" s="57"/>
      <c r="Q30" s="82"/>
      <c r="S30" s="82"/>
      <c r="T30" s="59"/>
      <c r="U30" s="57"/>
      <c r="V30" s="58"/>
      <c r="W30" s="59"/>
      <c r="X30" s="57"/>
      <c r="Y30" s="82"/>
      <c r="Z30" s="40">
        <f>15-COUNTIFS(K30:Y30,"")</f>
        <v>0</v>
      </c>
    </row>
    <row r="31" spans="1:34" ht="17.100000000000001" hidden="1" outlineLevel="1" thickBot="1">
      <c r="A31" s="55" t="s">
        <v>354</v>
      </c>
      <c r="B31" s="45"/>
      <c r="C31" s="4">
        <f>IF(OR(ISBLANK(B31),B31=""),0,VLOOKUP(B31,'Ondal Booms'!B:G,4,FALSE))</f>
        <v>0</v>
      </c>
      <c r="D31" s="37">
        <f>IF(OR(ISBLANK(B31),B31=""),0,VLOOKUP(B31,'Ondal Booms'!B:G,2,FALSE))</f>
        <v>0</v>
      </c>
      <c r="E31" s="35">
        <f>IF(OR(ISBLANK(B31),B31=""),0,VLOOKUP(B31,'Ondal Booms'!B:G,3,FALSE))</f>
        <v>0</v>
      </c>
      <c r="G31" s="79" t="s">
        <v>1039</v>
      </c>
      <c r="H31" s="80" t="s">
        <v>1030</v>
      </c>
      <c r="J31" s="51" t="s">
        <v>1038</v>
      </c>
      <c r="K31" s="33"/>
      <c r="L31" s="56"/>
      <c r="M31" s="57"/>
      <c r="N31" s="58"/>
      <c r="O31" s="59"/>
      <c r="P31" s="57"/>
      <c r="Q31" s="33"/>
      <c r="S31" s="33"/>
      <c r="T31" s="59"/>
      <c r="U31" s="57"/>
      <c r="V31" s="58"/>
      <c r="W31" s="59"/>
      <c r="X31" s="57"/>
      <c r="Y31" s="33"/>
      <c r="Z31" s="40">
        <f t="shared" ref="Z31:Z34" si="2">15-COUNTIFS(K31:Y31,"")</f>
        <v>0</v>
      </c>
      <c r="AE31">
        <f>COUNTIF(K32,"(2) Duplexes")+COUNTIF(Y32,"(2) Duplexes")</f>
        <v>0</v>
      </c>
      <c r="AF31">
        <f>COUNTIF(Q32:S32,"(2) Duplexes")</f>
        <v>0</v>
      </c>
      <c r="AG31">
        <f>COUNTIF(K32,"(3) Duplexes")+COUNTIF(Y32,"(3) Duplexes")</f>
        <v>0</v>
      </c>
      <c r="AH31">
        <f>COUNTIF(Q32:S32,"(3) Duplexes")</f>
        <v>0</v>
      </c>
    </row>
    <row r="32" spans="1:34" hidden="1" outlineLevel="1">
      <c r="A32" s="55" t="s">
        <v>355</v>
      </c>
      <c r="B32" s="8"/>
      <c r="C32" s="4">
        <f>IF(OR(ISBLANK(B32),B32=""),0,VLOOKUP(B32,'Ondal Booms'!B:G,4,FALSE))</f>
        <v>0</v>
      </c>
      <c r="D32" s="37">
        <f>IF(OR(ISBLANK(B32),B32=""),0,VLOOKUP(B32,'Ondal Booms'!B:G,2,FALSE))</f>
        <v>0</v>
      </c>
      <c r="E32" s="35">
        <f>IF(OR(ISBLANK(B32),B32=""),0,VLOOKUP(B32,'Ondal Booms'!B:G,3,FALSE))</f>
        <v>0</v>
      </c>
      <c r="G32" s="55" t="s">
        <v>1041</v>
      </c>
      <c r="H32" s="78">
        <f>(COUNTIF(K30:Y39,"Data"))</f>
        <v>0</v>
      </c>
      <c r="J32" s="51" t="s">
        <v>1040</v>
      </c>
      <c r="K32" s="33"/>
      <c r="L32" s="52"/>
      <c r="M32" s="53"/>
      <c r="N32" s="58"/>
      <c r="O32" s="54"/>
      <c r="P32" s="53"/>
      <c r="Q32" s="33"/>
      <c r="S32" s="33"/>
      <c r="T32" s="54"/>
      <c r="U32" s="53"/>
      <c r="V32" s="58"/>
      <c r="W32" s="54"/>
      <c r="X32" s="53"/>
      <c r="Y32" s="33"/>
      <c r="Z32" s="40">
        <f t="shared" si="2"/>
        <v>0</v>
      </c>
    </row>
    <row r="33" spans="1:34" ht="17.100000000000001" hidden="1" outlineLevel="1" thickBot="1">
      <c r="A33" s="55" t="s">
        <v>356</v>
      </c>
      <c r="B33" s="7"/>
      <c r="C33" s="4">
        <f>IF(OR(ISBLANK(B33),B33=""),0,VLOOKUP(B33,'Ondal Booms'!B:G,4,FALSE))</f>
        <v>0</v>
      </c>
      <c r="D33" s="37">
        <f>IF(OR(ISBLANK(B33),B33=""),0,VLOOKUP(B33,'Ondal Booms'!B:G,2,FALSE))</f>
        <v>0</v>
      </c>
      <c r="E33" s="35">
        <f>IF(OR(ISBLANK(B33),B33=""),0,VLOOKUP(B33,'Ondal Booms'!B:G,3,FALSE))</f>
        <v>0</v>
      </c>
      <c r="G33" s="64" t="s">
        <v>1043</v>
      </c>
      <c r="H33" s="77">
        <f>(COUNTIF(K30:Y39,"Storz 4in1"))</f>
        <v>0</v>
      </c>
      <c r="J33" s="51" t="s">
        <v>1042</v>
      </c>
      <c r="K33" s="33"/>
      <c r="L33" s="56"/>
      <c r="M33" s="57"/>
      <c r="N33" s="58"/>
      <c r="O33" s="59"/>
      <c r="P33" s="57"/>
      <c r="Q33" s="33"/>
      <c r="S33" s="33"/>
      <c r="T33" s="59"/>
      <c r="U33" s="57"/>
      <c r="V33" s="58"/>
      <c r="W33" s="59"/>
      <c r="X33" s="57"/>
      <c r="Y33" s="33"/>
      <c r="Z33" s="40">
        <f t="shared" si="2"/>
        <v>0</v>
      </c>
      <c r="AE33">
        <f>COUNTIF(K34,"(2) Duplexes")+COUNTIF(Y34,"(2) Duplexes")</f>
        <v>0</v>
      </c>
      <c r="AF33">
        <f>COUNTIF(Q34:S34,"(2) Duplexes")</f>
        <v>0</v>
      </c>
      <c r="AG33">
        <f>COUNTIF(K34,"(3) Duplexes")+COUNTIF(Y34,"(3) Duplexes")</f>
        <v>0</v>
      </c>
      <c r="AH33">
        <f>COUNTIF(Q34:S34,"(3) Duplexes")</f>
        <v>0</v>
      </c>
    </row>
    <row r="34" spans="1:34" hidden="1" outlineLevel="1">
      <c r="A34" s="55" t="s">
        <v>418</v>
      </c>
      <c r="B34" s="7"/>
      <c r="C34" s="4">
        <f>IF(OR(ISBLANK(B34),B34=""),0,VLOOKUP(B34,'Ondal Booms'!B:G,4,FALSE))</f>
        <v>0</v>
      </c>
      <c r="D34" s="37">
        <f>IF(OR(ISBLANK(B34),B34=""),0,VLOOKUP(B34,'Ondal Booms'!B:G,2,FALSE))</f>
        <v>0</v>
      </c>
      <c r="E34" s="35">
        <f>IF(OR(ISBLANK(B34),B34=""),0,VLOOKUP(B34,'Ondal Booms'!B:G,3,FALSE))</f>
        <v>0</v>
      </c>
      <c r="J34" s="51" t="s">
        <v>1044</v>
      </c>
      <c r="K34" s="33"/>
      <c r="L34" s="52"/>
      <c r="M34" s="53"/>
      <c r="N34" s="58"/>
      <c r="O34" s="54"/>
      <c r="P34" s="53"/>
      <c r="Q34" s="33"/>
      <c r="S34" s="33"/>
      <c r="T34" s="54"/>
      <c r="U34" s="53"/>
      <c r="V34" s="58"/>
      <c r="W34" s="54"/>
      <c r="X34" s="53"/>
      <c r="Y34" s="33"/>
      <c r="Z34" s="40">
        <f t="shared" si="2"/>
        <v>0</v>
      </c>
    </row>
    <row r="35" spans="1:34" ht="17.100000000000001" hidden="1" outlineLevel="1" thickBot="1">
      <c r="A35" s="55" t="s">
        <v>357</v>
      </c>
      <c r="B35" s="7"/>
      <c r="C35" s="4">
        <f>IF(OR(ISBLANK(B35),B35=""),0,VLOOKUP(B35,'Ondal Booms'!B:G,4,FALSE))</f>
        <v>0</v>
      </c>
      <c r="D35" s="37">
        <f>IF(OR(ISBLANK(B35),B35=""),0,VLOOKUP(B35,'Ondal Booms'!B:G,2,FALSE))</f>
        <v>0</v>
      </c>
      <c r="E35" s="35">
        <f>IF(OR(ISBLANK(B35),B35=""),0,VLOOKUP(B35,'Ondal Booms'!B:G,3,FALSE))</f>
        <v>0</v>
      </c>
      <c r="G35" s="79" t="s">
        <v>1046</v>
      </c>
      <c r="H35" s="80" t="s">
        <v>1030</v>
      </c>
      <c r="J35" s="51" t="s">
        <v>1045</v>
      </c>
      <c r="K35" s="33"/>
      <c r="L35" s="60"/>
      <c r="M35" s="61"/>
      <c r="N35" s="58"/>
      <c r="O35" s="62"/>
      <c r="P35" s="61"/>
      <c r="Q35" s="33"/>
      <c r="S35" s="33"/>
      <c r="T35" s="62"/>
      <c r="U35" s="61"/>
      <c r="V35" s="58"/>
      <c r="W35" s="62"/>
      <c r="X35" s="61"/>
      <c r="Y35" s="33"/>
      <c r="Z35" s="40">
        <f>15-COUNTIFS(K35:Y35,"")</f>
        <v>0</v>
      </c>
      <c r="AE35">
        <f>COUNTIF(K36,"(2) Duplexes")+COUNTIF(Y36,"(2) Duplexes")</f>
        <v>0</v>
      </c>
      <c r="AF35">
        <f>COUNTIF(Q36:S36,"(2) Duplexes")</f>
        <v>0</v>
      </c>
      <c r="AG35">
        <f>COUNTIF(K36,"(3) Duplexes")+COUNTIF(Y36,"(3) Duplexes")</f>
        <v>0</v>
      </c>
      <c r="AH35">
        <f>COUNTIF(Q36:S36,"(3) Duplexes")</f>
        <v>0</v>
      </c>
    </row>
    <row r="36" spans="1:34" hidden="1" outlineLevel="1">
      <c r="A36" s="49" t="s">
        <v>99</v>
      </c>
      <c r="B36" s="50" t="str">
        <f>IF(OR(H30=0,ISBLANK(H30)),"",H30&amp;" Duplexes")</f>
        <v/>
      </c>
      <c r="C36" s="4">
        <f>IF(OR(ISBLANK(B36),B36=""),0,VLOOKUP(B36,'Ondal Booms'!B:G,4,FALSE))</f>
        <v>0</v>
      </c>
      <c r="D36" s="37">
        <f>IF(OR(ISBLANK(B36),B36=""),0,VLOOKUP(B36,'Ondal Booms'!B:G,2,FALSE))</f>
        <v>0</v>
      </c>
      <c r="E36" s="35">
        <f>IF(OR(ISBLANK(B36),B36=""),0,VLOOKUP(B36,'Ondal Booms'!B:G,3,FALSE))</f>
        <v>0</v>
      </c>
      <c r="G36" s="55" t="s">
        <v>1048</v>
      </c>
      <c r="H36" s="78">
        <f>(COUNTIF(K30:Y39,"Oxygen"))</f>
        <v>0</v>
      </c>
      <c r="J36" s="51" t="s">
        <v>1047</v>
      </c>
      <c r="K36" s="33"/>
      <c r="L36" s="56"/>
      <c r="M36" s="57"/>
      <c r="N36" s="58"/>
      <c r="O36" s="59"/>
      <c r="P36" s="57"/>
      <c r="Q36" s="33"/>
      <c r="S36" s="33"/>
      <c r="T36" s="59"/>
      <c r="U36" s="57"/>
      <c r="V36" s="58"/>
      <c r="W36" s="59"/>
      <c r="X36" s="57"/>
      <c r="Y36" s="33"/>
      <c r="Z36" s="40">
        <f t="shared" ref="Z36:Z39" si="3">15-COUNTIFS(K36:Y36,"")</f>
        <v>0</v>
      </c>
    </row>
    <row r="37" spans="1:34" ht="17.100000000000001" hidden="1" outlineLevel="1" thickBot="1">
      <c r="A37" s="49" t="s">
        <v>95</v>
      </c>
      <c r="B37" s="50" t="str">
        <f>IF(OR(SUM(H36:H42)=0,ISBLANK(SUM(H36:H42))),"",SUM(H36:H42)&amp;" Outlets")</f>
        <v/>
      </c>
      <c r="C37" s="4">
        <f>IF(OR(ISBLANK(B37),B37=""),0,VLOOKUP(B37,'Ondal Booms'!B:G,4,FALSE))</f>
        <v>0</v>
      </c>
      <c r="D37" s="37">
        <f>IF(OR(ISBLANK(B37),B37=""),0,VLOOKUP(B37,'Ondal Booms'!B:G,2,FALSE))</f>
        <v>0</v>
      </c>
      <c r="E37" s="35">
        <f>IF(OR(ISBLANK(B37),B37=""),0,VLOOKUP(B37,'Ondal Booms'!B:G,3,FALSE))</f>
        <v>0</v>
      </c>
      <c r="G37" s="55" t="s">
        <v>1050</v>
      </c>
      <c r="H37" s="77">
        <f>COUNTIF(K30:Y39,"Medical Air")</f>
        <v>0</v>
      </c>
      <c r="J37" s="51" t="s">
        <v>1049</v>
      </c>
      <c r="K37" s="33"/>
      <c r="L37" s="60"/>
      <c r="M37" s="61"/>
      <c r="N37" s="58"/>
      <c r="O37" s="62"/>
      <c r="P37" s="61"/>
      <c r="Q37" s="33"/>
      <c r="S37" s="33"/>
      <c r="T37" s="62"/>
      <c r="U37" s="61"/>
      <c r="V37" s="58"/>
      <c r="W37" s="62"/>
      <c r="X37" s="61"/>
      <c r="Y37" s="33"/>
      <c r="Z37" s="40">
        <f t="shared" si="3"/>
        <v>0</v>
      </c>
      <c r="AE37">
        <f>COUNTIF(K38,"(2) Duplexes")+COUNTIF(Y38,"(2) Duplexes")</f>
        <v>0</v>
      </c>
      <c r="AF37">
        <f>COUNTIF(Q38:S38,"(2) Duplexes")</f>
        <v>0</v>
      </c>
      <c r="AG37">
        <f>COUNTIF(K38,"(3) Duplexes")+COUNTIF(Y38,"(3) Duplexes")</f>
        <v>0</v>
      </c>
      <c r="AH37">
        <f>COUNTIF(Q38:S38,"(3) Duplexes")</f>
        <v>0</v>
      </c>
    </row>
    <row r="38" spans="1:34" hidden="1" outlineLevel="1">
      <c r="A38" s="55" t="s">
        <v>1052</v>
      </c>
      <c r="B38" s="45"/>
      <c r="C38" s="4">
        <f>IF(OR(ISBLANK(B38),B38=""),0,VLOOKUP(B38,'Ondal Booms'!B:G,4,FALSE))</f>
        <v>0</v>
      </c>
      <c r="D38" s="37">
        <f>IF(OR(ISBLANK(B38),B38=""),0,VLOOKUP(B38,'Ondal Booms'!B:G,2,FALSE))</f>
        <v>0</v>
      </c>
      <c r="E38" s="35">
        <f>IF(OR(ISBLANK(B38),B38=""),0,VLOOKUP(B38,'Ondal Booms'!B:G,3,FALSE))</f>
        <v>0</v>
      </c>
      <c r="G38" s="55" t="s">
        <v>1053</v>
      </c>
      <c r="H38" s="77">
        <f>COUNTIF(K30:Y39,"Nitrous Oxide")</f>
        <v>0</v>
      </c>
      <c r="J38" s="51" t="s">
        <v>1051</v>
      </c>
      <c r="K38" s="33"/>
      <c r="L38" s="56"/>
      <c r="M38" s="57"/>
      <c r="N38" s="58"/>
      <c r="O38" s="59"/>
      <c r="P38" s="57"/>
      <c r="Q38" s="33"/>
      <c r="S38" s="33"/>
      <c r="T38" s="59"/>
      <c r="U38" s="57"/>
      <c r="V38" s="58"/>
      <c r="W38" s="59"/>
      <c r="X38" s="57"/>
      <c r="Y38" s="33"/>
      <c r="Z38" s="40">
        <f t="shared" si="3"/>
        <v>0</v>
      </c>
    </row>
    <row r="39" spans="1:34" ht="17.100000000000001" hidden="1" outlineLevel="1" thickBot="1">
      <c r="A39" s="55" t="s">
        <v>454</v>
      </c>
      <c r="B39" s="45"/>
      <c r="C39" s="4">
        <f>IF(OR(ISBLANK(B39),B39=""),0,VLOOKUP(B39,'Ondal Booms'!B:G,4,FALSE))</f>
        <v>0</v>
      </c>
      <c r="D39" s="37">
        <f>IF(OR(ISBLANK(B39),B39=""),0,VLOOKUP(B39,'Ondal Booms'!B:G,2,FALSE))</f>
        <v>0</v>
      </c>
      <c r="E39" s="35">
        <f>IF(OR(ISBLANK(B39),B39=""),0,VLOOKUP(B39,'Ondal Booms'!B:G,3,FALSE))</f>
        <v>0</v>
      </c>
      <c r="G39" s="55" t="s">
        <v>1055</v>
      </c>
      <c r="H39" s="77">
        <f>COUNTIF(K30:Y39,"WAGD")</f>
        <v>0</v>
      </c>
      <c r="J39" s="51" t="s">
        <v>1054</v>
      </c>
      <c r="K39" s="33"/>
      <c r="L39" s="60"/>
      <c r="M39" s="61"/>
      <c r="N39" s="63"/>
      <c r="O39" s="62"/>
      <c r="P39" s="61"/>
      <c r="Q39" s="33"/>
      <c r="S39" s="33"/>
      <c r="T39" s="62"/>
      <c r="U39" s="61"/>
      <c r="V39" s="63"/>
      <c r="W39" s="62"/>
      <c r="X39" s="61"/>
      <c r="Y39" s="33"/>
      <c r="Z39" s="40">
        <f t="shared" si="3"/>
        <v>0</v>
      </c>
    </row>
    <row r="40" spans="1:34" hidden="1" outlineLevel="1">
      <c r="A40" s="55" t="s">
        <v>455</v>
      </c>
      <c r="B40" s="45"/>
      <c r="C40" s="4">
        <f>IF(OR(ISBLANK(B40),B40=""),0,VLOOKUP(B40,'Ondal Booms'!B:G,4,FALSE))</f>
        <v>0</v>
      </c>
      <c r="D40" s="37">
        <f>IF(OR(ISBLANK(B40),B40=""),0,VLOOKUP(B40,'Ondal Booms'!B:G,2,FALSE))</f>
        <v>0</v>
      </c>
      <c r="E40" s="35">
        <f>IF(OR(ISBLANK(B40),B40=""),0,VLOOKUP(B40,'Ondal Booms'!B:G,3,FALSE))</f>
        <v>0</v>
      </c>
      <c r="G40" s="55" t="s">
        <v>1056</v>
      </c>
      <c r="H40" s="77">
        <f>COUNTIF(K30:Y39,"Vacuum")</f>
        <v>0</v>
      </c>
    </row>
    <row r="41" spans="1:34" hidden="1" outlineLevel="1">
      <c r="A41" s="55" t="s">
        <v>1057</v>
      </c>
      <c r="B41" s="45"/>
      <c r="C41" s="4">
        <f>IF(OR(ISBLANK(B41),B41=""),0,VLOOKUP(B41,'Ondal Booms'!B:G,4,FALSE))</f>
        <v>0</v>
      </c>
      <c r="D41" s="37">
        <f>IF(OR(ISBLANK(B41),B41=""),0,VLOOKUP(B41,'Ondal Booms'!B:G,2,FALSE))</f>
        <v>0</v>
      </c>
      <c r="E41" s="35">
        <f>IF(OR(ISBLANK(B41),B41=""),0,VLOOKUP(B41,'Ondal Booms'!B:G,3,FALSE))</f>
        <v>0</v>
      </c>
      <c r="G41" s="55" t="s">
        <v>1058</v>
      </c>
      <c r="H41" s="77">
        <f>COUNTIF(K30:Y39,"Nitrogen")</f>
        <v>0</v>
      </c>
    </row>
    <row r="42" spans="1:34" hidden="1" outlineLevel="1">
      <c r="A42" s="55" t="s">
        <v>1059</v>
      </c>
      <c r="B42" s="45"/>
      <c r="C42" s="4">
        <f>IF(OR(ISBLANK(B42),B42=""),0,VLOOKUP(B42,'Ondal Booms'!B:G,4,FALSE))</f>
        <v>0</v>
      </c>
      <c r="D42" s="37">
        <f>IF(OR(ISBLANK(B42),B42=""),0,VLOOKUP(B42,'Ondal Booms'!B:G,2,FALSE))</f>
        <v>0</v>
      </c>
      <c r="E42" s="35">
        <f>IF(OR(ISBLANK(B42),B42=""),0,VLOOKUP(B42,'Ondal Booms'!B:G,3,FALSE))</f>
        <v>0</v>
      </c>
      <c r="G42" s="64" t="s">
        <v>1060</v>
      </c>
      <c r="H42" s="77">
        <f>COUNTIF(K30:Y39,"Carbon Dioxide")</f>
        <v>0</v>
      </c>
    </row>
    <row r="43" spans="1:34" hidden="1" outlineLevel="1">
      <c r="A43" s="55" t="s">
        <v>1061</v>
      </c>
      <c r="B43" s="45"/>
      <c r="C43" s="4">
        <f>IF(OR(ISBLANK(B43),B43=""),0,VLOOKUP(B43,'Ondal Booms'!B:G,4,FALSE))</f>
        <v>0</v>
      </c>
      <c r="D43" s="37">
        <f>IF(OR(ISBLANK(B43),B43=""),0,VLOOKUP(B43,'Ondal Booms'!B:G,2,FALSE))</f>
        <v>0</v>
      </c>
      <c r="E43" s="35">
        <f>IF(OR(ISBLANK(B43),B43=""),0,VLOOKUP(B43,'Ondal Booms'!B:G,3,FALSE))</f>
        <v>0</v>
      </c>
      <c r="H43" s="36"/>
    </row>
    <row r="44" spans="1:34" hidden="1" outlineLevel="1">
      <c r="A44" s="55" t="s">
        <v>1062</v>
      </c>
      <c r="B44" s="45"/>
      <c r="C44" s="4">
        <f>IF(OR(ISBLANK(B44),B44=""),0,VLOOKUP(B44,'Ondal Booms'!B:G,4,FALSE))</f>
        <v>0</v>
      </c>
      <c r="D44" s="37">
        <f>IF(OR(ISBLANK(B44),B44=""),0,VLOOKUP(B44,'Ondal Booms'!B:G,2,FALSE))</f>
        <v>0</v>
      </c>
      <c r="E44" s="35">
        <f>IF(OR(ISBLANK(B44),B44=""),0,VLOOKUP(B44,'Ondal Booms'!B:G,3,FALSE))</f>
        <v>0</v>
      </c>
    </row>
    <row r="45" spans="1:34" hidden="1" outlineLevel="1">
      <c r="A45" s="55" t="s">
        <v>1063</v>
      </c>
      <c r="B45" s="45"/>
      <c r="C45" s="4">
        <f>IF(OR(ISBLANK(B45),B45=""),0,VLOOKUP(B45,'Ondal Booms'!B:G,4,FALSE))</f>
        <v>0</v>
      </c>
      <c r="D45" s="37">
        <f>IF(OR(ISBLANK(B45),B45=""),0,VLOOKUP(B45,'Ondal Booms'!B:G,2,FALSE))</f>
        <v>0</v>
      </c>
      <c r="E45" s="35">
        <f>IF(OR(ISBLANK(B45),B45=""),0,VLOOKUP(B45,'Ondal Booms'!B:G,3,FALSE))</f>
        <v>0</v>
      </c>
      <c r="G45" s="37"/>
    </row>
    <row r="46" spans="1:34" hidden="1" outlineLevel="1">
      <c r="A46" s="55" t="s">
        <v>1064</v>
      </c>
      <c r="B46" s="45"/>
      <c r="C46" s="4">
        <f>IF(OR(ISBLANK(B46),B46=""),0,VLOOKUP(B46,'Ondal Booms'!B:G,4,FALSE))</f>
        <v>0</v>
      </c>
      <c r="D46" s="37">
        <f>IF(OR(ISBLANK(B46),B46=""),0,VLOOKUP(B46,'Ondal Booms'!B:G,2,FALSE))</f>
        <v>0</v>
      </c>
      <c r="E46" s="35">
        <f>IF(OR(ISBLANK(B46),B46=""),0,VLOOKUP(B46,'Ondal Booms'!B:G,3,FALSE))</f>
        <v>0</v>
      </c>
      <c r="G46" s="37"/>
    </row>
    <row r="47" spans="1:34" hidden="1" outlineLevel="1">
      <c r="A47" s="64" t="s">
        <v>1065</v>
      </c>
      <c r="B47" s="45"/>
      <c r="C47" s="4">
        <f>IF(OR(ISBLANK(B47),B47=""),0,VLOOKUP(B47,'Ondal Booms'!B:G,4,FALSE))</f>
        <v>0</v>
      </c>
      <c r="D47" s="37">
        <f>IF(OR(ISBLANK(B47),B47=""),0,VLOOKUP(B47,'Ondal Booms'!B:G,2,FALSE))</f>
        <v>0</v>
      </c>
      <c r="E47" s="35">
        <f>IF(OR(ISBLANK(B47),B47=""),0,VLOOKUP(B47,'Ondal Booms'!B:G,3,FALSE))</f>
        <v>0</v>
      </c>
    </row>
    <row r="48" spans="1:34" hidden="1" outlineLevel="1">
      <c r="C48" s="4"/>
      <c r="E48" s="37"/>
    </row>
    <row r="49" spans="1:32" hidden="1" outlineLevel="1">
      <c r="A49" s="49" t="s">
        <v>1066</v>
      </c>
      <c r="B49" s="70" t="str">
        <f>IF(OR(ISBLANK(B30),B30=""),"",
IF(OR(AND(B35="200mm Service Head",SUM(Z32:Z39)&gt;0),AND(B35="400mm Service Head",SUM(Z34:Z39)&gt;0),AND(B35="600mm Service Head",SUM(Z36:Z39)&gt;0),AND(B35="800mm Service Head",SUM(Z38:Z39)&gt;0)),"Select Longer Service Head or Remove Services",
IF(AND(RIGHT(B33,2)="XL",RIGHT(B32,2)&lt;&gt;"XL"),"BOTTOM XL ARM REQUIRES TOP XL ARM",
IF(OR(ISBLANK(#REF!),ISBLANK(B31),ISBLANK(B32),ISBLANK(B33),ISBLANK(B34),ISBLANK(B35),ISBLANK(B39),ISBLANK(B40),ISBLANK(B38)),"Missing Selections for Configuration",
IF(AND(B35="Large Monitor Carrier",B33&lt;&gt;"Spring Articulating"),"Large Monitor Requires Spring Bottom Arm",
IF(OR(AND(RIGHT(B31,2)="XL",RIGHT(B32,2)&lt;&gt;"XL"),AND(RIGHT(B32,2)="XL",RIGHT(B31,2)&lt;&gt;"XL")),"Both Top Arm and Ceiling Flange Must Be XL",
IF(COUNTIF(AE29:AH37,1)&gt;1,"Mismatch Electrical Configuration",
""))))))
)</f>
        <v/>
      </c>
      <c r="C49" s="4"/>
      <c r="D49" s="4"/>
      <c r="E49" s="35"/>
    </row>
    <row r="50" spans="1:32" hidden="1" outlineLevel="1">
      <c r="B50" s="1"/>
      <c r="C50" s="47" t="s">
        <v>1026</v>
      </c>
      <c r="D50" s="47" t="s">
        <v>1027</v>
      </c>
      <c r="E50" s="47" t="s">
        <v>1067</v>
      </c>
      <c r="F50" s="35"/>
      <c r="I50" s="35"/>
    </row>
    <row r="51" spans="1:32" ht="17.100000000000001" collapsed="1" thickBot="1">
      <c r="A51" s="69" t="s">
        <v>1068</v>
      </c>
      <c r="B51" s="72" t="str">
        <f>IF(OR(B30="",ISBLANK(B30)),"NO CONFIGURATION SELECTED",C51)</f>
        <v>NO CONFIGURATION SELECTED</v>
      </c>
      <c r="C51" s="65">
        <f>SUM(C30:C47)</f>
        <v>0</v>
      </c>
      <c r="D51" s="65">
        <f t="shared" ref="D51:E51" si="4">SUM(D30:D47)</f>
        <v>0</v>
      </c>
      <c r="E51" s="65">
        <f t="shared" si="4"/>
        <v>0</v>
      </c>
      <c r="F51" s="1"/>
      <c r="I51" s="1"/>
      <c r="J51" t="str">
        <f>"&lt;-- EXPAND TO SHOW OPTIONS / SERVICE HEAD"</f>
        <v>&lt;-- EXPAND TO SHOW OPTIONS / SERVICE HEAD</v>
      </c>
    </row>
    <row r="52" spans="1:32" ht="17.100000000000001" thickTop="1">
      <c r="AC52" s="285"/>
      <c r="AD52" s="285"/>
      <c r="AE52" s="285"/>
      <c r="AF52" s="285"/>
    </row>
    <row r="53" spans="1:32">
      <c r="A53" s="46" t="s">
        <v>1070</v>
      </c>
      <c r="B53" s="47" t="s">
        <v>1025</v>
      </c>
      <c r="C53" s="47" t="s">
        <v>1026</v>
      </c>
      <c r="D53" s="47" t="s">
        <v>1071</v>
      </c>
      <c r="E53" s="47" t="s">
        <v>1072</v>
      </c>
    </row>
    <row r="54" spans="1:32" outlineLevel="1">
      <c r="A54" s="49" t="s">
        <v>1035</v>
      </c>
      <c r="B54" s="50" t="str">
        <f>IF(AND(ISBLANK(B57),ISBLANK(B58),ISBLANK(B59)),"",
IF(B55="Upgrade Only","UPGRADE",
IF(RIGHT(B57,4)="(3P)","(3P) ","")&amp;
IF(ISBLANK(B57),"",VLOOKUP(B57,'Simeon Lights'!C:H,2,FALSE))&amp;
IF(ISBLANK(B58),""," / "&amp;VLOOKUP(B58,'Simeon Lights'!C:H,2,FALSE))&amp;
IF(ISBLANK(B59),""," / "&amp;VLOOKUP(B59,'Simeon Lights'!C:H,2,FALSE))))</f>
        <v>FP / LED</v>
      </c>
      <c r="C54" s="4">
        <f>IF(ISBLANK(B57),0,(VLOOKUP(B54,'Simeon Lights'!C:J,6,FALSE)))</f>
        <v>10357.416666666668</v>
      </c>
      <c r="D54" s="37">
        <f>IF(ISBLANK(B57),0,(VLOOKUP(B54,'Simeon Lights'!C:J,4,FALSE)))</f>
        <v>6214.4500000000007</v>
      </c>
      <c r="E54" s="37">
        <f>IF(ISBLANK(B57),0,(VLOOKUP(B54,'Simeon Lights'!C:J,5,FALSE)))</f>
        <v>3107.2250000000004</v>
      </c>
      <c r="G54" s="1"/>
      <c r="H54" s="1"/>
    </row>
    <row r="55" spans="1:32" outlineLevel="1">
      <c r="A55" s="55" t="s">
        <v>310</v>
      </c>
      <c r="B55" s="33" t="s">
        <v>645</v>
      </c>
      <c r="C55" s="4">
        <f>IF(ISBLANK(B55),0,VLOOKUP(B55,'Simeon Lights'!C:J,6,FALSE))</f>
        <v>1441.05</v>
      </c>
      <c r="D55" s="37">
        <f>IF(ISBLANK(B55),0,VLOOKUP(B55,'Simeon Lights'!C:J,4,FALSE))</f>
        <v>864.63</v>
      </c>
      <c r="E55" s="37">
        <f>IF(ISBLANK(B55),0,VLOOKUP(B55,'Simeon Lights'!C:J,5,FALSE))</f>
        <v>432.315</v>
      </c>
    </row>
    <row r="56" spans="1:32" outlineLevel="1">
      <c r="A56" s="55" t="s">
        <v>1073</v>
      </c>
      <c r="B56" s="33" t="s">
        <v>577</v>
      </c>
      <c r="C56" s="4">
        <f>IF(ISBLANK(B56),0,VLOOKUP(B56,'Simeon Lights'!C:J,6,FALSE))</f>
        <v>0</v>
      </c>
      <c r="D56" s="37">
        <f>IF(ISBLANK(B56),0,VLOOKUP(B56,'Simeon Lights'!C:J,4,FALSE))</f>
        <v>0</v>
      </c>
      <c r="E56" s="37">
        <f>IF(ISBLANK(B56),0,VLOOKUP(B56,'Simeon Lights'!C:J,5,FALSE))</f>
        <v>0</v>
      </c>
    </row>
    <row r="57" spans="1:32" outlineLevel="1">
      <c r="A57" s="55" t="s">
        <v>1074</v>
      </c>
      <c r="B57" s="33" t="s">
        <v>548</v>
      </c>
      <c r="C57" s="4">
        <f>IF(ISBLANK(B57),0,VLOOKUP(B57,'Simeon Lights'!C:J,6,FALSE))</f>
        <v>13583.949999999999</v>
      </c>
      <c r="D57" s="37">
        <f>IF(ISBLANK(B57),0,VLOOKUP(B57,'Simeon Lights'!C:J,4,FALSE))</f>
        <v>8150.369999999999</v>
      </c>
      <c r="E57" s="37">
        <f>IF(ISBLANK(B57),0,VLOOKUP(B57,'Simeon Lights'!C:J,5,FALSE))</f>
        <v>4075.1849999999995</v>
      </c>
    </row>
    <row r="58" spans="1:32" outlineLevel="1">
      <c r="A58" s="55" t="s">
        <v>1075</v>
      </c>
      <c r="B58" s="33" t="s">
        <v>1076</v>
      </c>
      <c r="C58" s="4">
        <f>IF(ISBLANK(B58),0,VLOOKUP(B58,'Simeon Lights'!C:J,6,FALSE))</f>
        <v>30069.75</v>
      </c>
      <c r="D58" s="37">
        <f>IF(ISBLANK(B58),0,VLOOKUP(B58,'Simeon Lights'!C:J,4,FALSE))</f>
        <v>18041.849999999999</v>
      </c>
      <c r="E58" s="37">
        <f>IF(ISBLANK(B58),0,VLOOKUP(B58,'Simeon Lights'!C:J,5,FALSE))</f>
        <v>9020.9249999999993</v>
      </c>
    </row>
    <row r="59" spans="1:32" outlineLevel="1">
      <c r="A59" s="55" t="s">
        <v>1077</v>
      </c>
      <c r="B59" s="33"/>
      <c r="C59" s="4">
        <f>IF(ISBLANK(B59),0,VLOOKUP(B59,'Simeon Lights'!C:J,6,FALSE))</f>
        <v>0</v>
      </c>
      <c r="D59" s="37">
        <f>IF(ISBLANK(B59),0,VLOOKUP(B59,'Simeon Lights'!C:J,4,FALSE))</f>
        <v>0</v>
      </c>
      <c r="E59" s="37">
        <f>IF(ISBLANK(B59),0,VLOOKUP(B59,'Simeon Lights'!C:J,5,FALSE))</f>
        <v>0</v>
      </c>
    </row>
    <row r="60" spans="1:32" outlineLevel="1">
      <c r="A60" s="55" t="s">
        <v>589</v>
      </c>
      <c r="B60" s="34" t="s">
        <v>596</v>
      </c>
      <c r="C60" s="4">
        <f>IF(ISBLANK(B60),0,VLOOKUP(B60,'Simeon Lights'!C:J,6,FALSE))</f>
        <v>0</v>
      </c>
      <c r="D60" s="37">
        <f>IF(ISBLANK(B60),0,VLOOKUP(B60,'Simeon Lights'!C:J,4,FALSE))</f>
        <v>0</v>
      </c>
      <c r="E60" s="37">
        <f>IF(ISBLANK(B60),0,VLOOKUP(B60,'Simeon Lights'!C:J,5,FALSE))</f>
        <v>0</v>
      </c>
    </row>
    <row r="61" spans="1:32" outlineLevel="1">
      <c r="A61" s="55" t="s">
        <v>1078</v>
      </c>
      <c r="B61" s="34" t="s">
        <v>612</v>
      </c>
      <c r="C61" s="4">
        <f>IF(ISBLANK(B61),0,VLOOKUP(B61,'Simeon Lights'!C:J,6,FALSE))</f>
        <v>0</v>
      </c>
      <c r="D61" s="37">
        <f>IF(ISBLANK(B61),0,VLOOKUP(B61,'Simeon Lights'!C:J,4,FALSE))</f>
        <v>0</v>
      </c>
      <c r="E61" s="37">
        <f>IF(ISBLANK(B61),0,VLOOKUP(B61,'Simeon Lights'!C:J,5,FALSE))</f>
        <v>0</v>
      </c>
    </row>
    <row r="62" spans="1:32" outlineLevel="1">
      <c r="A62" s="55" t="s">
        <v>615</v>
      </c>
      <c r="B62" s="34" t="s">
        <v>618</v>
      </c>
      <c r="C62" s="4">
        <f>IF(ISBLANK(B62),0,VLOOKUP(B62,'Simeon Lights'!C:J,6,FALSE))</f>
        <v>0</v>
      </c>
      <c r="D62" s="37">
        <f>IF(ISBLANK(B62),0,VLOOKUP(B62,'Simeon Lights'!C:J,4,FALSE))</f>
        <v>0</v>
      </c>
      <c r="E62" s="37">
        <f>IF(ISBLANK(B62),0,VLOOKUP(B62,'Simeon Lights'!C:J,5,FALSE))</f>
        <v>0</v>
      </c>
    </row>
    <row r="63" spans="1:32" outlineLevel="1">
      <c r="A63" s="64" t="s">
        <v>1079</v>
      </c>
      <c r="B63" s="34" t="s">
        <v>628</v>
      </c>
      <c r="C63" s="4">
        <f>IF(ISBLANK(B63),0,VLOOKUP(B63,'Simeon Lights'!C:J,6,FALSE))</f>
        <v>440</v>
      </c>
      <c r="D63" s="37">
        <f>IF(ISBLANK(B63),0,VLOOKUP(B63,'Simeon Lights'!C:J,4,FALSE))</f>
        <v>264</v>
      </c>
      <c r="E63" s="37">
        <f>IF(ISBLANK(B63),0,VLOOKUP(B63,'Simeon Lights'!C:J,5,FALSE))</f>
        <v>132</v>
      </c>
    </row>
    <row r="64" spans="1:32" outlineLevel="1">
      <c r="C64" s="4"/>
      <c r="D64" s="4"/>
      <c r="E64" s="44"/>
    </row>
    <row r="65" spans="1:10" outlineLevel="1">
      <c r="A65" s="49" t="s">
        <v>1066</v>
      </c>
      <c r="B65" s="70" t="str">
        <f xml:space="preserve">
IF(AND(ISBLANK(B57),ISBLANK(B58),ISBLANK(B59)),"",
IF(AND(ISBLANK(B57),B58&lt;&gt;""),"ARM 1 MISSING",
IF(AND(ISBLANK(B57),B59&lt;&gt;""),"ARM 1 MISSING",
IF(ISBLANK(B58)&amp;ISBLANK(B59)="TRUEFALSE","ARM 2 MISSING",
IF(AND(B57&lt;&gt;"",B58="32in Flat Panel",B59&lt;&gt;""),"FP CANNOT BE MIDDLE ARM",
IF(OR(ISBLANK(B55),ISBLANK(B56),ISBLANK(B60),ISBLANK(B61),ISBLANK(B62),ISBLANK(B63)),"Missing Selections",""))))))</f>
        <v/>
      </c>
      <c r="C65" s="4"/>
      <c r="D65" s="4"/>
      <c r="E65" s="35"/>
    </row>
    <row r="66" spans="1:10" outlineLevel="1">
      <c r="B66" s="71"/>
      <c r="C66" s="47" t="s">
        <v>1026</v>
      </c>
      <c r="D66" s="47" t="s">
        <v>1071</v>
      </c>
      <c r="E66" s="47" t="s">
        <v>1072</v>
      </c>
      <c r="F66" s="1"/>
      <c r="I66" s="1"/>
    </row>
    <row r="67" spans="1:10" ht="17.100000000000001" thickBot="1">
      <c r="A67" s="69" t="s">
        <v>1068</v>
      </c>
      <c r="B67" s="72">
        <f>IF(OR(ISBLANK(B57),ISBLANK(B58)&amp;ISBLANK(B59)="TRUEFALSE"),"NO CONFIGURATION SELECTED",IF(B65&lt;&gt;"","ERROR IN CONFIGURATION",IF(B57="",0,SUM(C54:C63))))</f>
        <v>55892.166666666664</v>
      </c>
      <c r="C67" s="65">
        <f>SUM(C54:C65)</f>
        <v>55892.166666666664</v>
      </c>
      <c r="D67" s="65">
        <f t="shared" ref="D67:E67" si="5">SUM(D54:D65)</f>
        <v>33535.300000000003</v>
      </c>
      <c r="E67" s="65">
        <f t="shared" si="5"/>
        <v>16767.650000000001</v>
      </c>
      <c r="J67" t="str">
        <f>"&lt;-- EXPAND TO SHOW OPTIONS"</f>
        <v>&lt;-- EXPAND TO SHOW OPTIONS</v>
      </c>
    </row>
    <row r="68" spans="1:10" ht="17.100000000000001" thickTop="1">
      <c r="E68" s="1"/>
    </row>
    <row r="69" spans="1:10">
      <c r="A69" s="46"/>
      <c r="B69" s="47" t="s">
        <v>1080</v>
      </c>
      <c r="E69" s="47" t="s">
        <v>1085</v>
      </c>
    </row>
    <row r="70" spans="1:10" ht="17.100000000000001" thickBot="1">
      <c r="A70" s="69" t="s">
        <v>1082</v>
      </c>
      <c r="B70" s="72">
        <f>IF(OR(B27="Error in Configuration",B27="No Configuration Selected"),0,B27)+IF(OR(B51="Error in Configuration",B51="No Configuration Selected"),0,B51)+IF(OR(B67="Error in Configuration",B67="No Configuration Selected"),0,B67)</f>
        <v>55892.166666666664</v>
      </c>
      <c r="E70" s="65">
        <f>SUM(E67,E51,E27)</f>
        <v>16767.650000000001</v>
      </c>
      <c r="G70" s="1"/>
      <c r="H70" s="1"/>
    </row>
    <row r="71" spans="1:10" ht="17.100000000000001" thickTop="1"/>
  </sheetData>
  <sheetProtection sheet="1" formatColumns="0" formatRows="0" selectLockedCells="1"/>
  <mergeCells count="6">
    <mergeCell ref="AC52:AF52"/>
    <mergeCell ref="L4:P4"/>
    <mergeCell ref="T4:X4"/>
    <mergeCell ref="L29:P29"/>
    <mergeCell ref="T29:X29"/>
    <mergeCell ref="AC27:AF27"/>
  </mergeCells>
  <conditionalFormatting sqref="B25">
    <cfRule type="expression" dxfId="26" priority="2">
      <formula>$B$25&lt;&gt;""</formula>
    </cfRule>
  </conditionalFormatting>
  <conditionalFormatting sqref="B49">
    <cfRule type="expression" dxfId="25" priority="1">
      <formula>$B$25&lt;&gt;""</formula>
    </cfRule>
  </conditionalFormatting>
  <conditionalFormatting sqref="B65">
    <cfRule type="expression" dxfId="24" priority="3" stopIfTrue="1">
      <formula>$B$65&lt;&gt;""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 xr:uid="{909E7106-A133-C34A-9AAC-0CEACA463913}">
          <x14:formula1>
            <xm:f>'BnL Drop Downs'!$A$2:$A$11</xm:f>
          </x14:formula1>
          <xm:sqref>R5:R16 R30:R41</xm:sqref>
        </x14:dataValidation>
        <x14:dataValidation type="list" allowBlank="1" showInputMessage="1" showErrorMessage="1" xr:uid="{46305BC9-EA54-9746-8FD0-C433ADA3B62C}">
          <x14:formula1>
            <xm:f>'BnL Drop Downs'!$A$2:$A$14</xm:f>
          </x14:formula1>
          <xm:sqref>K5:K16 Q5:Q16 S5:S16 Y5:Y16 K30:K41 Q30:Q41 S30:S41 Y30:Y41</xm:sqref>
        </x14:dataValidation>
        <x14:dataValidation type="list" allowBlank="1" showInputMessage="1" showErrorMessage="1" xr:uid="{5C2C4159-9D47-4842-B92C-FA8B7CC1C6B7}">
          <x14:formula1>
            <xm:f>'Ondal Booms'!$B$77:$B$87</xm:f>
          </x14:formula1>
          <xm:sqref>B9 B33</xm:sqref>
        </x14:dataValidation>
        <x14:dataValidation type="list" allowBlank="1" showInputMessage="1" showErrorMessage="1" xr:uid="{B80B8235-D33F-964E-A460-BFBD3BF1F609}">
          <x14:formula1>
            <xm:f>'Ondal Booms'!$B$64:$B$74</xm:f>
          </x14:formula1>
          <xm:sqref>B8 B32</xm:sqref>
        </x14:dataValidation>
        <x14:dataValidation type="list" allowBlank="1" showInputMessage="1" showErrorMessage="1" xr:uid="{8ADD0B06-1FAC-BE41-85A0-F40BF96485BF}">
          <x14:formula1>
            <xm:f>'Ondal Booms'!$B$55:$B$61</xm:f>
          </x14:formula1>
          <xm:sqref>B7 B31</xm:sqref>
        </x14:dataValidation>
        <x14:dataValidation type="list" allowBlank="1" showInputMessage="1" showErrorMessage="1" xr:uid="{CCC4F13A-962A-0A4B-8F93-CA5797941BEF}">
          <x14:formula1>
            <xm:f>'Ondal Booms'!$B$152:$B$157</xm:f>
          </x14:formula1>
          <xm:sqref>B16 B40</xm:sqref>
        </x14:dataValidation>
        <x14:dataValidation type="list" allowBlank="1" showInputMessage="1" showErrorMessage="1" xr:uid="{E08F851F-D576-DB4F-964E-77E85295AE85}">
          <x14:formula1>
            <xm:f>'Simeon Lights'!$C$86:$C$93</xm:f>
          </x14:formula1>
          <xm:sqref>B63</xm:sqref>
        </x14:dataValidation>
        <x14:dataValidation type="list" allowBlank="1" showInputMessage="1" showErrorMessage="1" xr:uid="{F2A6AE7A-8C65-8C4F-B5C5-95CEAB6AAFBF}">
          <x14:formula1>
            <xm:f>'Simeon Lights'!$C$74:$C$76</xm:f>
          </x14:formula1>
          <xm:sqref>B61</xm:sqref>
        </x14:dataValidation>
        <x14:dataValidation type="list" allowBlank="1" showInputMessage="1" showErrorMessage="1" xr:uid="{21716813-DEEF-4144-A04C-5D7FCDC8B1CD}">
          <x14:formula1>
            <xm:f>'Simeon Lights'!$C$62:$C$71</xm:f>
          </x14:formula1>
          <xm:sqref>B60</xm:sqref>
        </x14:dataValidation>
        <x14:dataValidation type="list" allowBlank="1" showInputMessage="1" showErrorMessage="1" xr:uid="{F15F1607-33EB-554C-9273-2A24EE486CE3}">
          <x14:formula1>
            <xm:f>'Simeon Lights'!$C$79:$C$83</xm:f>
          </x14:formula1>
          <xm:sqref>B62</xm:sqref>
        </x14:dataValidation>
        <x14:dataValidation type="list" allowBlank="1" showInputMessage="1" showErrorMessage="1" xr:uid="{A9E1192F-00D2-1645-B22C-4E5E0A1E2BC3}">
          <x14:formula1>
            <xm:f>'Ondal Booms'!$B$48:$B$51</xm:f>
          </x14:formula1>
          <xm:sqref>B6</xm:sqref>
        </x14:dataValidation>
        <x14:dataValidation type="list" allowBlank="1" showInputMessage="1" showErrorMessage="1" xr:uid="{21CD4CAE-60B2-A84B-A1E5-A7320EDD5A6B}">
          <x14:formula1>
            <xm:f>'Ondal Booms'!$B$100:$B$106</xm:f>
          </x14:formula1>
          <xm:sqref>B11 B35</xm:sqref>
        </x14:dataValidation>
        <x14:dataValidation type="list" allowBlank="1" showInputMessage="1" showErrorMessage="1" xr:uid="{107751D0-9FAB-CC41-975F-DC3AD91F8B92}">
          <x14:formula1>
            <xm:f>'Ondal Booms'!$B$90:$B$96</xm:f>
          </x14:formula1>
          <xm:sqref>B10 B34</xm:sqref>
        </x14:dataValidation>
        <x14:dataValidation type="list" allowBlank="1" showInputMessage="1" showErrorMessage="1" xr:uid="{FF758064-669B-304B-B35D-204C28539FF0}">
          <x14:formula1>
            <xm:f>'Ondal Booms'!$B$3:$B$10</xm:f>
          </x14:formula1>
          <xm:sqref>B6:B9 B31:B33</xm:sqref>
        </x14:dataValidation>
        <x14:dataValidation type="list" allowBlank="1" showDropDown="1" showInputMessage="1" showErrorMessage="1" xr:uid="{5C66B0F8-8C4D-7040-A894-E405BF370B46}">
          <x14:formula1>
            <xm:f>'Ondal Booms'!$B$3:$B$10</xm:f>
          </x14:formula1>
          <xm:sqref>B5:B7 B30:B31</xm:sqref>
        </x14:dataValidation>
        <x14:dataValidation type="list" allowBlank="1" showInputMessage="1" showErrorMessage="1" xr:uid="{7B20DB2B-3458-1846-BFC5-D1EE5B367771}">
          <x14:formula1>
            <xm:f>'Ondal Booms'!$B$169:$B$181</xm:f>
          </x14:formula1>
          <xm:sqref>B17:B23 B41:B47</xm:sqref>
        </x14:dataValidation>
        <x14:dataValidation type="list" allowBlank="1" showInputMessage="1" showErrorMessage="1" xr:uid="{53162196-0449-FB47-A4FC-1C42A97A5C2E}">
          <x14:formula1>
            <xm:f>'Ondal Booms'!$B$145:$B$150</xm:f>
          </x14:formula1>
          <xm:sqref>B15 B39</xm:sqref>
        </x14:dataValidation>
        <x14:dataValidation type="list" allowBlank="1" showInputMessage="1" showErrorMessage="1" xr:uid="{5F874FD3-110E-F243-83F3-7F0B000D3DC5}">
          <x14:formula1>
            <xm:f>'Ondal Booms'!#REF!</xm:f>
          </x14:formula1>
          <xm:sqref>B15:B16 B39:B40</xm:sqref>
        </x14:dataValidation>
        <x14:dataValidation type="list" allowBlank="1" showInputMessage="1" showErrorMessage="1" xr:uid="{B490BBBE-C876-3041-8DD6-8EA4037363B2}">
          <x14:formula1>
            <xm:f>'Ondal Booms'!$B$159:$B$166</xm:f>
          </x14:formula1>
          <xm:sqref>B14 B38</xm:sqref>
        </x14:dataValidation>
        <x14:dataValidation type="list" allowBlank="1" showInputMessage="1" showErrorMessage="1" xr:uid="{5F18F739-BA21-924A-86AD-8DCEEA33EA8D}">
          <x14:formula1>
            <xm:f>'Simeon Lights'!$C$49:$C$59</xm:f>
          </x14:formula1>
          <xm:sqref>B56</xm:sqref>
        </x14:dataValidation>
        <x14:dataValidation type="list" allowBlank="1" showInputMessage="1" showErrorMessage="1" xr:uid="{7C84E6B5-440E-AA4C-96E2-735439D985CA}">
          <x14:formula1>
            <xm:f>'Simeon Lights'!$C$103:$C$108</xm:f>
          </x14:formula1>
          <xm:sqref>B55</xm:sqref>
        </x14:dataValidation>
        <x14:dataValidation type="list" allowBlank="1" showInputMessage="1" showErrorMessage="1" xr:uid="{247BDDE2-6E83-234A-A9DB-647F2F5DE564}">
          <x14:formula1>
            <xm:f>'Simeon Lights'!$C$27:$C$45</xm:f>
          </x14:formula1>
          <xm:sqref>B57:B59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9106-EA39-9B47-9C93-0DE4BC456EDB}">
  <dimension ref="A1:AH71"/>
  <sheetViews>
    <sheetView zoomScale="114" zoomScaleNormal="100" workbookViewId="0">
      <selection activeCell="B18" sqref="B18"/>
    </sheetView>
  </sheetViews>
  <sheetFormatPr defaultColWidth="11" defaultRowHeight="15.95" outlineLevelRow="1" outlineLevelCol="1"/>
  <cols>
    <col min="1" max="1" width="27.875" customWidth="1"/>
    <col min="2" max="2" width="43" customWidth="1"/>
    <col min="3" max="5" width="17.625" customWidth="1" outlineLevel="1"/>
    <col min="6" max="6" width="2.375" customWidth="1"/>
    <col min="7" max="7" width="18.375" customWidth="1" outlineLevel="1"/>
    <col min="8" max="8" width="8.375" customWidth="1" outlineLevel="1"/>
    <col min="9" max="9" width="2.375" customWidth="1"/>
    <col min="10" max="10" width="7" bestFit="1" customWidth="1"/>
    <col min="11" max="11" width="14" customWidth="1"/>
    <col min="12" max="13" width="3.375" customWidth="1"/>
    <col min="14" max="14" width="16.5" customWidth="1"/>
    <col min="15" max="16" width="3.375" customWidth="1"/>
    <col min="17" max="17" width="13.375" customWidth="1"/>
    <col min="18" max="18" width="3" customWidth="1"/>
    <col min="19" max="19" width="13" customWidth="1"/>
    <col min="20" max="21" width="3.375" customWidth="1"/>
    <col min="22" max="22" width="16.375" customWidth="1"/>
    <col min="23" max="24" width="3.375" customWidth="1"/>
    <col min="25" max="25" width="13.375" customWidth="1"/>
    <col min="26" max="26" width="13.375" style="40" customWidth="1"/>
    <col min="27" max="29" width="13.375" customWidth="1"/>
    <col min="30" max="30" width="13" customWidth="1"/>
    <col min="31" max="31" width="3.5" hidden="1" customWidth="1"/>
    <col min="32" max="33" width="4.375" hidden="1" customWidth="1"/>
    <col min="34" max="34" width="4.5" hidden="1" customWidth="1"/>
  </cols>
  <sheetData>
    <row r="1" spans="1:34">
      <c r="A1" s="46" t="s">
        <v>1086</v>
      </c>
      <c r="B1" s="47" t="s">
        <v>1022</v>
      </c>
    </row>
    <row r="2" spans="1:34">
      <c r="A2" s="48" t="s">
        <v>163</v>
      </c>
      <c r="B2" s="33" t="s">
        <v>1087</v>
      </c>
    </row>
    <row r="3" spans="1:34">
      <c r="E3" s="37"/>
    </row>
    <row r="4" spans="1:34" ht="18.95">
      <c r="A4" s="46" t="s">
        <v>1024</v>
      </c>
      <c r="B4" s="47" t="s">
        <v>1025</v>
      </c>
      <c r="C4" s="47" t="s">
        <v>1026</v>
      </c>
      <c r="D4" s="47" t="s">
        <v>1027</v>
      </c>
      <c r="E4" s="47" t="s">
        <v>1028</v>
      </c>
      <c r="G4" s="79" t="s">
        <v>1029</v>
      </c>
      <c r="H4" s="80" t="s">
        <v>1030</v>
      </c>
      <c r="J4" s="83" t="s">
        <v>1031</v>
      </c>
      <c r="K4" s="84" t="s">
        <v>1032</v>
      </c>
      <c r="L4" s="282" t="s">
        <v>1033</v>
      </c>
      <c r="M4" s="282"/>
      <c r="N4" s="282"/>
      <c r="O4" s="282"/>
      <c r="P4" s="282"/>
      <c r="Q4" s="80" t="s">
        <v>1032</v>
      </c>
      <c r="R4" s="36"/>
      <c r="S4" s="79" t="s">
        <v>1032</v>
      </c>
      <c r="T4" s="282" t="s">
        <v>1034</v>
      </c>
      <c r="U4" s="282"/>
      <c r="V4" s="282"/>
      <c r="W4" s="282"/>
      <c r="X4" s="282"/>
      <c r="Y4" s="80" t="s">
        <v>1032</v>
      </c>
      <c r="AE4">
        <f>COUNTIF(K5,"(2) Duplexes")+COUNTIF(Y5,"(2) Duplexes")</f>
        <v>0</v>
      </c>
      <c r="AF4">
        <f>COUNTIF(Q5:S5,"(2) Duplexes")</f>
        <v>2</v>
      </c>
      <c r="AG4">
        <f>COUNTIF(K5,"(3) Duplexes")+COUNTIF(Y5,"(3) Duplexes")</f>
        <v>0</v>
      </c>
      <c r="AH4">
        <f>COUNTIF(Q5:S5,"(3) Duplexes")</f>
        <v>0</v>
      </c>
    </row>
    <row r="5" spans="1:34" outlineLevel="1">
      <c r="A5" s="49" t="s">
        <v>1035</v>
      </c>
      <c r="B5" s="50" t="str">
        <f>IF(OR(ISBLANK(B8),ISBLANK(B9)),"",IF(ISBLANK(B9),0,(VLOOKUP(B9,'Ondal Booms'!B:F,5,FALSE)))&amp;IF(ISBLANK(B8),0,(VLOOKUP(B8,'Ondal Booms'!B:F,5,FALSE))))</f>
        <v>Powered XL</v>
      </c>
      <c r="C5" s="4">
        <f>IF(OR(ISBLANK(B5),B5=""),0,VLOOKUP(B5,'Ondal Booms'!B:G,4,FALSE))</f>
        <v>33564.85</v>
      </c>
      <c r="D5" s="37">
        <f>IF(OR(ISBLANK(B5),B5=""),0,VLOOKUP(B5,'Ondal Booms'!B:G,2,FALSE))</f>
        <v>13425.94</v>
      </c>
      <c r="E5" s="35">
        <f>IF(OR(ISBLANK(B5),B5=""),0,VLOOKUP(B5,'Ondal Booms'!B:G,3,FALSE))</f>
        <v>10069.455</v>
      </c>
      <c r="G5" s="48" t="s">
        <v>1036</v>
      </c>
      <c r="H5" s="77">
        <f>COUNTIF(K5:Y14,"(2) Duplexes")*2+COUNTIF(K5:Y14,"(3) Duplexes")*3</f>
        <v>12</v>
      </c>
      <c r="J5" s="67" t="s">
        <v>1037</v>
      </c>
      <c r="K5" s="82" t="s">
        <v>338</v>
      </c>
      <c r="L5" s="56"/>
      <c r="M5" s="57"/>
      <c r="N5" s="58"/>
      <c r="O5" s="59"/>
      <c r="P5" s="57"/>
      <c r="Q5" s="82" t="s">
        <v>312</v>
      </c>
      <c r="S5" s="82" t="s">
        <v>312</v>
      </c>
      <c r="T5" s="59"/>
      <c r="U5" s="57"/>
      <c r="V5" s="58"/>
      <c r="W5" s="59"/>
      <c r="X5" s="57"/>
      <c r="Y5" s="82" t="s">
        <v>337</v>
      </c>
      <c r="Z5" s="40">
        <f>15-COUNTIFS(K5:Y5,"")</f>
        <v>4</v>
      </c>
    </row>
    <row r="6" spans="1:34" ht="17.100000000000001" outlineLevel="1" thickBot="1">
      <c r="A6" s="55" t="s">
        <v>310</v>
      </c>
      <c r="B6" s="7" t="s">
        <v>396</v>
      </c>
      <c r="C6" s="4">
        <f>IF(OR(ISBLANK(B6),B6=""),0,VLOOKUP(B6,'Ondal Booms'!B:G,4,FALSE))</f>
        <v>3484.7250000000004</v>
      </c>
      <c r="D6" s="37">
        <f>IF(OR(ISBLANK(B6),B6=""),0,VLOOKUP(B6,'Ondal Booms'!B:G,2,FALSE))</f>
        <v>1393.8899999999999</v>
      </c>
      <c r="E6" s="35">
        <f>IF(OR(ISBLANK(B6),B6=""),0,VLOOKUP(B6,'Ondal Booms'!B:G,3,FALSE))</f>
        <v>1045.4175</v>
      </c>
      <c r="J6" s="55" t="s">
        <v>1038</v>
      </c>
      <c r="K6" s="33" t="s">
        <v>338</v>
      </c>
      <c r="L6" s="56"/>
      <c r="M6" s="57"/>
      <c r="N6" s="58"/>
      <c r="O6" s="59"/>
      <c r="P6" s="57"/>
      <c r="Q6" s="33"/>
      <c r="S6" s="33"/>
      <c r="T6" s="59"/>
      <c r="U6" s="57"/>
      <c r="V6" s="58"/>
      <c r="W6" s="59"/>
      <c r="X6" s="57"/>
      <c r="Y6" s="33" t="s">
        <v>100</v>
      </c>
      <c r="Z6" s="40">
        <f t="shared" ref="Z6:Z14" si="0">15-COUNTIFS(K6:Y6,"")</f>
        <v>2</v>
      </c>
      <c r="AE6">
        <f>COUNTIF(K7,"(2) Duplexes")+COUNTIF(Y7,"(2) Duplexes")</f>
        <v>0</v>
      </c>
      <c r="AF6">
        <f>COUNTIF(Q7:S7,"(2) Duplexes")</f>
        <v>2</v>
      </c>
      <c r="AG6">
        <f>COUNTIF(K7,"(3) Duplexes")+COUNTIF(Y7,"(3) Duplexes")</f>
        <v>0</v>
      </c>
      <c r="AH6">
        <f>COUNTIF(Q7:S7,"(3) Duplexes")</f>
        <v>0</v>
      </c>
    </row>
    <row r="7" spans="1:34" outlineLevel="1">
      <c r="A7" s="55" t="s">
        <v>354</v>
      </c>
      <c r="B7" s="45" t="s">
        <v>361</v>
      </c>
      <c r="C7" s="4">
        <f>IF(OR(ISBLANK(B7),B7=""),0,VLOOKUP(B7,'Ondal Booms'!B:G,4,FALSE))</f>
        <v>0</v>
      </c>
      <c r="D7" s="37">
        <f>IF(OR(ISBLANK(B7),B7=""),0,VLOOKUP(B7,'Ondal Booms'!B:G,2,FALSE))</f>
        <v>0</v>
      </c>
      <c r="E7" s="35">
        <f>IF(OR(ISBLANK(B7),B7=""),0,VLOOKUP(B7,'Ondal Booms'!B:G,3,FALSE))</f>
        <v>0</v>
      </c>
      <c r="G7" s="79" t="s">
        <v>1039</v>
      </c>
      <c r="H7" s="80" t="s">
        <v>1030</v>
      </c>
      <c r="J7" s="55" t="s">
        <v>1040</v>
      </c>
      <c r="K7" s="33" t="s">
        <v>338</v>
      </c>
      <c r="L7" s="52"/>
      <c r="M7" s="53"/>
      <c r="N7" s="58"/>
      <c r="O7" s="54"/>
      <c r="P7" s="53"/>
      <c r="Q7" s="33" t="s">
        <v>312</v>
      </c>
      <c r="S7" s="33" t="s">
        <v>312</v>
      </c>
      <c r="T7" s="54"/>
      <c r="U7" s="53"/>
      <c r="V7" s="58"/>
      <c r="W7" s="54"/>
      <c r="X7" s="53"/>
      <c r="Y7" s="33" t="s">
        <v>334</v>
      </c>
      <c r="Z7" s="40">
        <f t="shared" si="0"/>
        <v>4</v>
      </c>
    </row>
    <row r="8" spans="1:34" ht="17.100000000000001" outlineLevel="1" thickBot="1">
      <c r="A8" s="55" t="s">
        <v>355</v>
      </c>
      <c r="B8" s="8" t="s">
        <v>406</v>
      </c>
      <c r="C8" s="4">
        <f>IF(OR(ISBLANK(B8),B8=""),0,VLOOKUP(B8,'Ondal Booms'!B:G,4,FALSE))</f>
        <v>3382.7</v>
      </c>
      <c r="D8" s="37">
        <f>IF(OR(ISBLANK(B8),B8=""),0,VLOOKUP(B8,'Ondal Booms'!B:G,2,FALSE))</f>
        <v>1353.08</v>
      </c>
      <c r="E8" s="35">
        <f>IF(OR(ISBLANK(B8),B8=""),0,VLOOKUP(B8,'Ondal Booms'!B:G,3,FALSE))</f>
        <v>1014.81</v>
      </c>
      <c r="G8" s="55" t="s">
        <v>1041</v>
      </c>
      <c r="H8" s="78">
        <f>(COUNTIF(K5:Y14,"Data"))</f>
        <v>1</v>
      </c>
      <c r="J8" s="55" t="s">
        <v>1042</v>
      </c>
      <c r="K8" s="33" t="s">
        <v>338</v>
      </c>
      <c r="L8" s="56"/>
      <c r="M8" s="57"/>
      <c r="N8" s="58"/>
      <c r="O8" s="59"/>
      <c r="P8" s="57"/>
      <c r="Q8" s="33"/>
      <c r="S8" s="33"/>
      <c r="T8" s="59"/>
      <c r="U8" s="57"/>
      <c r="V8" s="58"/>
      <c r="W8" s="59"/>
      <c r="X8" s="57"/>
      <c r="Y8" s="33" t="s">
        <v>338</v>
      </c>
      <c r="Z8" s="40">
        <f t="shared" si="0"/>
        <v>2</v>
      </c>
      <c r="AE8">
        <f>COUNTIF(K9,"(2) Duplexes")+COUNTIF(Y9,"(2) Duplexes")</f>
        <v>0</v>
      </c>
      <c r="AF8">
        <f>COUNTIF(Q9:S9,"(2) Duplexes")</f>
        <v>2</v>
      </c>
      <c r="AG8">
        <f>COUNTIF(K9,"(3) Duplexes")+COUNTIF(Y9,"(3) Duplexes")</f>
        <v>0</v>
      </c>
      <c r="AH8">
        <f>COUNTIF(Q9:S9,"(3) Duplexes")</f>
        <v>0</v>
      </c>
    </row>
    <row r="9" spans="1:34" outlineLevel="1">
      <c r="A9" s="55" t="s">
        <v>356</v>
      </c>
      <c r="B9" s="7" t="s">
        <v>407</v>
      </c>
      <c r="C9" s="4">
        <f>IF(OR(ISBLANK(B9),B9=""),0,VLOOKUP(B9,'Ondal Booms'!B:G,4,FALSE))</f>
        <v>0</v>
      </c>
      <c r="D9" s="37">
        <f>IF(OR(ISBLANK(B9),B9=""),0,VLOOKUP(B9,'Ondal Booms'!B:G,2,FALSE))</f>
        <v>0</v>
      </c>
      <c r="E9" s="35">
        <f>IF(OR(ISBLANK(B9),B9=""),0,VLOOKUP(B9,'Ondal Booms'!B:G,3,FALSE))</f>
        <v>0</v>
      </c>
      <c r="G9" s="64" t="s">
        <v>1043</v>
      </c>
      <c r="H9" s="77">
        <f>(COUNTIF(K5:Y14,"Storz 4in1"))</f>
        <v>1</v>
      </c>
      <c r="J9" s="55" t="s">
        <v>1044</v>
      </c>
      <c r="K9" s="33" t="s">
        <v>335</v>
      </c>
      <c r="L9" s="52"/>
      <c r="M9" s="53"/>
      <c r="N9" s="58"/>
      <c r="O9" s="54"/>
      <c r="P9" s="53"/>
      <c r="Q9" s="33" t="s">
        <v>312</v>
      </c>
      <c r="S9" s="33" t="s">
        <v>312</v>
      </c>
      <c r="T9" s="54"/>
      <c r="U9" s="53"/>
      <c r="V9" s="58"/>
      <c r="W9" s="54"/>
      <c r="X9" s="53"/>
      <c r="Y9" s="33" t="s">
        <v>332</v>
      </c>
      <c r="Z9" s="40">
        <f t="shared" si="0"/>
        <v>4</v>
      </c>
    </row>
    <row r="10" spans="1:34" ht="17.100000000000001" outlineLevel="1" thickBot="1">
      <c r="A10" s="55" t="s">
        <v>418</v>
      </c>
      <c r="B10" s="7" t="s">
        <v>420</v>
      </c>
      <c r="C10" s="4">
        <f>IF(OR(ISBLANK(B10),B10=""),0,VLOOKUP(B10,'Ondal Booms'!B:G,4,FALSE))</f>
        <v>0</v>
      </c>
      <c r="D10" s="37">
        <f>IF(OR(ISBLANK(B10),B10=""),0,VLOOKUP(B10,'Ondal Booms'!B:G,2,FALSE))</f>
        <v>0</v>
      </c>
      <c r="E10" s="35">
        <f>IF(OR(ISBLANK(B10),B10=""),0,VLOOKUP(B10,'Ondal Booms'!B:G,3,FALSE))</f>
        <v>0</v>
      </c>
      <c r="J10" s="55" t="s">
        <v>1045</v>
      </c>
      <c r="K10" s="33" t="s">
        <v>338</v>
      </c>
      <c r="L10" s="60"/>
      <c r="M10" s="61"/>
      <c r="N10" s="58"/>
      <c r="O10" s="62"/>
      <c r="P10" s="61"/>
      <c r="Q10" s="33"/>
      <c r="S10" s="33"/>
      <c r="T10" s="62"/>
      <c r="U10" s="61"/>
      <c r="V10" s="58"/>
      <c r="W10" s="62"/>
      <c r="X10" s="61"/>
      <c r="Y10" s="33" t="s">
        <v>332</v>
      </c>
      <c r="Z10" s="40">
        <f>15-COUNTIFS(K10:Y10,"")</f>
        <v>2</v>
      </c>
      <c r="AE10">
        <f>COUNTIF(K11,"(2) Duplexes")+COUNTIF(Y11,"(2) Duplexes")</f>
        <v>0</v>
      </c>
      <c r="AF10">
        <f>COUNTIF(Q11:S11,"(2) Duplexes")</f>
        <v>0</v>
      </c>
      <c r="AG10">
        <f>COUNTIF(K11,"(3) Duplexes")+COUNTIF(Y11,"(3) Duplexes")</f>
        <v>0</v>
      </c>
      <c r="AH10">
        <f>COUNTIF(Q11:S11,"(3) Duplexes")</f>
        <v>0</v>
      </c>
    </row>
    <row r="11" spans="1:34" outlineLevel="1">
      <c r="A11" s="55" t="s">
        <v>357</v>
      </c>
      <c r="B11" s="7" t="s">
        <v>428</v>
      </c>
      <c r="C11" s="4">
        <f>IF(OR(ISBLANK(B11),B11=""),0,VLOOKUP(B11,'Ondal Booms'!B:G,4,FALSE))</f>
        <v>0</v>
      </c>
      <c r="D11" s="37">
        <f>IF(OR(ISBLANK(B11),B11=""),0,VLOOKUP(B11,'Ondal Booms'!B:G,2,FALSE))</f>
        <v>0</v>
      </c>
      <c r="E11" s="35">
        <f>IF(OR(ISBLANK(B11),B11=""),0,VLOOKUP(B11,'Ondal Booms'!B:G,3,FALSE))</f>
        <v>0</v>
      </c>
      <c r="G11" s="79" t="s">
        <v>1046</v>
      </c>
      <c r="H11" s="80" t="s">
        <v>1030</v>
      </c>
      <c r="J11" s="55" t="s">
        <v>1047</v>
      </c>
      <c r="K11" s="33"/>
      <c r="L11" s="56"/>
      <c r="M11" s="57"/>
      <c r="N11" s="58"/>
      <c r="O11" s="59"/>
      <c r="P11" s="57"/>
      <c r="Q11" s="33"/>
      <c r="S11" s="33"/>
      <c r="T11" s="59"/>
      <c r="U11" s="57"/>
      <c r="V11" s="58"/>
      <c r="W11" s="59"/>
      <c r="X11" s="57"/>
      <c r="Y11" s="33"/>
      <c r="Z11" s="40">
        <f t="shared" si="0"/>
        <v>0</v>
      </c>
    </row>
    <row r="12" spans="1:34" ht="17.100000000000001" outlineLevel="1" thickBot="1">
      <c r="A12" s="49" t="s">
        <v>99</v>
      </c>
      <c r="B12" s="50" t="str">
        <f>IF(OR(H5=0,ISBLANK(H5)),"",H5&amp;" Duplexes")</f>
        <v>12 Duplexes</v>
      </c>
      <c r="C12" s="4">
        <f>IF(OR(ISBLANK(B12),B12=""),0,VLOOKUP(B12,'Ondal Booms'!B:G,4,FALSE))</f>
        <v>2816.4</v>
      </c>
      <c r="D12" s="37">
        <f>IF(OR(ISBLANK(B12),B12=""),0,VLOOKUP(B12,'Ondal Booms'!B:G,2,FALSE))</f>
        <v>1126.56</v>
      </c>
      <c r="E12" s="35">
        <f>IF(OR(ISBLANK(B12),B12=""),0,VLOOKUP(B12,'Ondal Booms'!B:G,3,FALSE))</f>
        <v>844.92</v>
      </c>
      <c r="G12" s="55" t="s">
        <v>1048</v>
      </c>
      <c r="H12" s="78">
        <f>(COUNTIF(K5:Y14,"Oxygen"))</f>
        <v>0</v>
      </c>
      <c r="J12" s="55" t="s">
        <v>1049</v>
      </c>
      <c r="K12" s="33"/>
      <c r="L12" s="60"/>
      <c r="M12" s="61"/>
      <c r="N12" s="58"/>
      <c r="O12" s="62"/>
      <c r="P12" s="61"/>
      <c r="Q12" s="33"/>
      <c r="S12" s="33"/>
      <c r="T12" s="62"/>
      <c r="U12" s="61"/>
      <c r="V12" s="58"/>
      <c r="W12" s="62"/>
      <c r="X12" s="61"/>
      <c r="Y12" s="33"/>
      <c r="Z12" s="40">
        <f t="shared" si="0"/>
        <v>0</v>
      </c>
      <c r="AE12">
        <f>COUNTIF(K13,"(2) Duplexes")+COUNTIF(Y13,"(2) Duplexes")</f>
        <v>0</v>
      </c>
      <c r="AF12">
        <f>COUNTIF(Q13:S13,"(2) Duplexes")</f>
        <v>0</v>
      </c>
      <c r="AG12">
        <f>COUNTIF(K13,"(3) Duplexes")+COUNTIF(Y13,"(3) Duplexes")</f>
        <v>0</v>
      </c>
      <c r="AH12">
        <f>COUNTIF(Q13:S13,"(3) Duplexes")</f>
        <v>0</v>
      </c>
    </row>
    <row r="13" spans="1:34" outlineLevel="1">
      <c r="A13" s="49" t="s">
        <v>95</v>
      </c>
      <c r="B13" s="50" t="str">
        <f>IF(OR(SUM(H12:H18)=0,ISBLANK(SUM(H12:H18))),"",SUM(H12:H18)&amp;" Outlets")</f>
        <v>4 Outlets</v>
      </c>
      <c r="C13" s="4">
        <f>IF(OR(ISBLANK(B13),B13=""),0,VLOOKUP(B13,'Ondal Booms'!B:G,4,FALSE))</f>
        <v>3258.6999999999989</v>
      </c>
      <c r="D13" s="37">
        <f>IF(OR(ISBLANK(B13),B13=""),0,VLOOKUP(B13,'Ondal Booms'!B:G,2,FALSE))</f>
        <v>1303.4799999999996</v>
      </c>
      <c r="E13" s="35">
        <f>IF(OR(ISBLANK(B13),B13=""),0,VLOOKUP(B13,'Ondal Booms'!B:G,3,FALSE))</f>
        <v>977.60999999999967</v>
      </c>
      <c r="G13" s="55" t="s">
        <v>1050</v>
      </c>
      <c r="H13" s="77">
        <f>COUNTIF(K5:Y14,"Medical Air")</f>
        <v>0</v>
      </c>
      <c r="J13" s="55" t="s">
        <v>1051</v>
      </c>
      <c r="K13" s="33"/>
      <c r="L13" s="56"/>
      <c r="M13" s="57"/>
      <c r="N13" s="58"/>
      <c r="O13" s="59"/>
      <c r="P13" s="57"/>
      <c r="Q13" s="33"/>
      <c r="S13" s="33"/>
      <c r="T13" s="59"/>
      <c r="U13" s="57"/>
      <c r="V13" s="58"/>
      <c r="W13" s="59"/>
      <c r="X13" s="57"/>
      <c r="Y13" s="33"/>
      <c r="Z13" s="40">
        <f t="shared" si="0"/>
        <v>0</v>
      </c>
    </row>
    <row r="14" spans="1:34" ht="17.100000000000001" outlineLevel="1" thickBot="1">
      <c r="A14" s="55" t="s">
        <v>1052</v>
      </c>
      <c r="B14" s="45" t="s">
        <v>1088</v>
      </c>
      <c r="C14" s="4">
        <f>IF(OR(ISBLANK(B14),B14=""),0,VLOOKUP(B14,'Ondal Booms'!B:G,4,FALSE))</f>
        <v>0</v>
      </c>
      <c r="D14" s="37">
        <f>IF(OR(ISBLANK(B14),B14=""),0,VLOOKUP(B14,'Ondal Booms'!B:G,2,FALSE))</f>
        <v>0</v>
      </c>
      <c r="E14" s="35">
        <f>IF(OR(ISBLANK(B14),B14=""),0,VLOOKUP(B14,'Ondal Booms'!B:G,3,FALSE))</f>
        <v>0</v>
      </c>
      <c r="G14" s="55" t="s">
        <v>1053</v>
      </c>
      <c r="H14" s="77">
        <f>COUNTIF(K5:Y14,"Nitrous Oxide")</f>
        <v>0</v>
      </c>
      <c r="J14" s="64" t="s">
        <v>1054</v>
      </c>
      <c r="K14" s="33"/>
      <c r="L14" s="60"/>
      <c r="M14" s="61"/>
      <c r="N14" s="63"/>
      <c r="O14" s="62"/>
      <c r="P14" s="61"/>
      <c r="Q14" s="33"/>
      <c r="S14" s="33"/>
      <c r="T14" s="62"/>
      <c r="U14" s="61"/>
      <c r="V14" s="63"/>
      <c r="W14" s="62"/>
      <c r="X14" s="61"/>
      <c r="Y14" s="33"/>
      <c r="Z14" s="40">
        <f t="shared" si="0"/>
        <v>0</v>
      </c>
    </row>
    <row r="15" spans="1:34" outlineLevel="1">
      <c r="A15" s="55" t="s">
        <v>454</v>
      </c>
      <c r="B15" s="45" t="s">
        <v>1089</v>
      </c>
      <c r="C15" s="4">
        <f>IF(OR(ISBLANK(B15),B15=""),0,VLOOKUP(B15,'Ondal Booms'!B:G,4,FALSE))</f>
        <v>5141.0666666666657</v>
      </c>
      <c r="D15" s="37">
        <f>IF(OR(ISBLANK(B15),B15=""),0,VLOOKUP(B15,'Ondal Booms'!B:G,2,FALSE))</f>
        <v>2056.4266666666663</v>
      </c>
      <c r="E15" s="35">
        <f>IF(OR(ISBLANK(B15),B15=""),0,VLOOKUP(B15,'Ondal Booms'!B:G,3,FALSE))</f>
        <v>1542.3199999999997</v>
      </c>
      <c r="G15" s="55" t="s">
        <v>1055</v>
      </c>
      <c r="H15" s="77">
        <f>COUNTIF(K5:Y14,"WAGD")</f>
        <v>0</v>
      </c>
    </row>
    <row r="16" spans="1:34" outlineLevel="1">
      <c r="A16" s="55" t="s">
        <v>455</v>
      </c>
      <c r="B16" s="45" t="s">
        <v>1090</v>
      </c>
      <c r="C16" s="4">
        <f>IF(OR(ISBLANK(B16),B16=""),0,VLOOKUP(B16,'Ondal Booms'!B:G,4,FALSE))</f>
        <v>0</v>
      </c>
      <c r="D16" s="37">
        <f>IF(OR(ISBLANK(B16),B16=""),0,VLOOKUP(B16,'Ondal Booms'!B:G,2,FALSE))</f>
        <v>0</v>
      </c>
      <c r="E16" s="35">
        <f>IF(OR(ISBLANK(B16),B16=""),0,VLOOKUP(B16,'Ondal Booms'!B:G,3,FALSE))</f>
        <v>0</v>
      </c>
      <c r="G16" s="55" t="s">
        <v>1056</v>
      </c>
      <c r="H16" s="77">
        <f>COUNTIF(K5:Y14,"Vacuum")</f>
        <v>2</v>
      </c>
    </row>
    <row r="17" spans="1:34" outlineLevel="1">
      <c r="A17" s="55" t="s">
        <v>1057</v>
      </c>
      <c r="B17" s="45"/>
      <c r="C17" s="4">
        <f>IF(OR(ISBLANK(B17),B17=""),0,VLOOKUP(B17,'Ondal Booms'!B:G,4,FALSE))</f>
        <v>0</v>
      </c>
      <c r="D17" s="37">
        <f>IF(OR(ISBLANK(B17),B17=""),0,VLOOKUP(B17,'Ondal Booms'!B:G,2,FALSE))</f>
        <v>0</v>
      </c>
      <c r="E17" s="35">
        <f>IF(OR(ISBLANK(B17),B17=""),0,VLOOKUP(B17,'Ondal Booms'!B:G,3,FALSE))</f>
        <v>0</v>
      </c>
      <c r="G17" s="55" t="s">
        <v>1058</v>
      </c>
      <c r="H17" s="77">
        <f>COUNTIF(K5:Y14,"Nitrogen")</f>
        <v>1</v>
      </c>
    </row>
    <row r="18" spans="1:34" outlineLevel="1">
      <c r="A18" s="55" t="s">
        <v>1059</v>
      </c>
      <c r="B18" s="45"/>
      <c r="C18" s="4">
        <f>IF(OR(ISBLANK(B18),B18=""),0,VLOOKUP(B18,'Ondal Booms'!B:G,4,FALSE))</f>
        <v>0</v>
      </c>
      <c r="D18" s="37">
        <f>IF(OR(ISBLANK(B18),B18=""),0,VLOOKUP(B18,'Ondal Booms'!B:G,2,FALSE))</f>
        <v>0</v>
      </c>
      <c r="E18" s="35">
        <f>IF(OR(ISBLANK(B18),B18=""),0,VLOOKUP(B18,'Ondal Booms'!B:G,3,FALSE))</f>
        <v>0</v>
      </c>
      <c r="G18" s="64" t="s">
        <v>1060</v>
      </c>
      <c r="H18" s="77">
        <f>COUNTIF(K5:Y14,"Carbon Dioxide")</f>
        <v>1</v>
      </c>
    </row>
    <row r="19" spans="1:34" outlineLevel="1">
      <c r="A19" s="55" t="s">
        <v>1061</v>
      </c>
      <c r="B19" s="45"/>
      <c r="C19" s="4">
        <f>IF(OR(ISBLANK(B19),B19=""),0,VLOOKUP(B19,'Ondal Booms'!B:G,4,FALSE))</f>
        <v>0</v>
      </c>
      <c r="D19" s="37">
        <f>IF(OR(ISBLANK(B19),B19=""),0,VLOOKUP(B19,'Ondal Booms'!B:G,2,FALSE))</f>
        <v>0</v>
      </c>
      <c r="E19" s="35">
        <f>IF(OR(ISBLANK(B19),B19=""),0,VLOOKUP(B19,'Ondal Booms'!B:G,3,FALSE))</f>
        <v>0</v>
      </c>
      <c r="H19" s="36"/>
    </row>
    <row r="20" spans="1:34" outlineLevel="1">
      <c r="A20" s="55" t="s">
        <v>1062</v>
      </c>
      <c r="B20" s="45"/>
      <c r="C20" s="4">
        <f>IF(OR(ISBLANK(B20),B20=""),0,VLOOKUP(B20,'Ondal Booms'!B:G,4,FALSE))</f>
        <v>0</v>
      </c>
      <c r="D20" s="37">
        <f>IF(OR(ISBLANK(B20),B20=""),0,VLOOKUP(B20,'Ondal Booms'!B:G,2,FALSE))</f>
        <v>0</v>
      </c>
      <c r="E20" s="35">
        <f>IF(OR(ISBLANK(B20),B20=""),0,VLOOKUP(B20,'Ondal Booms'!B:G,3,FALSE))</f>
        <v>0</v>
      </c>
    </row>
    <row r="21" spans="1:34" outlineLevel="1">
      <c r="A21" s="55" t="s">
        <v>1063</v>
      </c>
      <c r="B21" s="45"/>
      <c r="C21" s="4">
        <f>IF(OR(ISBLANK(B21),B21=""),0,VLOOKUP(B21,'Ondal Booms'!B:G,4,FALSE))</f>
        <v>0</v>
      </c>
      <c r="D21" s="37">
        <f>IF(OR(ISBLANK(B21),B21=""),0,VLOOKUP(B21,'Ondal Booms'!B:G,2,FALSE))</f>
        <v>0</v>
      </c>
      <c r="E21" s="35">
        <f>IF(OR(ISBLANK(B21),B21=""),0,VLOOKUP(B21,'Ondal Booms'!B:G,3,FALSE))</f>
        <v>0</v>
      </c>
      <c r="G21" s="37"/>
    </row>
    <row r="22" spans="1:34" outlineLevel="1">
      <c r="A22" s="55" t="s">
        <v>1064</v>
      </c>
      <c r="B22" s="45"/>
      <c r="C22" s="4">
        <f>IF(OR(ISBLANK(B22),B22=""),0,VLOOKUP(B22,'Ondal Booms'!B:G,4,FALSE))</f>
        <v>0</v>
      </c>
      <c r="D22" s="37">
        <f>IF(OR(ISBLANK(B22),B22=""),0,VLOOKUP(B22,'Ondal Booms'!B:G,2,FALSE))</f>
        <v>0</v>
      </c>
      <c r="E22" s="35">
        <f>IF(OR(ISBLANK(B22),B22=""),0,VLOOKUP(B22,'Ondal Booms'!B:G,3,FALSE))</f>
        <v>0</v>
      </c>
      <c r="G22" s="37"/>
    </row>
    <row r="23" spans="1:34" outlineLevel="1">
      <c r="A23" s="64" t="s">
        <v>1065</v>
      </c>
      <c r="B23" s="45"/>
      <c r="C23" s="4">
        <f>IF(OR(ISBLANK(B23),B23=""),0,VLOOKUP(B23,'Ondal Booms'!B:G,4,FALSE))</f>
        <v>0</v>
      </c>
      <c r="D23" s="37">
        <f>IF(OR(ISBLANK(B23),B23=""),0,VLOOKUP(B23,'Ondal Booms'!B:G,2,FALSE))</f>
        <v>0</v>
      </c>
      <c r="E23" s="35">
        <f>IF(OR(ISBLANK(B23),B23=""),0,VLOOKUP(B23,'Ondal Booms'!B:G,3,FALSE))</f>
        <v>0</v>
      </c>
    </row>
    <row r="24" spans="1:34" outlineLevel="1">
      <c r="C24" s="4"/>
      <c r="E24" s="37"/>
    </row>
    <row r="25" spans="1:34" outlineLevel="1">
      <c r="A25" s="49" t="s">
        <v>1066</v>
      </c>
      <c r="B25" s="70" t="str">
        <f>IF(OR(ISBLANK(B5),B5=""),"",
IF(OR(AND(B11="200mm Service Head",SUM(Z7:Z14)&gt;0),AND(B11="400mm Service Head",SUM(Z9:Z14)&gt;0),AND(B11="600mm Service Head",SUM(Z11:Z14)&gt;0),AND(B11="800mm Service Head",SUM(Z13:Z14)&gt;0)),"Select Longer Service Head or Remove Services",
IF(AND(RIGHT(B9,2)="XL",RIGHT(B8,2)&lt;&gt;"XL"),"BOTTOM XL ARM REQUIRES TOP XL ARM",
IF(OR(ISBLANK(B6),ISBLANK(B7),ISBLANK(B8),ISBLANK(B9),ISBLANK(B10),ISBLANK(B11),ISBLANK(B15),ISBLANK(B16),ISBLANK(B14)),"Missing Selections for Configuration",
IF(AND(B11="Large Monitor Carrier",B9&lt;&gt;"Spring Articulating"),"Large Monitor Requires Spring Bottom Arm",
IF(OR(AND(RIGHT(B7,2)="XL",RIGHT(B8,2)&lt;&gt;"XL"),AND(RIGHT(B8,2)="XL",RIGHT(B7,2)&lt;&gt;"XL")),"Both Top Arm and Ceiling Flange Must Be XL",
IF(COUNTIF(AE4:AH12,1)&gt;1,"Mismatch Electrical Configuration",
""))))))
)</f>
        <v/>
      </c>
      <c r="C25" s="4"/>
      <c r="D25" s="4"/>
      <c r="E25" s="35"/>
    </row>
    <row r="26" spans="1:34" outlineLevel="1">
      <c r="B26" s="1"/>
      <c r="C26" s="47" t="s">
        <v>1026</v>
      </c>
      <c r="D26" s="47" t="s">
        <v>1027</v>
      </c>
      <c r="E26" s="47" t="s">
        <v>1067</v>
      </c>
      <c r="F26" s="35"/>
      <c r="I26" s="35"/>
    </row>
    <row r="27" spans="1:34" ht="17.100000000000001" thickBot="1">
      <c r="A27" s="69" t="s">
        <v>1068</v>
      </c>
      <c r="B27" s="72">
        <f>IF(OR(B6="",ISBLANK(B6)),"NO CONFIGURATION SELECTED",C27)</f>
        <v>51648.441666666658</v>
      </c>
      <c r="C27" s="65">
        <f>SUM(C5:C23)</f>
        <v>51648.441666666658</v>
      </c>
      <c r="D27" s="65">
        <f t="shared" ref="D27:E27" si="1">SUM(D5:D23)</f>
        <v>20659.376666666667</v>
      </c>
      <c r="E27" s="65">
        <f t="shared" si="1"/>
        <v>15494.532499999998</v>
      </c>
      <c r="F27" s="1"/>
      <c r="I27" s="1"/>
      <c r="J27" t="str">
        <f>"&lt;-- EXPAND TO SHOW OPTIONS / SERVICE HEAD"</f>
        <v>&lt;-- EXPAND TO SHOW OPTIONS / SERVICE HEAD</v>
      </c>
      <c r="AC27" s="285"/>
      <c r="AD27" s="285"/>
      <c r="AE27" s="285"/>
      <c r="AF27" s="285"/>
    </row>
    <row r="28" spans="1:34" ht="17.100000000000001" thickTop="1">
      <c r="C28" s="66"/>
      <c r="D28" s="66"/>
      <c r="E28" s="66"/>
      <c r="F28" s="1"/>
      <c r="I28" s="1"/>
      <c r="AE28">
        <f>COUNTIF(K30,"(2) Duplexes")+COUNTIF(Y30,"(2) Duplexes")</f>
        <v>0</v>
      </c>
      <c r="AF28">
        <f>COUNTIF(Q30:S30,"(2) Duplexes")</f>
        <v>0</v>
      </c>
      <c r="AG28">
        <f>COUNTIF(K30,"(3) Duplexes")+COUNTIF(Y30,"(3) Duplexes")</f>
        <v>0</v>
      </c>
      <c r="AH28">
        <f>COUNTIF(Q30:S30,"(3) Duplexes")</f>
        <v>0</v>
      </c>
    </row>
    <row r="29" spans="1:34" ht="18.95">
      <c r="A29" s="46" t="s">
        <v>1069</v>
      </c>
      <c r="B29" s="47" t="s">
        <v>1025</v>
      </c>
      <c r="C29" s="47" t="s">
        <v>1026</v>
      </c>
      <c r="D29" s="47" t="s">
        <v>1027</v>
      </c>
      <c r="E29" s="47" t="s">
        <v>1028</v>
      </c>
      <c r="G29" s="79" t="s">
        <v>1029</v>
      </c>
      <c r="H29" s="80" t="s">
        <v>1030</v>
      </c>
      <c r="J29" s="83" t="s">
        <v>1031</v>
      </c>
      <c r="K29" s="84" t="s">
        <v>1032</v>
      </c>
      <c r="L29" s="282" t="s">
        <v>1033</v>
      </c>
      <c r="M29" s="282"/>
      <c r="N29" s="282"/>
      <c r="O29" s="282"/>
      <c r="P29" s="282"/>
      <c r="Q29" s="80" t="s">
        <v>1032</v>
      </c>
      <c r="R29" s="36"/>
      <c r="S29" s="79" t="s">
        <v>1032</v>
      </c>
      <c r="T29" s="282" t="s">
        <v>1034</v>
      </c>
      <c r="U29" s="282"/>
      <c r="V29" s="282"/>
      <c r="W29" s="282"/>
      <c r="X29" s="282"/>
      <c r="Y29" s="80" t="s">
        <v>1032</v>
      </c>
    </row>
    <row r="30" spans="1:34" hidden="1" outlineLevel="1">
      <c r="A30" s="49" t="s">
        <v>1035</v>
      </c>
      <c r="B30" s="50" t="str">
        <f>IF(OR(ISBLANK(B32),ISBLANK(B33)),"",IF(ISBLANK(B33),0,(VLOOKUP(B33,'Ondal Booms'!B:F,5,FALSE)))&amp;IF(ISBLANK(B32),0,(VLOOKUP(B32,'Ondal Booms'!B:F,5,FALSE))))</f>
        <v/>
      </c>
      <c r="C30" s="4">
        <f>IF(OR(ISBLANK(B30),B30=""),0,VLOOKUP(B30,'Ondal Booms'!B:G,4,FALSE))</f>
        <v>0</v>
      </c>
      <c r="D30" s="37">
        <f>IF(OR(ISBLANK(B30),B30=""),0,VLOOKUP(B30,'Ondal Booms'!B:G,2,FALSE))</f>
        <v>0</v>
      </c>
      <c r="E30" s="35">
        <f>IF(OR(ISBLANK(B30),B30=""),0,VLOOKUP(B30,'Ondal Booms'!B:G,3,FALSE))</f>
        <v>0</v>
      </c>
      <c r="G30" s="48" t="s">
        <v>1036</v>
      </c>
      <c r="H30" s="77">
        <f>COUNTIF(K30:Y39,"(2) Duplexes")*2+COUNTIF(K30:Y39,"(3) Duplexes")*3</f>
        <v>0</v>
      </c>
      <c r="J30" s="51" t="s">
        <v>1037</v>
      </c>
      <c r="K30" s="82"/>
      <c r="L30" s="56"/>
      <c r="M30" s="57"/>
      <c r="N30" s="58"/>
      <c r="O30" s="59"/>
      <c r="P30" s="57"/>
      <c r="Q30" s="82"/>
      <c r="S30" s="82"/>
      <c r="T30" s="59"/>
      <c r="U30" s="57"/>
      <c r="V30" s="58"/>
      <c r="W30" s="59"/>
      <c r="X30" s="57"/>
      <c r="Y30" s="82"/>
      <c r="Z30" s="40">
        <f>15-COUNTIFS(K30:Y30,"")</f>
        <v>0</v>
      </c>
    </row>
    <row r="31" spans="1:34" ht="17.100000000000001" hidden="1" outlineLevel="1" thickBot="1">
      <c r="A31" s="55" t="s">
        <v>354</v>
      </c>
      <c r="B31" s="45"/>
      <c r="C31" s="4">
        <f>IF(OR(ISBLANK(B31),B31=""),0,VLOOKUP(B31,'Ondal Booms'!B:G,4,FALSE))</f>
        <v>0</v>
      </c>
      <c r="D31" s="37">
        <f>IF(OR(ISBLANK(B31),B31=""),0,VLOOKUP(B31,'Ondal Booms'!B:G,2,FALSE))</f>
        <v>0</v>
      </c>
      <c r="E31" s="35">
        <f>IF(OR(ISBLANK(B31),B31=""),0,VLOOKUP(B31,'Ondal Booms'!B:G,3,FALSE))</f>
        <v>0</v>
      </c>
      <c r="G31" s="79" t="s">
        <v>1039</v>
      </c>
      <c r="H31" s="80" t="s">
        <v>1030</v>
      </c>
      <c r="J31" s="51" t="s">
        <v>1038</v>
      </c>
      <c r="K31" s="33"/>
      <c r="L31" s="56"/>
      <c r="M31" s="57"/>
      <c r="N31" s="58"/>
      <c r="O31" s="59"/>
      <c r="P31" s="57"/>
      <c r="Q31" s="33"/>
      <c r="S31" s="33"/>
      <c r="T31" s="59"/>
      <c r="U31" s="57"/>
      <c r="V31" s="58"/>
      <c r="W31" s="59"/>
      <c r="X31" s="57"/>
      <c r="Y31" s="33"/>
      <c r="Z31" s="40">
        <f t="shared" ref="Z31:Z34" si="2">15-COUNTIFS(K31:Y31,"")</f>
        <v>0</v>
      </c>
      <c r="AE31">
        <f>COUNTIF(K32,"(2) Duplexes")+COUNTIF(Y32,"(2) Duplexes")</f>
        <v>0</v>
      </c>
      <c r="AF31">
        <f>COUNTIF(Q32:S32,"(2) Duplexes")</f>
        <v>0</v>
      </c>
      <c r="AG31">
        <f>COUNTIF(K32,"(3) Duplexes")+COUNTIF(Y32,"(3) Duplexes")</f>
        <v>0</v>
      </c>
      <c r="AH31">
        <f>COUNTIF(Q32:S32,"(3) Duplexes")</f>
        <v>0</v>
      </c>
    </row>
    <row r="32" spans="1:34" hidden="1" outlineLevel="1">
      <c r="A32" s="55" t="s">
        <v>355</v>
      </c>
      <c r="B32" s="8"/>
      <c r="C32" s="4">
        <f>IF(OR(ISBLANK(B32),B32=""),0,VLOOKUP(B32,'Ondal Booms'!B:G,4,FALSE))</f>
        <v>0</v>
      </c>
      <c r="D32" s="37">
        <f>IF(OR(ISBLANK(B32),B32=""),0,VLOOKUP(B32,'Ondal Booms'!B:G,2,FALSE))</f>
        <v>0</v>
      </c>
      <c r="E32" s="35">
        <f>IF(OR(ISBLANK(B32),B32=""),0,VLOOKUP(B32,'Ondal Booms'!B:G,3,FALSE))</f>
        <v>0</v>
      </c>
      <c r="G32" s="55" t="s">
        <v>1041</v>
      </c>
      <c r="H32" s="78">
        <f>(COUNTIF(K30:Y39,"Data"))</f>
        <v>0</v>
      </c>
      <c r="J32" s="51" t="s">
        <v>1040</v>
      </c>
      <c r="K32" s="33"/>
      <c r="L32" s="52"/>
      <c r="M32" s="53"/>
      <c r="N32" s="58"/>
      <c r="O32" s="54"/>
      <c r="P32" s="53"/>
      <c r="Q32" s="33"/>
      <c r="S32" s="33"/>
      <c r="T32" s="54"/>
      <c r="U32" s="53"/>
      <c r="V32" s="58"/>
      <c r="W32" s="54"/>
      <c r="X32" s="53"/>
      <c r="Y32" s="33"/>
      <c r="Z32" s="40">
        <f t="shared" si="2"/>
        <v>0</v>
      </c>
    </row>
    <row r="33" spans="1:34" ht="17.100000000000001" hidden="1" outlineLevel="1" thickBot="1">
      <c r="A33" s="55" t="s">
        <v>356</v>
      </c>
      <c r="B33" s="7"/>
      <c r="C33" s="4">
        <f>IF(OR(ISBLANK(B33),B33=""),0,VLOOKUP(B33,'Ondal Booms'!B:G,4,FALSE))</f>
        <v>0</v>
      </c>
      <c r="D33" s="37">
        <f>IF(OR(ISBLANK(B33),B33=""),0,VLOOKUP(B33,'Ondal Booms'!B:G,2,FALSE))</f>
        <v>0</v>
      </c>
      <c r="E33" s="35">
        <f>IF(OR(ISBLANK(B33),B33=""),0,VLOOKUP(B33,'Ondal Booms'!B:G,3,FALSE))</f>
        <v>0</v>
      </c>
      <c r="G33" s="64" t="s">
        <v>1043</v>
      </c>
      <c r="H33" s="77">
        <f>(COUNTIF(K30:Y39,"Storz 4in1"))</f>
        <v>0</v>
      </c>
      <c r="J33" s="51" t="s">
        <v>1042</v>
      </c>
      <c r="K33" s="33"/>
      <c r="L33" s="56"/>
      <c r="M33" s="57"/>
      <c r="N33" s="58"/>
      <c r="O33" s="59"/>
      <c r="P33" s="57"/>
      <c r="Q33" s="33"/>
      <c r="S33" s="33"/>
      <c r="T33" s="59"/>
      <c r="U33" s="57"/>
      <c r="V33" s="58"/>
      <c r="W33" s="59"/>
      <c r="X33" s="57"/>
      <c r="Y33" s="33"/>
      <c r="Z33" s="40">
        <f t="shared" si="2"/>
        <v>0</v>
      </c>
      <c r="AE33">
        <f>COUNTIF(K34,"(2) Duplexes")+COUNTIF(Y34,"(2) Duplexes")</f>
        <v>0</v>
      </c>
      <c r="AF33">
        <f>COUNTIF(Q34:S34,"(2) Duplexes")</f>
        <v>0</v>
      </c>
      <c r="AG33">
        <f>COUNTIF(K34,"(3) Duplexes")+COUNTIF(Y34,"(3) Duplexes")</f>
        <v>0</v>
      </c>
      <c r="AH33">
        <f>COUNTIF(Q34:S34,"(3) Duplexes")</f>
        <v>0</v>
      </c>
    </row>
    <row r="34" spans="1:34" hidden="1" outlineLevel="1">
      <c r="A34" s="55" t="s">
        <v>418</v>
      </c>
      <c r="B34" s="7"/>
      <c r="C34" s="4">
        <f>IF(OR(ISBLANK(B34),B34=""),0,VLOOKUP(B34,'Ondal Booms'!B:G,4,FALSE))</f>
        <v>0</v>
      </c>
      <c r="D34" s="37">
        <f>IF(OR(ISBLANK(B34),B34=""),0,VLOOKUP(B34,'Ondal Booms'!B:G,2,FALSE))</f>
        <v>0</v>
      </c>
      <c r="E34" s="35">
        <f>IF(OR(ISBLANK(B34),B34=""),0,VLOOKUP(B34,'Ondal Booms'!B:G,3,FALSE))</f>
        <v>0</v>
      </c>
      <c r="J34" s="51" t="s">
        <v>1044</v>
      </c>
      <c r="K34" s="33"/>
      <c r="L34" s="52"/>
      <c r="M34" s="53"/>
      <c r="N34" s="58"/>
      <c r="O34" s="54"/>
      <c r="P34" s="53"/>
      <c r="Q34" s="33"/>
      <c r="S34" s="33"/>
      <c r="T34" s="54"/>
      <c r="U34" s="53"/>
      <c r="V34" s="58"/>
      <c r="W34" s="54"/>
      <c r="X34" s="53"/>
      <c r="Y34" s="33"/>
      <c r="Z34" s="40">
        <f t="shared" si="2"/>
        <v>0</v>
      </c>
    </row>
    <row r="35" spans="1:34" ht="17.100000000000001" hidden="1" outlineLevel="1" thickBot="1">
      <c r="A35" s="55" t="s">
        <v>357</v>
      </c>
      <c r="B35" s="7"/>
      <c r="C35" s="4">
        <f>IF(OR(ISBLANK(B35),B35=""),0,VLOOKUP(B35,'Ondal Booms'!B:G,4,FALSE))</f>
        <v>0</v>
      </c>
      <c r="D35" s="37">
        <f>IF(OR(ISBLANK(B35),B35=""),0,VLOOKUP(B35,'Ondal Booms'!B:G,2,FALSE))</f>
        <v>0</v>
      </c>
      <c r="E35" s="35">
        <f>IF(OR(ISBLANK(B35),B35=""),0,VLOOKUP(B35,'Ondal Booms'!B:G,3,FALSE))</f>
        <v>0</v>
      </c>
      <c r="G35" s="79" t="s">
        <v>1046</v>
      </c>
      <c r="H35" s="80" t="s">
        <v>1030</v>
      </c>
      <c r="J35" s="51" t="s">
        <v>1045</v>
      </c>
      <c r="K35" s="33"/>
      <c r="L35" s="60"/>
      <c r="M35" s="61"/>
      <c r="N35" s="58"/>
      <c r="O35" s="62"/>
      <c r="P35" s="61"/>
      <c r="Q35" s="33"/>
      <c r="S35" s="33"/>
      <c r="T35" s="62"/>
      <c r="U35" s="61"/>
      <c r="V35" s="58"/>
      <c r="W35" s="62"/>
      <c r="X35" s="61"/>
      <c r="Y35" s="33"/>
      <c r="Z35" s="40">
        <f>15-COUNTIFS(K35:Y35,"")</f>
        <v>0</v>
      </c>
      <c r="AE35">
        <f>COUNTIF(K36,"(2) Duplexes")+COUNTIF(Y36,"(2) Duplexes")</f>
        <v>0</v>
      </c>
      <c r="AF35">
        <f>COUNTIF(Q36:S36,"(2) Duplexes")</f>
        <v>0</v>
      </c>
      <c r="AG35">
        <f>COUNTIF(K36,"(3) Duplexes")+COUNTIF(Y36,"(3) Duplexes")</f>
        <v>0</v>
      </c>
      <c r="AH35">
        <f>COUNTIF(Q36:S36,"(3) Duplexes")</f>
        <v>0</v>
      </c>
    </row>
    <row r="36" spans="1:34" hidden="1" outlineLevel="1">
      <c r="A36" s="49" t="s">
        <v>99</v>
      </c>
      <c r="B36" s="50" t="str">
        <f>IF(OR(H30=0,ISBLANK(H30)),"",H30&amp;" Duplexes")</f>
        <v/>
      </c>
      <c r="C36" s="4">
        <f>IF(OR(ISBLANK(B36),B36=""),0,VLOOKUP(B36,'Ondal Booms'!B:G,4,FALSE))</f>
        <v>0</v>
      </c>
      <c r="D36" s="37">
        <f>IF(OR(ISBLANK(B36),B36=""),0,VLOOKUP(B36,'Ondal Booms'!B:G,2,FALSE))</f>
        <v>0</v>
      </c>
      <c r="E36" s="35">
        <f>IF(OR(ISBLANK(B36),B36=""),0,VLOOKUP(B36,'Ondal Booms'!B:G,3,FALSE))</f>
        <v>0</v>
      </c>
      <c r="G36" s="55" t="s">
        <v>1048</v>
      </c>
      <c r="H36" s="78">
        <f>(COUNTIF(K30:Y39,"Oxygen"))</f>
        <v>0</v>
      </c>
      <c r="J36" s="51" t="s">
        <v>1047</v>
      </c>
      <c r="K36" s="33"/>
      <c r="L36" s="56"/>
      <c r="M36" s="57"/>
      <c r="N36" s="58"/>
      <c r="O36" s="59"/>
      <c r="P36" s="57"/>
      <c r="Q36" s="33"/>
      <c r="S36" s="33"/>
      <c r="T36" s="59"/>
      <c r="U36" s="57"/>
      <c r="V36" s="58"/>
      <c r="W36" s="59"/>
      <c r="X36" s="57"/>
      <c r="Y36" s="33"/>
      <c r="Z36" s="40">
        <f t="shared" ref="Z36:Z39" si="3">15-COUNTIFS(K36:Y36,"")</f>
        <v>0</v>
      </c>
    </row>
    <row r="37" spans="1:34" ht="17.100000000000001" hidden="1" outlineLevel="1" thickBot="1">
      <c r="A37" s="49" t="s">
        <v>95</v>
      </c>
      <c r="B37" s="50" t="str">
        <f>IF(OR(SUM(H36:H42)=0,ISBLANK(SUM(H36:H42))),"",SUM(H36:H42)&amp;" Outlets")</f>
        <v/>
      </c>
      <c r="C37" s="4">
        <f>IF(OR(ISBLANK(B37),B37=""),0,VLOOKUP(B37,'Ondal Booms'!B:G,4,FALSE))</f>
        <v>0</v>
      </c>
      <c r="D37" s="37">
        <f>IF(OR(ISBLANK(B37),B37=""),0,VLOOKUP(B37,'Ondal Booms'!B:G,2,FALSE))</f>
        <v>0</v>
      </c>
      <c r="E37" s="35">
        <f>IF(OR(ISBLANK(B37),B37=""),0,VLOOKUP(B37,'Ondal Booms'!B:G,3,FALSE))</f>
        <v>0</v>
      </c>
      <c r="G37" s="55" t="s">
        <v>1050</v>
      </c>
      <c r="H37" s="77">
        <f>COUNTIF(K30:Y39,"Medical Air")</f>
        <v>0</v>
      </c>
      <c r="J37" s="51" t="s">
        <v>1049</v>
      </c>
      <c r="K37" s="33"/>
      <c r="L37" s="60"/>
      <c r="M37" s="61"/>
      <c r="N37" s="58"/>
      <c r="O37" s="62"/>
      <c r="P37" s="61"/>
      <c r="Q37" s="33"/>
      <c r="S37" s="33"/>
      <c r="T37" s="62"/>
      <c r="U37" s="61"/>
      <c r="V37" s="58"/>
      <c r="W37" s="62"/>
      <c r="X37" s="61"/>
      <c r="Y37" s="33"/>
      <c r="Z37" s="40">
        <f t="shared" si="3"/>
        <v>0</v>
      </c>
      <c r="AE37">
        <f>COUNTIF(K38,"(2) Duplexes")+COUNTIF(Y38,"(2) Duplexes")</f>
        <v>0</v>
      </c>
      <c r="AF37">
        <f>COUNTIF(Q38:S38,"(2) Duplexes")</f>
        <v>0</v>
      </c>
      <c r="AG37">
        <f>COUNTIF(K38,"(3) Duplexes")+COUNTIF(Y38,"(3) Duplexes")</f>
        <v>0</v>
      </c>
      <c r="AH37">
        <f>COUNTIF(Q38:S38,"(3) Duplexes")</f>
        <v>0</v>
      </c>
    </row>
    <row r="38" spans="1:34" hidden="1" outlineLevel="1">
      <c r="A38" s="55" t="s">
        <v>1052</v>
      </c>
      <c r="B38" s="45"/>
      <c r="C38" s="4">
        <f>IF(OR(ISBLANK(B38),B38=""),0,VLOOKUP(B38,'Ondal Booms'!B:G,4,FALSE))</f>
        <v>0</v>
      </c>
      <c r="D38" s="37">
        <f>IF(OR(ISBLANK(B38),B38=""),0,VLOOKUP(B38,'Ondal Booms'!B:G,2,FALSE))</f>
        <v>0</v>
      </c>
      <c r="E38" s="35">
        <f>IF(OR(ISBLANK(B38),B38=""),0,VLOOKUP(B38,'Ondal Booms'!B:G,3,FALSE))</f>
        <v>0</v>
      </c>
      <c r="G38" s="55" t="s">
        <v>1053</v>
      </c>
      <c r="H38" s="77">
        <f>COUNTIF(K30:Y39,"Nitrous Oxide")</f>
        <v>0</v>
      </c>
      <c r="J38" s="51" t="s">
        <v>1051</v>
      </c>
      <c r="K38" s="33"/>
      <c r="L38" s="56"/>
      <c r="M38" s="57"/>
      <c r="N38" s="58"/>
      <c r="O38" s="59"/>
      <c r="P38" s="57"/>
      <c r="Q38" s="33"/>
      <c r="S38" s="33"/>
      <c r="T38" s="59"/>
      <c r="U38" s="57"/>
      <c r="V38" s="58"/>
      <c r="W38" s="59"/>
      <c r="X38" s="57"/>
      <c r="Y38" s="33"/>
      <c r="Z38" s="40">
        <f t="shared" si="3"/>
        <v>0</v>
      </c>
    </row>
    <row r="39" spans="1:34" ht="17.100000000000001" hidden="1" outlineLevel="1" thickBot="1">
      <c r="A39" s="55" t="s">
        <v>454</v>
      </c>
      <c r="B39" s="45"/>
      <c r="C39" s="4">
        <f>IF(OR(ISBLANK(B39),B39=""),0,VLOOKUP(B39,'Ondal Booms'!B:G,4,FALSE))</f>
        <v>0</v>
      </c>
      <c r="D39" s="37">
        <f>IF(OR(ISBLANK(B39),B39=""),0,VLOOKUP(B39,'Ondal Booms'!B:G,2,FALSE))</f>
        <v>0</v>
      </c>
      <c r="E39" s="35">
        <f>IF(OR(ISBLANK(B39),B39=""),0,VLOOKUP(B39,'Ondal Booms'!B:G,3,FALSE))</f>
        <v>0</v>
      </c>
      <c r="G39" s="55" t="s">
        <v>1055</v>
      </c>
      <c r="H39" s="77">
        <f>COUNTIF(K30:Y39,"WAGD")</f>
        <v>0</v>
      </c>
      <c r="J39" s="51" t="s">
        <v>1054</v>
      </c>
      <c r="K39" s="33"/>
      <c r="L39" s="60"/>
      <c r="M39" s="61"/>
      <c r="N39" s="63"/>
      <c r="O39" s="62"/>
      <c r="P39" s="61"/>
      <c r="Q39" s="33"/>
      <c r="S39" s="33"/>
      <c r="T39" s="62"/>
      <c r="U39" s="61"/>
      <c r="V39" s="63"/>
      <c r="W39" s="62"/>
      <c r="X39" s="61"/>
      <c r="Y39" s="33"/>
      <c r="Z39" s="40">
        <f t="shared" si="3"/>
        <v>0</v>
      </c>
    </row>
    <row r="40" spans="1:34" hidden="1" outlineLevel="1">
      <c r="A40" s="55" t="s">
        <v>455</v>
      </c>
      <c r="B40" s="45"/>
      <c r="C40" s="4">
        <f>IF(OR(ISBLANK(B40),B40=""),0,VLOOKUP(B40,'Ondal Booms'!B:G,4,FALSE))</f>
        <v>0</v>
      </c>
      <c r="D40" s="37">
        <f>IF(OR(ISBLANK(B40),B40=""),0,VLOOKUP(B40,'Ondal Booms'!B:G,2,FALSE))</f>
        <v>0</v>
      </c>
      <c r="E40" s="35">
        <f>IF(OR(ISBLANK(B40),B40=""),0,VLOOKUP(B40,'Ondal Booms'!B:G,3,FALSE))</f>
        <v>0</v>
      </c>
      <c r="G40" s="55" t="s">
        <v>1056</v>
      </c>
      <c r="H40" s="77">
        <f>COUNTIF(K30:Y39,"Vacuum")</f>
        <v>0</v>
      </c>
    </row>
    <row r="41" spans="1:34" hidden="1" outlineLevel="1">
      <c r="A41" s="55" t="s">
        <v>1057</v>
      </c>
      <c r="B41" s="45"/>
      <c r="C41" s="4">
        <f>IF(OR(ISBLANK(B41),B41=""),0,VLOOKUP(B41,'Ondal Booms'!B:G,4,FALSE))</f>
        <v>0</v>
      </c>
      <c r="D41" s="37">
        <f>IF(OR(ISBLANK(B41),B41=""),0,VLOOKUP(B41,'Ondal Booms'!B:G,2,FALSE))</f>
        <v>0</v>
      </c>
      <c r="E41" s="35">
        <f>IF(OR(ISBLANK(B41),B41=""),0,VLOOKUP(B41,'Ondal Booms'!B:G,3,FALSE))</f>
        <v>0</v>
      </c>
      <c r="G41" s="55" t="s">
        <v>1058</v>
      </c>
      <c r="H41" s="77">
        <f>COUNTIF(K30:Y39,"Nitrogen")</f>
        <v>0</v>
      </c>
    </row>
    <row r="42" spans="1:34" hidden="1" outlineLevel="1">
      <c r="A42" s="55" t="s">
        <v>1059</v>
      </c>
      <c r="B42" s="45"/>
      <c r="C42" s="4">
        <f>IF(OR(ISBLANK(B42),B42=""),0,VLOOKUP(B42,'Ondal Booms'!B:G,4,FALSE))</f>
        <v>0</v>
      </c>
      <c r="D42" s="37">
        <f>IF(OR(ISBLANK(B42),B42=""),0,VLOOKUP(B42,'Ondal Booms'!B:G,2,FALSE))</f>
        <v>0</v>
      </c>
      <c r="E42" s="35">
        <f>IF(OR(ISBLANK(B42),B42=""),0,VLOOKUP(B42,'Ondal Booms'!B:G,3,FALSE))</f>
        <v>0</v>
      </c>
      <c r="G42" s="64" t="s">
        <v>1060</v>
      </c>
      <c r="H42" s="77">
        <f>COUNTIF(K30:Y39,"Carbon Dioxide")</f>
        <v>0</v>
      </c>
    </row>
    <row r="43" spans="1:34" hidden="1" outlineLevel="1">
      <c r="A43" s="55" t="s">
        <v>1061</v>
      </c>
      <c r="B43" s="45"/>
      <c r="C43" s="4">
        <f>IF(OR(ISBLANK(B43),B43=""),0,VLOOKUP(B43,'Ondal Booms'!B:G,4,FALSE))</f>
        <v>0</v>
      </c>
      <c r="D43" s="37">
        <f>IF(OR(ISBLANK(B43),B43=""),0,VLOOKUP(B43,'Ondal Booms'!B:G,2,FALSE))</f>
        <v>0</v>
      </c>
      <c r="E43" s="35">
        <f>IF(OR(ISBLANK(B43),B43=""),0,VLOOKUP(B43,'Ondal Booms'!B:G,3,FALSE))</f>
        <v>0</v>
      </c>
      <c r="H43" s="36"/>
    </row>
    <row r="44" spans="1:34" hidden="1" outlineLevel="1">
      <c r="A44" s="55" t="s">
        <v>1062</v>
      </c>
      <c r="B44" s="45"/>
      <c r="C44" s="4">
        <f>IF(OR(ISBLANK(B44),B44=""),0,VLOOKUP(B44,'Ondal Booms'!B:G,4,FALSE))</f>
        <v>0</v>
      </c>
      <c r="D44" s="37">
        <f>IF(OR(ISBLANK(B44),B44=""),0,VLOOKUP(B44,'Ondal Booms'!B:G,2,FALSE))</f>
        <v>0</v>
      </c>
      <c r="E44" s="35">
        <f>IF(OR(ISBLANK(B44),B44=""),0,VLOOKUP(B44,'Ondal Booms'!B:G,3,FALSE))</f>
        <v>0</v>
      </c>
    </row>
    <row r="45" spans="1:34" hidden="1" outlineLevel="1">
      <c r="A45" s="55" t="s">
        <v>1063</v>
      </c>
      <c r="B45" s="45"/>
      <c r="C45" s="4">
        <f>IF(OR(ISBLANK(B45),B45=""),0,VLOOKUP(B45,'Ondal Booms'!B:G,4,FALSE))</f>
        <v>0</v>
      </c>
      <c r="D45" s="37">
        <f>IF(OR(ISBLANK(B45),B45=""),0,VLOOKUP(B45,'Ondal Booms'!B:G,2,FALSE))</f>
        <v>0</v>
      </c>
      <c r="E45" s="35">
        <f>IF(OR(ISBLANK(B45),B45=""),0,VLOOKUP(B45,'Ondal Booms'!B:G,3,FALSE))</f>
        <v>0</v>
      </c>
      <c r="G45" s="37"/>
    </row>
    <row r="46" spans="1:34" hidden="1" outlineLevel="1">
      <c r="A46" s="55" t="s">
        <v>1064</v>
      </c>
      <c r="B46" s="45"/>
      <c r="C46" s="4">
        <f>IF(OR(ISBLANK(B46),B46=""),0,VLOOKUP(B46,'Ondal Booms'!B:G,4,FALSE))</f>
        <v>0</v>
      </c>
      <c r="D46" s="37">
        <f>IF(OR(ISBLANK(B46),B46=""),0,VLOOKUP(B46,'Ondal Booms'!B:G,2,FALSE))</f>
        <v>0</v>
      </c>
      <c r="E46" s="35">
        <f>IF(OR(ISBLANK(B46),B46=""),0,VLOOKUP(B46,'Ondal Booms'!B:G,3,FALSE))</f>
        <v>0</v>
      </c>
      <c r="G46" s="37"/>
    </row>
    <row r="47" spans="1:34" hidden="1" outlineLevel="1">
      <c r="A47" s="64" t="s">
        <v>1065</v>
      </c>
      <c r="B47" s="45"/>
      <c r="C47" s="4">
        <f>IF(OR(ISBLANK(B47),B47=""),0,VLOOKUP(B47,'Ondal Booms'!B:G,4,FALSE))</f>
        <v>0</v>
      </c>
      <c r="D47" s="37">
        <f>IF(OR(ISBLANK(B47),B47=""),0,VLOOKUP(B47,'Ondal Booms'!B:G,2,FALSE))</f>
        <v>0</v>
      </c>
      <c r="E47" s="35">
        <f>IF(OR(ISBLANK(B47),B47=""),0,VLOOKUP(B47,'Ondal Booms'!B:G,3,FALSE))</f>
        <v>0</v>
      </c>
    </row>
    <row r="48" spans="1:34" hidden="1" outlineLevel="1">
      <c r="C48" s="4"/>
      <c r="E48" s="37"/>
    </row>
    <row r="49" spans="1:32" hidden="1" outlineLevel="1">
      <c r="A49" s="49" t="s">
        <v>1066</v>
      </c>
      <c r="B49" s="70" t="str">
        <f>IF(OR(ISBLANK(B30),B30=""),"",
IF(OR(AND(B35="200mm Service Head",SUM(Z32:Z39)&gt;0),AND(B35="400mm Service Head",SUM(Z34:Z39)&gt;0),AND(B35="600mm Service Head",SUM(Z36:Z39)&gt;0),AND(B35="800mm Service Head",SUM(Z38:Z39)&gt;0)),"Select Longer Service Head or Remove Services",
IF(AND(RIGHT(B33,2)="XL",RIGHT(B32,2)&lt;&gt;"XL"),"BOTTOM XL ARM REQUIRES TOP XL ARM",
IF(OR(ISBLANK(#REF!),ISBLANK(B31),ISBLANK(B32),ISBLANK(B33),ISBLANK(B34),ISBLANK(B35),ISBLANK(B39),ISBLANK(B40),ISBLANK(B38)),"Missing Selections for Configuration",
IF(AND(B35="Large Monitor Carrier",B33&lt;&gt;"Spring Articulating"),"Large Monitor Requires Spring Bottom Arm",
IF(OR(AND(RIGHT(B31,2)="XL",RIGHT(B32,2)&lt;&gt;"XL"),AND(RIGHT(B32,2)="XL",RIGHT(B31,2)&lt;&gt;"XL")),"Both Top Arm and Ceiling Flange Must Be XL",
IF(COUNTIF(AE29:AH37,1)&gt;1,"Mismatch Electrical Configuration",
""))))))
)</f>
        <v/>
      </c>
      <c r="C49" s="4"/>
      <c r="D49" s="4"/>
      <c r="E49" s="35"/>
    </row>
    <row r="50" spans="1:32" hidden="1" outlineLevel="1">
      <c r="B50" s="1"/>
      <c r="C50" s="47" t="s">
        <v>1026</v>
      </c>
      <c r="D50" s="47" t="s">
        <v>1027</v>
      </c>
      <c r="E50" s="47" t="s">
        <v>1067</v>
      </c>
      <c r="F50" s="35"/>
      <c r="I50" s="35"/>
    </row>
    <row r="51" spans="1:32" ht="17.100000000000001" collapsed="1" thickBot="1">
      <c r="A51" s="69" t="s">
        <v>1068</v>
      </c>
      <c r="B51" s="72" t="str">
        <f>IF(OR(B30="",ISBLANK(B30)),"NO CONFIGURATION SELECTED",C51)</f>
        <v>NO CONFIGURATION SELECTED</v>
      </c>
      <c r="C51" s="65">
        <f>SUM(C30:C47)</f>
        <v>0</v>
      </c>
      <c r="D51" s="65">
        <f t="shared" ref="D51:E51" si="4">SUM(D30:D47)</f>
        <v>0</v>
      </c>
      <c r="E51" s="65">
        <f t="shared" si="4"/>
        <v>0</v>
      </c>
      <c r="F51" s="1"/>
      <c r="I51" s="1"/>
      <c r="J51" t="str">
        <f>"&lt;-- EXPAND TO SHOW OPTIONS / SERVICE HEAD"</f>
        <v>&lt;-- EXPAND TO SHOW OPTIONS / SERVICE HEAD</v>
      </c>
    </row>
    <row r="52" spans="1:32" ht="17.100000000000001" thickTop="1">
      <c r="AC52" s="285"/>
      <c r="AD52" s="285"/>
      <c r="AE52" s="285"/>
      <c r="AF52" s="285"/>
    </row>
    <row r="53" spans="1:32">
      <c r="A53" s="46" t="s">
        <v>1070</v>
      </c>
      <c r="B53" s="47" t="s">
        <v>1025</v>
      </c>
      <c r="C53" s="47" t="s">
        <v>1026</v>
      </c>
      <c r="D53" s="47" t="s">
        <v>1071</v>
      </c>
      <c r="E53" s="47" t="s">
        <v>1072</v>
      </c>
    </row>
    <row r="54" spans="1:32" hidden="1" outlineLevel="1">
      <c r="A54" s="49" t="s">
        <v>1035</v>
      </c>
      <c r="B54" s="50" t="str">
        <f>IF(AND(ISBLANK(B57),ISBLANK(B58),ISBLANK(B59)),"",
IF(B55="Upgrade Only","UPGRADE",
IF(RIGHT(B57,4)="(3P)","(3P) ","")&amp;
IF(ISBLANK(B57),"",VLOOKUP(B57,'Simeon Lights'!C:H,2,FALSE))&amp;
IF(ISBLANK(B58),""," / "&amp;VLOOKUP(B58,'Simeon Lights'!C:H,2,FALSE))&amp;
IF(ISBLANK(B59),""," / "&amp;VLOOKUP(B59,'Simeon Lights'!C:H,2,FALSE))))</f>
        <v/>
      </c>
      <c r="C54" s="4">
        <f>IF(ISBLANK(B57),0,(VLOOKUP(B54,'Simeon Lights'!C:J,6,FALSE)))</f>
        <v>0</v>
      </c>
      <c r="D54" s="37">
        <f>IF(ISBLANK(B57),0,(VLOOKUP(B54,'Simeon Lights'!C:J,4,FALSE)))</f>
        <v>0</v>
      </c>
      <c r="E54" s="37">
        <f>IF(ISBLANK(B57),0,(VLOOKUP(B54,'Simeon Lights'!C:J,5,FALSE)))</f>
        <v>0</v>
      </c>
      <c r="G54" s="1"/>
      <c r="H54" s="1"/>
    </row>
    <row r="55" spans="1:32" hidden="1" outlineLevel="1">
      <c r="A55" s="55" t="s">
        <v>310</v>
      </c>
      <c r="B55" s="33"/>
      <c r="C55" s="4">
        <f>IF(ISBLANK(B55),0,VLOOKUP(B55,'Simeon Lights'!C:J,6,FALSE))</f>
        <v>0</v>
      </c>
      <c r="D55" s="37">
        <f>IF(ISBLANK(B55),0,VLOOKUP(B55,'Simeon Lights'!C:J,4,FALSE))</f>
        <v>0</v>
      </c>
      <c r="E55" s="37">
        <f>IF(ISBLANK(B55),0,VLOOKUP(B55,'Simeon Lights'!C:J,5,FALSE))</f>
        <v>0</v>
      </c>
    </row>
    <row r="56" spans="1:32" hidden="1" outlineLevel="1">
      <c r="A56" s="55" t="s">
        <v>1073</v>
      </c>
      <c r="B56" s="33"/>
      <c r="C56" s="4">
        <f>IF(ISBLANK(B56),0,VLOOKUP(B56,'Simeon Lights'!C:J,6,FALSE))</f>
        <v>0</v>
      </c>
      <c r="D56" s="37">
        <f>IF(ISBLANK(B56),0,VLOOKUP(B56,'Simeon Lights'!C:J,4,FALSE))</f>
        <v>0</v>
      </c>
      <c r="E56" s="37">
        <f>IF(ISBLANK(B56),0,VLOOKUP(B56,'Simeon Lights'!C:J,5,FALSE))</f>
        <v>0</v>
      </c>
    </row>
    <row r="57" spans="1:32" hidden="1" outlineLevel="1">
      <c r="A57" s="55" t="s">
        <v>1074</v>
      </c>
      <c r="B57" s="33"/>
      <c r="C57" s="4">
        <f>IF(ISBLANK(B57),0,VLOOKUP(B57,'Simeon Lights'!C:J,6,FALSE))</f>
        <v>0</v>
      </c>
      <c r="D57" s="37">
        <f>IF(ISBLANK(B57),0,VLOOKUP(B57,'Simeon Lights'!C:J,4,FALSE))</f>
        <v>0</v>
      </c>
      <c r="E57" s="37">
        <f>IF(ISBLANK(B57),0,VLOOKUP(B57,'Simeon Lights'!C:J,5,FALSE))</f>
        <v>0</v>
      </c>
    </row>
    <row r="58" spans="1:32" hidden="1" outlineLevel="1">
      <c r="A58" s="55" t="s">
        <v>1075</v>
      </c>
      <c r="B58" s="33"/>
      <c r="C58" s="4">
        <f>IF(ISBLANK(B58),0,VLOOKUP(B58,'Simeon Lights'!C:J,6,FALSE))</f>
        <v>0</v>
      </c>
      <c r="D58" s="37">
        <f>IF(ISBLANK(B58),0,VLOOKUP(B58,'Simeon Lights'!C:J,4,FALSE))</f>
        <v>0</v>
      </c>
      <c r="E58" s="37">
        <f>IF(ISBLANK(B58),0,VLOOKUP(B58,'Simeon Lights'!C:J,5,FALSE))</f>
        <v>0</v>
      </c>
    </row>
    <row r="59" spans="1:32" hidden="1" outlineLevel="1">
      <c r="A59" s="55" t="s">
        <v>1077</v>
      </c>
      <c r="B59" s="33"/>
      <c r="C59" s="4">
        <f>IF(ISBLANK(B59),0,VLOOKUP(B59,'Simeon Lights'!C:J,6,FALSE))</f>
        <v>0</v>
      </c>
      <c r="D59" s="37">
        <f>IF(ISBLANK(B59),0,VLOOKUP(B59,'Simeon Lights'!C:J,4,FALSE))</f>
        <v>0</v>
      </c>
      <c r="E59" s="37">
        <f>IF(ISBLANK(B59),0,VLOOKUP(B59,'Simeon Lights'!C:J,5,FALSE))</f>
        <v>0</v>
      </c>
    </row>
    <row r="60" spans="1:32" hidden="1" outlineLevel="1">
      <c r="A60" s="55" t="s">
        <v>589</v>
      </c>
      <c r="B60" s="34"/>
      <c r="C60" s="4">
        <f>IF(ISBLANK(B60),0,VLOOKUP(B60,'Simeon Lights'!C:J,6,FALSE))</f>
        <v>0</v>
      </c>
      <c r="D60" s="37">
        <f>IF(ISBLANK(B60),0,VLOOKUP(B60,'Simeon Lights'!C:J,4,FALSE))</f>
        <v>0</v>
      </c>
      <c r="E60" s="37">
        <f>IF(ISBLANK(B60),0,VLOOKUP(B60,'Simeon Lights'!C:J,5,FALSE))</f>
        <v>0</v>
      </c>
    </row>
    <row r="61" spans="1:32" hidden="1" outlineLevel="1">
      <c r="A61" s="55" t="s">
        <v>1078</v>
      </c>
      <c r="B61" s="34"/>
      <c r="C61" s="4">
        <f>IF(ISBLANK(B61),0,VLOOKUP(B61,'Simeon Lights'!C:J,6,FALSE))</f>
        <v>0</v>
      </c>
      <c r="D61" s="37">
        <f>IF(ISBLANK(B61),0,VLOOKUP(B61,'Simeon Lights'!C:J,4,FALSE))</f>
        <v>0</v>
      </c>
      <c r="E61" s="37">
        <f>IF(ISBLANK(B61),0,VLOOKUP(B61,'Simeon Lights'!C:J,5,FALSE))</f>
        <v>0</v>
      </c>
    </row>
    <row r="62" spans="1:32" hidden="1" outlineLevel="1">
      <c r="A62" s="55" t="s">
        <v>615</v>
      </c>
      <c r="B62" s="34"/>
      <c r="C62" s="4">
        <f>IF(ISBLANK(B62),0,VLOOKUP(B62,'Simeon Lights'!C:J,6,FALSE))</f>
        <v>0</v>
      </c>
      <c r="D62" s="37">
        <f>IF(ISBLANK(B62),0,VLOOKUP(B62,'Simeon Lights'!C:J,4,FALSE))</f>
        <v>0</v>
      </c>
      <c r="E62" s="37">
        <f>IF(ISBLANK(B62),0,VLOOKUP(B62,'Simeon Lights'!C:J,5,FALSE))</f>
        <v>0</v>
      </c>
    </row>
    <row r="63" spans="1:32" hidden="1" outlineLevel="1">
      <c r="A63" s="64" t="s">
        <v>1079</v>
      </c>
      <c r="B63" s="34"/>
      <c r="C63" s="4">
        <f>IF(ISBLANK(B63),0,VLOOKUP(B63,'Simeon Lights'!C:J,6,FALSE))</f>
        <v>0</v>
      </c>
      <c r="D63" s="37">
        <f>IF(ISBLANK(B63),0,VLOOKUP(B63,'Simeon Lights'!C:J,4,FALSE))</f>
        <v>0</v>
      </c>
      <c r="E63" s="37">
        <f>IF(ISBLANK(B63),0,VLOOKUP(B63,'Simeon Lights'!C:J,5,FALSE))</f>
        <v>0</v>
      </c>
    </row>
    <row r="64" spans="1:32" hidden="1" outlineLevel="1">
      <c r="C64" s="4"/>
      <c r="D64" s="4"/>
      <c r="E64" s="44"/>
    </row>
    <row r="65" spans="1:10" hidden="1" outlineLevel="1">
      <c r="A65" s="49" t="s">
        <v>1066</v>
      </c>
      <c r="B65" s="70" t="str">
        <f xml:space="preserve">
IF(AND(ISBLANK(B57),ISBLANK(B58),ISBLANK(B59)),"",
IF(AND(ISBLANK(B57),B58&lt;&gt;""),"ARM 1 MISSING",
IF(AND(ISBLANK(B57),B59&lt;&gt;""),"ARM 1 MISSING",
IF(ISBLANK(B58)&amp;ISBLANK(B59)="TRUEFALSE","ARM 2 MISSING",
IF(AND(B57&lt;&gt;"",B58="32in Flat Panel",B59&lt;&gt;""),"FP CANNOT BE MIDDLE ARM",
IF(OR(ISBLANK(B55),ISBLANK(B56),ISBLANK(B60),ISBLANK(B61),ISBLANK(B62),ISBLANK(B63)),"Missing Selections",""))))))</f>
        <v/>
      </c>
      <c r="C65" s="4"/>
      <c r="D65" s="4"/>
      <c r="E65" s="35"/>
    </row>
    <row r="66" spans="1:10" hidden="1" outlineLevel="1">
      <c r="B66" s="71"/>
      <c r="C66" s="47" t="s">
        <v>1026</v>
      </c>
      <c r="D66" s="47" t="s">
        <v>1071</v>
      </c>
      <c r="E66" s="47" t="s">
        <v>1072</v>
      </c>
      <c r="F66" s="1"/>
      <c r="I66" s="1"/>
    </row>
    <row r="67" spans="1:10" ht="17.100000000000001" collapsed="1" thickBot="1">
      <c r="A67" s="69" t="s">
        <v>1068</v>
      </c>
      <c r="B67" s="72" t="str">
        <f>IF(OR(ISBLANK(B57),ISBLANK(B58)&amp;ISBLANK(B59)="TRUEFALSE"),"NO CONFIGURATION SELECTED",IF(B65&lt;&gt;"","ERROR IN CONFIGURATION",IF(B57="",0,SUM(C54:C63))))</f>
        <v>NO CONFIGURATION SELECTED</v>
      </c>
      <c r="C67" s="65">
        <f>SUM(C54:C65)</f>
        <v>0</v>
      </c>
      <c r="D67" s="65">
        <f t="shared" ref="D67:E67" si="5">SUM(D54:D65)</f>
        <v>0</v>
      </c>
      <c r="E67" s="65">
        <f t="shared" si="5"/>
        <v>0</v>
      </c>
      <c r="J67" t="str">
        <f>"&lt;-- EXPAND TO SHOW OPTIONS"</f>
        <v>&lt;-- EXPAND TO SHOW OPTIONS</v>
      </c>
    </row>
    <row r="68" spans="1:10" ht="17.100000000000001" thickTop="1">
      <c r="E68" s="1"/>
    </row>
    <row r="69" spans="1:10">
      <c r="A69" s="46"/>
      <c r="B69" s="47" t="s">
        <v>1080</v>
      </c>
      <c r="E69" s="47" t="s">
        <v>1085</v>
      </c>
    </row>
    <row r="70" spans="1:10" ht="17.100000000000001" thickBot="1">
      <c r="A70" s="69" t="s">
        <v>1082</v>
      </c>
      <c r="B70" s="72">
        <f>IF(OR(B27="Error in Configuration",B27="No Configuration Selected"),0,B27)+IF(OR(B51="Error in Configuration",B51="No Configuration Selected"),0,B51)+IF(OR(B67="Error in Configuration",B67="No Configuration Selected"),0,B67)</f>
        <v>51648.441666666658</v>
      </c>
      <c r="E70" s="65">
        <f>SUM(E67,E51,E27)</f>
        <v>15494.532499999998</v>
      </c>
      <c r="G70" s="1"/>
      <c r="H70" s="1"/>
    </row>
    <row r="71" spans="1:10" ht="17.100000000000001" thickTop="1"/>
  </sheetData>
  <sheetProtection sheet="1" formatColumns="0" formatRows="0" selectLockedCells="1"/>
  <mergeCells count="6">
    <mergeCell ref="AC52:AF52"/>
    <mergeCell ref="AC27:AF27"/>
    <mergeCell ref="L29:P29"/>
    <mergeCell ref="T29:X29"/>
    <mergeCell ref="L4:P4"/>
    <mergeCell ref="T4:X4"/>
  </mergeCells>
  <conditionalFormatting sqref="B25">
    <cfRule type="expression" dxfId="23" priority="5">
      <formula>$B$25&lt;&gt;""</formula>
    </cfRule>
  </conditionalFormatting>
  <conditionalFormatting sqref="B49">
    <cfRule type="expression" dxfId="22" priority="1">
      <formula>$B$25&lt;&gt;""</formula>
    </cfRule>
  </conditionalFormatting>
  <conditionalFormatting sqref="B65">
    <cfRule type="expression" dxfId="21" priority="6" stopIfTrue="1">
      <formula>$B$65&lt;&gt;""</formula>
    </cfRule>
  </conditionalFormatting>
  <pageMargins left="0.7" right="0.7" top="0.75" bottom="0.75" header="0.3" footer="0.3"/>
  <pageSetup orientation="portrait" r:id="rId1"/>
  <ignoredErrors>
    <ignoredError sqref="H8:H9 H5 H12:H14 H15:H18 H30 H31:H43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 xr:uid="{CFAF6485-97D7-2746-AB57-76DDD65FD04B}">
          <x14:formula1>
            <xm:f>'BnL Drop Downs'!$A$2:$A$11</xm:f>
          </x14:formula1>
          <xm:sqref>R5:R16 R30:R41</xm:sqref>
        </x14:dataValidation>
        <x14:dataValidation type="list" allowBlank="1" showInputMessage="1" showErrorMessage="1" xr:uid="{BA12C696-D4A0-FA4E-B1E2-7D4199A47700}">
          <x14:formula1>
            <xm:f>'BnL Drop Downs'!$A$2:$A$14</xm:f>
          </x14:formula1>
          <xm:sqref>K5:K16 Q5:Q16 S5:S16 Y5:Y16 K30:K41 Q30:Q41 S30:S41 Y30:Y41</xm:sqref>
        </x14:dataValidation>
        <x14:dataValidation type="list" allowBlank="1" showInputMessage="1" showErrorMessage="1" xr:uid="{1A8781FF-C365-BB42-AC0F-F9CB1F6322B7}">
          <x14:formula1>
            <xm:f>'Ondal Booms'!$B$77:$B$87</xm:f>
          </x14:formula1>
          <xm:sqref>B9 B33</xm:sqref>
        </x14:dataValidation>
        <x14:dataValidation type="list" allowBlank="1" showInputMessage="1" showErrorMessage="1" xr:uid="{DCF9F964-09CB-5942-BE3C-DE1A09C17724}">
          <x14:formula1>
            <xm:f>'Ondal Booms'!$B$64:$B$74</xm:f>
          </x14:formula1>
          <xm:sqref>B8 B32</xm:sqref>
        </x14:dataValidation>
        <x14:dataValidation type="list" allowBlank="1" showInputMessage="1" showErrorMessage="1" xr:uid="{C8671157-19D6-1E46-AD54-665D2C569ADE}">
          <x14:formula1>
            <xm:f>'Ondal Booms'!$B$55:$B$61</xm:f>
          </x14:formula1>
          <xm:sqref>B7 B31</xm:sqref>
        </x14:dataValidation>
        <x14:dataValidation type="list" allowBlank="1" showInputMessage="1" showErrorMessage="1" xr:uid="{678C27B7-6642-4A42-BF0D-10BD3100751B}">
          <x14:formula1>
            <xm:f>'Ondal Booms'!$B$152:$B$157</xm:f>
          </x14:formula1>
          <xm:sqref>B16 B40</xm:sqref>
        </x14:dataValidation>
        <x14:dataValidation type="list" allowBlank="1" showInputMessage="1" showErrorMessage="1" xr:uid="{2C9E7AF6-D47E-8D47-8C86-2E17DFB49878}">
          <x14:formula1>
            <xm:f>'Simeon Lights'!$C$86:$C$93</xm:f>
          </x14:formula1>
          <xm:sqref>B63</xm:sqref>
        </x14:dataValidation>
        <x14:dataValidation type="list" allowBlank="1" showInputMessage="1" showErrorMessage="1" xr:uid="{8931A230-10D9-394D-B0AA-85CDDC3E7F76}">
          <x14:formula1>
            <xm:f>'Simeon Lights'!$C$74:$C$76</xm:f>
          </x14:formula1>
          <xm:sqref>B61</xm:sqref>
        </x14:dataValidation>
        <x14:dataValidation type="list" allowBlank="1" showInputMessage="1" showErrorMessage="1" xr:uid="{73EB20D9-7C8C-F545-8A1D-5F90932DD9DB}">
          <x14:formula1>
            <xm:f>'Simeon Lights'!$C$62:$C$71</xm:f>
          </x14:formula1>
          <xm:sqref>B60</xm:sqref>
        </x14:dataValidation>
        <x14:dataValidation type="list" allowBlank="1" showInputMessage="1" showErrorMessage="1" xr:uid="{E4D04A9F-907A-B64E-9976-1A4A7ABE8EB3}">
          <x14:formula1>
            <xm:f>'Simeon Lights'!$C$79:$C$83</xm:f>
          </x14:formula1>
          <xm:sqref>B62</xm:sqref>
        </x14:dataValidation>
        <x14:dataValidation type="list" allowBlank="1" showInputMessage="1" showErrorMessage="1" xr:uid="{D53AA539-F997-6645-9F18-738CF76E4EF7}">
          <x14:formula1>
            <xm:f>'Ondal Booms'!$B$48:$B$51</xm:f>
          </x14:formula1>
          <xm:sqref>B6</xm:sqref>
        </x14:dataValidation>
        <x14:dataValidation type="list" allowBlank="1" showInputMessage="1" showErrorMessage="1" xr:uid="{EBC7BEB9-BF29-4847-A061-83C57E409A86}">
          <x14:formula1>
            <xm:f>'Ondal Booms'!$B$100:$B$106</xm:f>
          </x14:formula1>
          <xm:sqref>B11 B35</xm:sqref>
        </x14:dataValidation>
        <x14:dataValidation type="list" allowBlank="1" showInputMessage="1" showErrorMessage="1" xr:uid="{DBCE6E82-6764-784C-9268-005AE31CAEEB}">
          <x14:formula1>
            <xm:f>'Ondal Booms'!$B$90:$B$96</xm:f>
          </x14:formula1>
          <xm:sqref>B10 B34</xm:sqref>
        </x14:dataValidation>
        <x14:dataValidation type="list" allowBlank="1" showInputMessage="1" showErrorMessage="1" xr:uid="{F68E2E5B-188C-9342-9626-DB6990F7E29D}">
          <x14:formula1>
            <xm:f>'Ondal Booms'!$B$3:$B$10</xm:f>
          </x14:formula1>
          <xm:sqref>B6:B9 B31:B33</xm:sqref>
        </x14:dataValidation>
        <x14:dataValidation type="list" allowBlank="1" showDropDown="1" showInputMessage="1" showErrorMessage="1" xr:uid="{48F2AA91-5958-EC45-974E-CB472AEEF604}">
          <x14:formula1>
            <xm:f>'Ondal Booms'!$B$3:$B$10</xm:f>
          </x14:formula1>
          <xm:sqref>B5:B7 B30:B31</xm:sqref>
        </x14:dataValidation>
        <x14:dataValidation type="list" allowBlank="1" showInputMessage="1" showErrorMessage="1" xr:uid="{25A63528-7C3C-3648-9E8C-955F86CA7083}">
          <x14:formula1>
            <xm:f>'Ondal Booms'!$B$169:$B$181</xm:f>
          </x14:formula1>
          <xm:sqref>B17:B23 B41:B47</xm:sqref>
        </x14:dataValidation>
        <x14:dataValidation type="list" allowBlank="1" showInputMessage="1" showErrorMessage="1" xr:uid="{5C54FD15-D054-8B40-9D87-2CBBE8695A6B}">
          <x14:formula1>
            <xm:f>'Ondal Booms'!$B$145:$B$150</xm:f>
          </x14:formula1>
          <xm:sqref>B15 B39</xm:sqref>
        </x14:dataValidation>
        <x14:dataValidation type="list" allowBlank="1" showInputMessage="1" showErrorMessage="1" xr:uid="{CCA5C040-F4CA-F84B-B5A4-2A3B85B47295}">
          <x14:formula1>
            <xm:f>'Ondal Booms'!#REF!</xm:f>
          </x14:formula1>
          <xm:sqref>B15:B16 B39:B40</xm:sqref>
        </x14:dataValidation>
        <x14:dataValidation type="list" allowBlank="1" showInputMessage="1" showErrorMessage="1" xr:uid="{9057617D-BB78-DB43-88C2-3108AFB71300}">
          <x14:formula1>
            <xm:f>'Ondal Booms'!$B$159:$B$166</xm:f>
          </x14:formula1>
          <xm:sqref>B14 B38</xm:sqref>
        </x14:dataValidation>
        <x14:dataValidation type="list" allowBlank="1" showInputMessage="1" showErrorMessage="1" xr:uid="{48CCE054-10C8-924D-B297-BCAFE0C618A5}">
          <x14:formula1>
            <xm:f>'Simeon Lights'!$C$49:$C$59</xm:f>
          </x14:formula1>
          <xm:sqref>B56</xm:sqref>
        </x14:dataValidation>
        <x14:dataValidation type="list" allowBlank="1" showInputMessage="1" showErrorMessage="1" xr:uid="{2DF549EB-CAAB-154A-81DF-B60760B2B871}">
          <x14:formula1>
            <xm:f>'Simeon Lights'!$C$103:$C$108</xm:f>
          </x14:formula1>
          <xm:sqref>B55</xm:sqref>
        </x14:dataValidation>
        <x14:dataValidation type="list" allowBlank="1" showInputMessage="1" showErrorMessage="1" xr:uid="{0729D11C-5D55-F048-AD5B-4763ACCB4C62}">
          <x14:formula1>
            <xm:f>'Simeon Lights'!$C$27:$C$45</xm:f>
          </x14:formula1>
          <xm:sqref>B57:B59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23A91-A477-AF41-A066-C6CA152486CE}">
  <dimension ref="A1:AH71"/>
  <sheetViews>
    <sheetView topLeftCell="A15" zoomScale="167" zoomScaleNormal="100" workbookViewId="0">
      <selection activeCell="B17" sqref="B17"/>
    </sheetView>
  </sheetViews>
  <sheetFormatPr defaultColWidth="11" defaultRowHeight="15.95" outlineLevelRow="1" outlineLevelCol="1"/>
  <cols>
    <col min="1" max="1" width="27.875" customWidth="1"/>
    <col min="2" max="2" width="43" customWidth="1"/>
    <col min="3" max="5" width="17.625" customWidth="1" outlineLevel="1"/>
    <col min="6" max="6" width="2.375" customWidth="1"/>
    <col min="7" max="7" width="18.375" customWidth="1" outlineLevel="1"/>
    <col min="8" max="8" width="8.375" customWidth="1" outlineLevel="1"/>
    <col min="9" max="9" width="2.375" customWidth="1"/>
    <col min="10" max="10" width="7" bestFit="1" customWidth="1"/>
    <col min="11" max="11" width="14" customWidth="1"/>
    <col min="12" max="13" width="3.375" customWidth="1"/>
    <col min="14" max="14" width="16.5" customWidth="1"/>
    <col min="15" max="16" width="3.375" customWidth="1"/>
    <col min="17" max="17" width="13.375" customWidth="1"/>
    <col min="18" max="18" width="3" customWidth="1"/>
    <col min="19" max="19" width="13" customWidth="1"/>
    <col min="20" max="21" width="3.375" customWidth="1"/>
    <col min="22" max="22" width="16.375" customWidth="1"/>
    <col min="23" max="24" width="3.375" customWidth="1"/>
    <col min="25" max="25" width="13.375" customWidth="1"/>
    <col min="26" max="26" width="13.375" style="40" customWidth="1"/>
    <col min="27" max="29" width="13.375" customWidth="1"/>
    <col min="30" max="30" width="13" customWidth="1"/>
    <col min="31" max="31" width="3.5" hidden="1" customWidth="1"/>
    <col min="32" max="33" width="4.375" hidden="1" customWidth="1"/>
    <col min="34" max="34" width="4.5" hidden="1" customWidth="1"/>
  </cols>
  <sheetData>
    <row r="1" spans="1:34">
      <c r="A1" s="46" t="s">
        <v>1091</v>
      </c>
      <c r="B1" s="47" t="s">
        <v>1022</v>
      </c>
    </row>
    <row r="2" spans="1:34">
      <c r="A2" s="48" t="s">
        <v>163</v>
      </c>
      <c r="B2" s="33" t="s">
        <v>1092</v>
      </c>
    </row>
    <row r="3" spans="1:34">
      <c r="E3" s="37"/>
    </row>
    <row r="4" spans="1:34" ht="18.95">
      <c r="A4" s="46" t="s">
        <v>1024</v>
      </c>
      <c r="B4" s="47" t="s">
        <v>1025</v>
      </c>
      <c r="C4" s="47" t="s">
        <v>1026</v>
      </c>
      <c r="D4" s="47" t="s">
        <v>1027</v>
      </c>
      <c r="E4" s="47" t="s">
        <v>1028</v>
      </c>
      <c r="G4" s="79" t="s">
        <v>1029</v>
      </c>
      <c r="H4" s="80" t="s">
        <v>1030</v>
      </c>
      <c r="J4" s="83" t="s">
        <v>1031</v>
      </c>
      <c r="K4" s="84" t="s">
        <v>1032</v>
      </c>
      <c r="L4" s="282" t="s">
        <v>1033</v>
      </c>
      <c r="M4" s="282"/>
      <c r="N4" s="282"/>
      <c r="O4" s="282"/>
      <c r="P4" s="282"/>
      <c r="Q4" s="80" t="s">
        <v>1032</v>
      </c>
      <c r="R4" s="36"/>
      <c r="S4" s="79" t="s">
        <v>1032</v>
      </c>
      <c r="T4" s="282" t="s">
        <v>1034</v>
      </c>
      <c r="U4" s="282"/>
      <c r="V4" s="282"/>
      <c r="W4" s="282"/>
      <c r="X4" s="282"/>
      <c r="Y4" s="80" t="s">
        <v>1032</v>
      </c>
      <c r="AE4">
        <f>COUNTIF(K5,"(2) Duplexes")+COUNTIF(Y5,"(2) Duplexes")</f>
        <v>0</v>
      </c>
      <c r="AF4">
        <f>COUNTIF(Q5:S5,"(2) Duplexes")</f>
        <v>2</v>
      </c>
      <c r="AG4">
        <f>COUNTIF(K5,"(3) Duplexes")+COUNTIF(Y5,"(3) Duplexes")</f>
        <v>0</v>
      </c>
      <c r="AH4">
        <f>COUNTIF(Q5:S5,"(3) Duplexes")</f>
        <v>0</v>
      </c>
    </row>
    <row r="5" spans="1:34" outlineLevel="1">
      <c r="A5" s="49" t="s">
        <v>1035</v>
      </c>
      <c r="B5" s="50" t="str">
        <f>IF(OR(ISBLANK(B8),ISBLANK(B9)),"",IF(ISBLANK(B9),0,(VLOOKUP(B9,'Ondal Booms'!B:F,5,FALSE)))&amp;IF(ISBLANK(B8),0,(VLOOKUP(B8,'Ondal Booms'!B:F,5,FALSE))))</f>
        <v xml:space="preserve">Spring </v>
      </c>
      <c r="C5" s="4">
        <f>IF(OR(ISBLANK(B5),B5=""),0,VLOOKUP(B5,'Ondal Booms'!B:G,4,FALSE))</f>
        <v>27458.400000000001</v>
      </c>
      <c r="D5" s="37">
        <f>IF(OR(ISBLANK(B5),B5=""),0,VLOOKUP(B5,'Ondal Booms'!B:G,2,FALSE))</f>
        <v>10983.36</v>
      </c>
      <c r="E5" s="35">
        <f>IF(OR(ISBLANK(B5),B5=""),0,VLOOKUP(B5,'Ondal Booms'!B:G,3,FALSE))</f>
        <v>8237.52</v>
      </c>
      <c r="G5" s="48" t="s">
        <v>1036</v>
      </c>
      <c r="H5" s="77">
        <f>COUNTIF(K5:Y14,"(2) Duplexes")*2+COUNTIF(K5:Y14,"(3) Duplexes")*3</f>
        <v>8</v>
      </c>
      <c r="J5" s="67" t="s">
        <v>1037</v>
      </c>
      <c r="K5" s="82" t="s">
        <v>324</v>
      </c>
      <c r="L5" s="56"/>
      <c r="M5" s="57"/>
      <c r="N5" s="58"/>
      <c r="O5" s="59"/>
      <c r="P5" s="57"/>
      <c r="Q5" s="82" t="s">
        <v>312</v>
      </c>
      <c r="S5" s="82" t="s">
        <v>312</v>
      </c>
      <c r="T5" s="59"/>
      <c r="U5" s="57"/>
      <c r="V5" s="58"/>
      <c r="W5" s="59"/>
      <c r="X5" s="57"/>
      <c r="Y5" s="82" t="s">
        <v>337</v>
      </c>
      <c r="Z5" s="40">
        <f>15-COUNTIFS(K5:Y5,"")</f>
        <v>4</v>
      </c>
    </row>
    <row r="6" spans="1:34" ht="17.100000000000001" outlineLevel="1" thickBot="1">
      <c r="A6" s="55" t="s">
        <v>310</v>
      </c>
      <c r="B6" s="7" t="s">
        <v>396</v>
      </c>
      <c r="C6" s="4">
        <f>IF(OR(ISBLANK(B6),B6=""),0,VLOOKUP(B6,'Ondal Booms'!B:G,4,FALSE))</f>
        <v>3484.7250000000004</v>
      </c>
      <c r="D6" s="37">
        <f>IF(OR(ISBLANK(B6),B6=""),0,VLOOKUP(B6,'Ondal Booms'!B:G,2,FALSE))</f>
        <v>1393.8899999999999</v>
      </c>
      <c r="E6" s="35">
        <f>IF(OR(ISBLANK(B6),B6=""),0,VLOOKUP(B6,'Ondal Booms'!B:G,3,FALSE))</f>
        <v>1045.4175</v>
      </c>
      <c r="J6" s="55" t="s">
        <v>1038</v>
      </c>
      <c r="K6" s="33" t="s">
        <v>328</v>
      </c>
      <c r="L6" s="56"/>
      <c r="M6" s="57"/>
      <c r="N6" s="58"/>
      <c r="O6" s="59"/>
      <c r="P6" s="57"/>
      <c r="Q6" s="33"/>
      <c r="S6" s="33"/>
      <c r="T6" s="59"/>
      <c r="U6" s="57"/>
      <c r="V6" s="58"/>
      <c r="W6" s="59"/>
      <c r="X6" s="57"/>
      <c r="Y6" s="33" t="s">
        <v>100</v>
      </c>
      <c r="Z6" s="40">
        <f t="shared" ref="Z6:Z14" si="0">15-COUNTIFS(K6:Y6,"")</f>
        <v>2</v>
      </c>
      <c r="AE6">
        <f>COUNTIF(K7,"(2) Duplexes")+COUNTIF(Y7,"(2) Duplexes")</f>
        <v>0</v>
      </c>
      <c r="AF6">
        <f>COUNTIF(Q7:S7,"(2) Duplexes")</f>
        <v>2</v>
      </c>
      <c r="AG6">
        <f>COUNTIF(K7,"(3) Duplexes")+COUNTIF(Y7,"(3) Duplexes")</f>
        <v>0</v>
      </c>
      <c r="AH6">
        <f>COUNTIF(Q7:S7,"(3) Duplexes")</f>
        <v>0</v>
      </c>
    </row>
    <row r="7" spans="1:34" outlineLevel="1">
      <c r="A7" s="55" t="s">
        <v>354</v>
      </c>
      <c r="B7" s="45" t="s">
        <v>316</v>
      </c>
      <c r="C7" s="4">
        <f>IF(OR(ISBLANK(B7),B7=""),0,VLOOKUP(B7,'Ondal Booms'!B:G,4,FALSE))</f>
        <v>0</v>
      </c>
      <c r="D7" s="37">
        <f>IF(OR(ISBLANK(B7),B7=""),0,VLOOKUP(B7,'Ondal Booms'!B:G,2,FALSE))</f>
        <v>0</v>
      </c>
      <c r="E7" s="35">
        <f>IF(OR(ISBLANK(B7),B7=""),0,VLOOKUP(B7,'Ondal Booms'!B:G,3,FALSE))</f>
        <v>0</v>
      </c>
      <c r="G7" s="79" t="s">
        <v>1039</v>
      </c>
      <c r="H7" s="80" t="s">
        <v>1030</v>
      </c>
      <c r="J7" s="55" t="s">
        <v>1040</v>
      </c>
      <c r="K7" s="33" t="s">
        <v>330</v>
      </c>
      <c r="L7" s="52"/>
      <c r="M7" s="53"/>
      <c r="N7" s="58"/>
      <c r="O7" s="54"/>
      <c r="P7" s="53"/>
      <c r="Q7" s="33" t="s">
        <v>312</v>
      </c>
      <c r="S7" s="33" t="s">
        <v>312</v>
      </c>
      <c r="T7" s="54"/>
      <c r="U7" s="53"/>
      <c r="V7" s="58"/>
      <c r="W7" s="54"/>
      <c r="X7" s="53"/>
      <c r="Y7" s="33" t="s">
        <v>332</v>
      </c>
      <c r="Z7" s="40">
        <f t="shared" si="0"/>
        <v>4</v>
      </c>
    </row>
    <row r="8" spans="1:34" ht="17.100000000000001" outlineLevel="1" thickBot="1">
      <c r="A8" s="55" t="s">
        <v>355</v>
      </c>
      <c r="B8" s="8" t="s">
        <v>319</v>
      </c>
      <c r="C8" s="4">
        <f>IF(OR(ISBLANK(B8),B8=""),0,VLOOKUP(B8,'Ondal Booms'!B:G,4,FALSE))</f>
        <v>0</v>
      </c>
      <c r="D8" s="37">
        <f>IF(OR(ISBLANK(B8),B8=""),0,VLOOKUP(B8,'Ondal Booms'!B:G,2,FALSE))</f>
        <v>0</v>
      </c>
      <c r="E8" s="35">
        <f>IF(OR(ISBLANK(B8),B8=""),0,VLOOKUP(B8,'Ondal Booms'!B:G,3,FALSE))</f>
        <v>0</v>
      </c>
      <c r="G8" s="55" t="s">
        <v>1041</v>
      </c>
      <c r="H8" s="78">
        <f>(COUNTIF(K5:Y14,"Data"))</f>
        <v>1</v>
      </c>
      <c r="J8" s="55" t="s">
        <v>1042</v>
      </c>
      <c r="K8" s="33" t="s">
        <v>336</v>
      </c>
      <c r="L8" s="56"/>
      <c r="M8" s="57"/>
      <c r="N8" s="58"/>
      <c r="O8" s="59"/>
      <c r="P8" s="57"/>
      <c r="Q8" s="33"/>
      <c r="S8" s="33"/>
      <c r="T8" s="59"/>
      <c r="U8" s="57"/>
      <c r="V8" s="58"/>
      <c r="W8" s="59"/>
      <c r="X8" s="57"/>
      <c r="Y8" s="33" t="s">
        <v>332</v>
      </c>
      <c r="Z8" s="40">
        <f t="shared" si="0"/>
        <v>2</v>
      </c>
      <c r="AE8">
        <f>COUNTIF(K9,"(2) Duplexes")+COUNTIF(Y9,"(2) Duplexes")</f>
        <v>0</v>
      </c>
      <c r="AF8">
        <f>COUNTIF(Q9:S9,"(2) Duplexes")</f>
        <v>0</v>
      </c>
      <c r="AG8">
        <f>COUNTIF(K9,"(3) Duplexes")+COUNTIF(Y9,"(3) Duplexes")</f>
        <v>0</v>
      </c>
      <c r="AH8">
        <f>COUNTIF(Q9:S9,"(3) Duplexes")</f>
        <v>0</v>
      </c>
    </row>
    <row r="9" spans="1:34" outlineLevel="1">
      <c r="A9" s="55" t="s">
        <v>356</v>
      </c>
      <c r="B9" s="7" t="s">
        <v>408</v>
      </c>
      <c r="C9" s="4">
        <f>IF(OR(ISBLANK(B9),B9=""),0,VLOOKUP(B9,'Ondal Booms'!B:G,4,FALSE))</f>
        <v>0</v>
      </c>
      <c r="D9" s="37">
        <f>IF(OR(ISBLANK(B9),B9=""),0,VLOOKUP(B9,'Ondal Booms'!B:G,2,FALSE))</f>
        <v>0</v>
      </c>
      <c r="E9" s="35">
        <f>IF(OR(ISBLANK(B9),B9=""),0,VLOOKUP(B9,'Ondal Booms'!B:G,3,FALSE))</f>
        <v>0</v>
      </c>
      <c r="G9" s="64" t="s">
        <v>1043</v>
      </c>
      <c r="H9" s="77">
        <f>(COUNTIF(K5:Y14,"Storz 4in1"))</f>
        <v>1</v>
      </c>
      <c r="J9" s="55" t="s">
        <v>1044</v>
      </c>
      <c r="K9" s="33"/>
      <c r="L9" s="52"/>
      <c r="M9" s="53"/>
      <c r="N9" s="58"/>
      <c r="O9" s="54"/>
      <c r="P9" s="53"/>
      <c r="Q9" s="33"/>
      <c r="S9" s="33"/>
      <c r="T9" s="54"/>
      <c r="U9" s="53"/>
      <c r="V9" s="58"/>
      <c r="W9" s="54"/>
      <c r="X9" s="53"/>
      <c r="Y9" s="33"/>
      <c r="Z9" s="40">
        <f t="shared" si="0"/>
        <v>0</v>
      </c>
    </row>
    <row r="10" spans="1:34" ht="17.100000000000001" outlineLevel="1" thickBot="1">
      <c r="A10" s="55" t="s">
        <v>418</v>
      </c>
      <c r="B10" s="7" t="s">
        <v>419</v>
      </c>
      <c r="C10" s="4">
        <f>IF(OR(ISBLANK(B10),B10=""),0,VLOOKUP(B10,'Ondal Booms'!B:G,4,FALSE))</f>
        <v>0</v>
      </c>
      <c r="D10" s="37">
        <f>IF(OR(ISBLANK(B10),B10=""),0,VLOOKUP(B10,'Ondal Booms'!B:G,2,FALSE))</f>
        <v>0</v>
      </c>
      <c r="E10" s="35">
        <f>IF(OR(ISBLANK(B10),B10=""),0,VLOOKUP(B10,'Ondal Booms'!B:G,3,FALSE))</f>
        <v>0</v>
      </c>
      <c r="J10" s="55" t="s">
        <v>1045</v>
      </c>
      <c r="K10" s="33"/>
      <c r="L10" s="60"/>
      <c r="M10" s="61"/>
      <c r="N10" s="58"/>
      <c r="O10" s="62"/>
      <c r="P10" s="61"/>
      <c r="Q10" s="33"/>
      <c r="S10" s="33"/>
      <c r="T10" s="62"/>
      <c r="U10" s="61"/>
      <c r="V10" s="58"/>
      <c r="W10" s="62"/>
      <c r="X10" s="61"/>
      <c r="Y10" s="33"/>
      <c r="Z10" s="40">
        <f>15-COUNTIFS(K10:Y10,"")</f>
        <v>0</v>
      </c>
      <c r="AE10">
        <f>COUNTIF(K11,"(2) Duplexes")+COUNTIF(Y11,"(2) Duplexes")</f>
        <v>0</v>
      </c>
      <c r="AF10">
        <f>COUNTIF(Q11:S11,"(2) Duplexes")</f>
        <v>0</v>
      </c>
      <c r="AG10">
        <f>COUNTIF(K11,"(3) Duplexes")+COUNTIF(Y11,"(3) Duplexes")</f>
        <v>0</v>
      </c>
      <c r="AH10">
        <f>COUNTIF(Q11:S11,"(3) Duplexes")</f>
        <v>0</v>
      </c>
    </row>
    <row r="11" spans="1:34" outlineLevel="1">
      <c r="A11" s="55" t="s">
        <v>357</v>
      </c>
      <c r="B11" s="7" t="s">
        <v>427</v>
      </c>
      <c r="C11" s="4">
        <f>IF(OR(ISBLANK(B11),B11=""),0,VLOOKUP(B11,'Ondal Booms'!B:G,4,FALSE))</f>
        <v>0</v>
      </c>
      <c r="D11" s="37">
        <f>IF(OR(ISBLANK(B11),B11=""),0,VLOOKUP(B11,'Ondal Booms'!B:G,2,FALSE))</f>
        <v>0</v>
      </c>
      <c r="E11" s="35">
        <f>IF(OR(ISBLANK(B11),B11=""),0,VLOOKUP(B11,'Ondal Booms'!B:G,3,FALSE))</f>
        <v>0</v>
      </c>
      <c r="G11" s="79" t="s">
        <v>1046</v>
      </c>
      <c r="H11" s="80" t="s">
        <v>1030</v>
      </c>
      <c r="J11" s="55" t="s">
        <v>1047</v>
      </c>
      <c r="K11" s="33"/>
      <c r="L11" s="56"/>
      <c r="M11" s="57"/>
      <c r="N11" s="58"/>
      <c r="O11" s="59"/>
      <c r="P11" s="57"/>
      <c r="Q11" s="33"/>
      <c r="S11" s="33"/>
      <c r="T11" s="59"/>
      <c r="U11" s="57"/>
      <c r="V11" s="58"/>
      <c r="W11" s="59"/>
      <c r="X11" s="57"/>
      <c r="Y11" s="33"/>
      <c r="Z11" s="40">
        <f t="shared" si="0"/>
        <v>0</v>
      </c>
    </row>
    <row r="12" spans="1:34" ht="17.100000000000001" outlineLevel="1" thickBot="1">
      <c r="A12" s="49" t="s">
        <v>99</v>
      </c>
      <c r="B12" s="50" t="str">
        <f>IF(OR(H5=0,ISBLANK(H5)),"",H5&amp;" Duplexes")</f>
        <v>8 Duplexes</v>
      </c>
      <c r="C12" s="4">
        <f>IF(OR(ISBLANK(B12),B12=""),0,VLOOKUP(B12,'Ondal Booms'!B:G,4,FALSE))</f>
        <v>1877.6</v>
      </c>
      <c r="D12" s="37">
        <f>IF(OR(ISBLANK(B12),B12=""),0,VLOOKUP(B12,'Ondal Booms'!B:G,2,FALSE))</f>
        <v>751.04</v>
      </c>
      <c r="E12" s="35">
        <f>IF(OR(ISBLANK(B12),B12=""),0,VLOOKUP(B12,'Ondal Booms'!B:G,3,FALSE))</f>
        <v>563.28</v>
      </c>
      <c r="G12" s="55" t="s">
        <v>1048</v>
      </c>
      <c r="H12" s="78">
        <f>(COUNTIF(K5:Y14,"Oxygen"))</f>
        <v>1</v>
      </c>
      <c r="J12" s="55" t="s">
        <v>1049</v>
      </c>
      <c r="K12" s="33"/>
      <c r="L12" s="60"/>
      <c r="M12" s="61"/>
      <c r="N12" s="58"/>
      <c r="O12" s="62"/>
      <c r="P12" s="61"/>
      <c r="Q12" s="33"/>
      <c r="S12" s="33"/>
      <c r="T12" s="62"/>
      <c r="U12" s="61"/>
      <c r="V12" s="58"/>
      <c r="W12" s="62"/>
      <c r="X12" s="61"/>
      <c r="Y12" s="33"/>
      <c r="Z12" s="40">
        <f t="shared" si="0"/>
        <v>0</v>
      </c>
      <c r="AE12">
        <f>COUNTIF(K13,"(2) Duplexes")+COUNTIF(Y13,"(2) Duplexes")</f>
        <v>0</v>
      </c>
      <c r="AF12">
        <f>COUNTIF(Q13:S13,"(2) Duplexes")</f>
        <v>0</v>
      </c>
      <c r="AG12">
        <f>COUNTIF(K13,"(3) Duplexes")+COUNTIF(Y13,"(3) Duplexes")</f>
        <v>0</v>
      </c>
      <c r="AH12">
        <f>COUNTIF(Q13:S13,"(3) Duplexes")</f>
        <v>0</v>
      </c>
    </row>
    <row r="13" spans="1:34" outlineLevel="1">
      <c r="A13" s="49" t="s">
        <v>95</v>
      </c>
      <c r="B13" s="50" t="str">
        <f>IF(OR(SUM(H12:H18)=0,ISBLANK(SUM(H12:H18))),"",SUM(H12:H18)&amp;" Outlets")</f>
        <v>6 Outlets</v>
      </c>
      <c r="C13" s="4">
        <f>IF(OR(ISBLANK(B13),B13=""),0,VLOOKUP(B13,'Ondal Booms'!B:G,4,FALSE))</f>
        <v>4888.0499999999984</v>
      </c>
      <c r="D13" s="37">
        <f>IF(OR(ISBLANK(B13),B13=""),0,VLOOKUP(B13,'Ondal Booms'!B:G,2,FALSE))</f>
        <v>1955.2199999999993</v>
      </c>
      <c r="E13" s="35">
        <f>IF(OR(ISBLANK(B13),B13=""),0,VLOOKUP(B13,'Ondal Booms'!B:G,3,FALSE))</f>
        <v>1466.4149999999995</v>
      </c>
      <c r="G13" s="55" t="s">
        <v>1050</v>
      </c>
      <c r="H13" s="77">
        <f>COUNTIF(K5:Y14,"Medical Air")</f>
        <v>1</v>
      </c>
      <c r="J13" s="55" t="s">
        <v>1051</v>
      </c>
      <c r="K13" s="33"/>
      <c r="L13" s="56"/>
      <c r="M13" s="57"/>
      <c r="N13" s="58"/>
      <c r="O13" s="59"/>
      <c r="P13" s="57"/>
      <c r="Q13" s="33"/>
      <c r="S13" s="33"/>
      <c r="T13" s="59"/>
      <c r="U13" s="57"/>
      <c r="V13" s="58"/>
      <c r="W13" s="59"/>
      <c r="X13" s="57"/>
      <c r="Y13" s="33"/>
      <c r="Z13" s="40">
        <f t="shared" si="0"/>
        <v>0</v>
      </c>
    </row>
    <row r="14" spans="1:34" ht="17.100000000000001" outlineLevel="1" thickBot="1">
      <c r="A14" s="55" t="s">
        <v>1052</v>
      </c>
      <c r="B14" s="45" t="s">
        <v>1093</v>
      </c>
      <c r="C14" s="4">
        <f>IF(OR(ISBLANK(B14),B14=""),0,VLOOKUP(B14,'Ondal Booms'!B:G,4,FALSE))</f>
        <v>0</v>
      </c>
      <c r="D14" s="37">
        <f>IF(OR(ISBLANK(B14),B14=""),0,VLOOKUP(B14,'Ondal Booms'!B:G,2,FALSE))</f>
        <v>0</v>
      </c>
      <c r="E14" s="35">
        <f>IF(OR(ISBLANK(B14),B14=""),0,VLOOKUP(B14,'Ondal Booms'!B:G,3,FALSE))</f>
        <v>0</v>
      </c>
      <c r="G14" s="55" t="s">
        <v>1053</v>
      </c>
      <c r="H14" s="77">
        <f>COUNTIF(K5:Y14,"Nitrous Oxide")</f>
        <v>1</v>
      </c>
      <c r="J14" s="64" t="s">
        <v>1054</v>
      </c>
      <c r="K14" s="33"/>
      <c r="L14" s="60"/>
      <c r="M14" s="61"/>
      <c r="N14" s="63"/>
      <c r="O14" s="62"/>
      <c r="P14" s="61"/>
      <c r="Q14" s="33"/>
      <c r="S14" s="33"/>
      <c r="T14" s="62"/>
      <c r="U14" s="61"/>
      <c r="V14" s="63"/>
      <c r="W14" s="62"/>
      <c r="X14" s="61"/>
      <c r="Y14" s="33"/>
      <c r="Z14" s="40">
        <f t="shared" si="0"/>
        <v>0</v>
      </c>
    </row>
    <row r="15" spans="1:34" outlineLevel="1">
      <c r="A15" s="55" t="s">
        <v>454</v>
      </c>
      <c r="B15" s="45" t="s">
        <v>1094</v>
      </c>
      <c r="C15" s="4">
        <f>IF(OR(ISBLANK(B15),B15=""),0,VLOOKUP(B15,'Ondal Booms'!B:G,4,FALSE))</f>
        <v>0</v>
      </c>
      <c r="D15" s="37">
        <f>IF(OR(ISBLANK(B15),B15=""),0,VLOOKUP(B15,'Ondal Booms'!B:G,2,FALSE))</f>
        <v>0</v>
      </c>
      <c r="E15" s="35">
        <f>IF(OR(ISBLANK(B15),B15=""),0,VLOOKUP(B15,'Ondal Booms'!B:G,3,FALSE))</f>
        <v>0</v>
      </c>
      <c r="G15" s="55" t="s">
        <v>1055</v>
      </c>
      <c r="H15" s="77">
        <f>COUNTIF(K5:Y14,"WAGD")</f>
        <v>1</v>
      </c>
    </row>
    <row r="16" spans="1:34" outlineLevel="1">
      <c r="A16" s="55" t="s">
        <v>455</v>
      </c>
      <c r="B16" s="45" t="s">
        <v>1090</v>
      </c>
      <c r="C16" s="4">
        <f>IF(OR(ISBLANK(B16),B16=""),0,VLOOKUP(B16,'Ondal Booms'!B:G,4,FALSE))</f>
        <v>0</v>
      </c>
      <c r="D16" s="37">
        <f>IF(OR(ISBLANK(B16),B16=""),0,VLOOKUP(B16,'Ondal Booms'!B:G,2,FALSE))</f>
        <v>0</v>
      </c>
      <c r="E16" s="35">
        <f>IF(OR(ISBLANK(B16),B16=""),0,VLOOKUP(B16,'Ondal Booms'!B:G,3,FALSE))</f>
        <v>0</v>
      </c>
      <c r="G16" s="55" t="s">
        <v>1056</v>
      </c>
      <c r="H16" s="77">
        <f>COUNTIF(K5:Y14,"Vacuum")</f>
        <v>2</v>
      </c>
    </row>
    <row r="17" spans="1:34" outlineLevel="1">
      <c r="A17" s="55" t="s">
        <v>1057</v>
      </c>
      <c r="B17" s="45"/>
      <c r="C17" s="4">
        <f>IF(OR(ISBLANK(B17),B17=""),0,VLOOKUP(B17,'Ondal Booms'!B:G,4,FALSE))</f>
        <v>0</v>
      </c>
      <c r="D17" s="37">
        <f>IF(OR(ISBLANK(B17),B17=""),0,VLOOKUP(B17,'Ondal Booms'!B:G,2,FALSE))</f>
        <v>0</v>
      </c>
      <c r="E17" s="35">
        <f>IF(OR(ISBLANK(B17),B17=""),0,VLOOKUP(B17,'Ondal Booms'!B:G,3,FALSE))</f>
        <v>0</v>
      </c>
      <c r="G17" s="55" t="s">
        <v>1058</v>
      </c>
      <c r="H17" s="77">
        <f>COUNTIF(K5:Y14,"Nitrogen")</f>
        <v>0</v>
      </c>
    </row>
    <row r="18" spans="1:34" outlineLevel="1">
      <c r="A18" s="55" t="s">
        <v>1059</v>
      </c>
      <c r="B18" s="45"/>
      <c r="C18" s="4">
        <f>IF(OR(ISBLANK(B18),B18=""),0,VLOOKUP(B18,'Ondal Booms'!B:G,4,FALSE))</f>
        <v>0</v>
      </c>
      <c r="D18" s="37">
        <f>IF(OR(ISBLANK(B18),B18=""),0,VLOOKUP(B18,'Ondal Booms'!B:G,2,FALSE))</f>
        <v>0</v>
      </c>
      <c r="E18" s="35">
        <f>IF(OR(ISBLANK(B18),B18=""),0,VLOOKUP(B18,'Ondal Booms'!B:G,3,FALSE))</f>
        <v>0</v>
      </c>
      <c r="G18" s="64" t="s">
        <v>1060</v>
      </c>
      <c r="H18" s="77">
        <f>COUNTIF(K5:Y14,"Carbon Dioxide")</f>
        <v>0</v>
      </c>
    </row>
    <row r="19" spans="1:34" outlineLevel="1">
      <c r="A19" s="55" t="s">
        <v>1061</v>
      </c>
      <c r="B19" s="45"/>
      <c r="C19" s="4">
        <f>IF(OR(ISBLANK(B19),B19=""),0,VLOOKUP(B19,'Ondal Booms'!B:G,4,FALSE))</f>
        <v>0</v>
      </c>
      <c r="D19" s="37">
        <f>IF(OR(ISBLANK(B19),B19=""),0,VLOOKUP(B19,'Ondal Booms'!B:G,2,FALSE))</f>
        <v>0</v>
      </c>
      <c r="E19" s="35">
        <f>IF(OR(ISBLANK(B19),B19=""),0,VLOOKUP(B19,'Ondal Booms'!B:G,3,FALSE))</f>
        <v>0</v>
      </c>
      <c r="H19" s="36"/>
    </row>
    <row r="20" spans="1:34" outlineLevel="1">
      <c r="A20" s="55" t="s">
        <v>1062</v>
      </c>
      <c r="B20" s="45"/>
      <c r="C20" s="4">
        <f>IF(OR(ISBLANK(B20),B20=""),0,VLOOKUP(B20,'Ondal Booms'!B:G,4,FALSE))</f>
        <v>0</v>
      </c>
      <c r="D20" s="37">
        <f>IF(OR(ISBLANK(B20),B20=""),0,VLOOKUP(B20,'Ondal Booms'!B:G,2,FALSE))</f>
        <v>0</v>
      </c>
      <c r="E20" s="35">
        <f>IF(OR(ISBLANK(B20),B20=""),0,VLOOKUP(B20,'Ondal Booms'!B:G,3,FALSE))</f>
        <v>0</v>
      </c>
    </row>
    <row r="21" spans="1:34" outlineLevel="1">
      <c r="A21" s="55" t="s">
        <v>1063</v>
      </c>
      <c r="B21" s="45"/>
      <c r="C21" s="4">
        <f>IF(OR(ISBLANK(B21),B21=""),0,VLOOKUP(B21,'Ondal Booms'!B:G,4,FALSE))</f>
        <v>0</v>
      </c>
      <c r="D21" s="37">
        <f>IF(OR(ISBLANK(B21),B21=""),0,VLOOKUP(B21,'Ondal Booms'!B:G,2,FALSE))</f>
        <v>0</v>
      </c>
      <c r="E21" s="35">
        <f>IF(OR(ISBLANK(B21),B21=""),0,VLOOKUP(B21,'Ondal Booms'!B:G,3,FALSE))</f>
        <v>0</v>
      </c>
      <c r="G21" s="37"/>
    </row>
    <row r="22" spans="1:34" outlineLevel="1">
      <c r="A22" s="55" t="s">
        <v>1064</v>
      </c>
      <c r="B22" s="45"/>
      <c r="C22" s="4">
        <f>IF(OR(ISBLANK(B22),B22=""),0,VLOOKUP(B22,'Ondal Booms'!B:G,4,FALSE))</f>
        <v>0</v>
      </c>
      <c r="D22" s="37">
        <f>IF(OR(ISBLANK(B22),B22=""),0,VLOOKUP(B22,'Ondal Booms'!B:G,2,FALSE))</f>
        <v>0</v>
      </c>
      <c r="E22" s="35">
        <f>IF(OR(ISBLANK(B22),B22=""),0,VLOOKUP(B22,'Ondal Booms'!B:G,3,FALSE))</f>
        <v>0</v>
      </c>
      <c r="G22" s="37"/>
    </row>
    <row r="23" spans="1:34" outlineLevel="1">
      <c r="A23" s="64" t="s">
        <v>1065</v>
      </c>
      <c r="B23" s="45"/>
      <c r="C23" s="4">
        <f>IF(OR(ISBLANK(B23),B23=""),0,VLOOKUP(B23,'Ondal Booms'!B:G,4,FALSE))</f>
        <v>0</v>
      </c>
      <c r="D23" s="37">
        <f>IF(OR(ISBLANK(B23),B23=""),0,VLOOKUP(B23,'Ondal Booms'!B:G,2,FALSE))</f>
        <v>0</v>
      </c>
      <c r="E23" s="35">
        <f>IF(OR(ISBLANK(B23),B23=""),0,VLOOKUP(B23,'Ondal Booms'!B:G,3,FALSE))</f>
        <v>0</v>
      </c>
    </row>
    <row r="24" spans="1:34" outlineLevel="1">
      <c r="C24" s="4"/>
      <c r="E24" s="37"/>
    </row>
    <row r="25" spans="1:34" outlineLevel="1">
      <c r="A25" s="49" t="s">
        <v>1066</v>
      </c>
      <c r="B25" s="70" t="str">
        <f>IF(OR(ISBLANK(B5),B5=""),"",
IF(OR(AND(B11="200mm Service Head",SUM(Z7:Z14)&gt;0),AND(B11="400mm Service Head",SUM(Z9:Z14)&gt;0),AND(B11="600mm Service Head",SUM(Z11:Z14)&gt;0),AND(B11="800mm Service Head",SUM(Z13:Z14)&gt;0)),"Select Longer Service Head or Remove Services",
IF(AND(RIGHT(B9,2)="XL",RIGHT(B8,2)&lt;&gt;"XL"),"BOTTOM XL ARM REQUIRES TOP XL ARM",
IF(OR(ISBLANK(B6),ISBLANK(B7),ISBLANK(B8),ISBLANK(B9),ISBLANK(B10),ISBLANK(B11),ISBLANK(B15),ISBLANK(B16),ISBLANK(B14)),"Missing Selections for Configuration",
IF(AND(B11="Large Monitor Carrier",B9&lt;&gt;"Spring Articulating"),"Large Monitor Requires Spring Bottom Arm",
IF(OR(AND(RIGHT(B7,2)="XL",RIGHT(B8,2)&lt;&gt;"XL"),AND(RIGHT(B8,2)="XL",RIGHT(B7,2)&lt;&gt;"XL")),"Both Top Arm and Ceiling Flange Must Be XL",
IF(COUNTIF(AE4:AH12,1)&gt;1,"Mismatch Electrical Configuration",
""))))))
)</f>
        <v/>
      </c>
      <c r="C25" s="4"/>
      <c r="D25" s="4"/>
      <c r="E25" s="35"/>
    </row>
    <row r="26" spans="1:34" outlineLevel="1">
      <c r="B26" s="1"/>
      <c r="C26" s="47" t="s">
        <v>1026</v>
      </c>
      <c r="D26" s="47" t="s">
        <v>1027</v>
      </c>
      <c r="E26" s="47" t="s">
        <v>1028</v>
      </c>
      <c r="F26" s="35"/>
      <c r="I26" s="35"/>
    </row>
    <row r="27" spans="1:34" ht="17.100000000000001" thickBot="1">
      <c r="A27" s="69" t="s">
        <v>1068</v>
      </c>
      <c r="B27" s="72">
        <f>IF(OR(B6="",ISBLANK(B6)),"NO CONFIGURATION SELECTED",C27)</f>
        <v>37708.774999999994</v>
      </c>
      <c r="C27" s="65">
        <f>SUM(C5:C23)</f>
        <v>37708.774999999994</v>
      </c>
      <c r="D27" s="65">
        <f>SUM(D5:D23)</f>
        <v>15083.51</v>
      </c>
      <c r="E27" s="65">
        <f>SUM(E5:E23)</f>
        <v>11312.6325</v>
      </c>
      <c r="F27" s="1"/>
      <c r="I27" s="1"/>
      <c r="J27" t="str">
        <f>"&lt;-- EXPAND TO SHOW OPTIONS / SERVICE HEAD"</f>
        <v>&lt;-- EXPAND TO SHOW OPTIONS / SERVICE HEAD</v>
      </c>
      <c r="AC27" s="285"/>
      <c r="AD27" s="285"/>
      <c r="AE27" s="285"/>
      <c r="AF27" s="285"/>
    </row>
    <row r="28" spans="1:34" ht="17.100000000000001" thickTop="1">
      <c r="C28" s="66"/>
      <c r="D28" s="66"/>
      <c r="E28" s="66"/>
      <c r="F28" s="1"/>
      <c r="I28" s="1"/>
      <c r="AE28">
        <f>COUNTIF(K30,"(2) Duplexes")+COUNTIF(Y30,"(2) Duplexes")</f>
        <v>0</v>
      </c>
      <c r="AF28">
        <f>COUNTIF(Q30:S30,"(2) Duplexes")</f>
        <v>0</v>
      </c>
      <c r="AG28">
        <f>COUNTIF(K30,"(3) Duplexes")+COUNTIF(Y30,"(3) Duplexes")</f>
        <v>0</v>
      </c>
      <c r="AH28">
        <f>COUNTIF(Q30:S30,"(3) Duplexes")</f>
        <v>0</v>
      </c>
    </row>
    <row r="29" spans="1:34" ht="18.95">
      <c r="A29" s="46" t="s">
        <v>1069</v>
      </c>
      <c r="B29" s="47" t="s">
        <v>1025</v>
      </c>
      <c r="C29" s="47" t="s">
        <v>1026</v>
      </c>
      <c r="D29" s="47" t="s">
        <v>1027</v>
      </c>
      <c r="E29" s="47" t="s">
        <v>1028</v>
      </c>
      <c r="G29" s="79" t="s">
        <v>1029</v>
      </c>
      <c r="H29" s="80" t="s">
        <v>1030</v>
      </c>
      <c r="J29" s="83" t="s">
        <v>1031</v>
      </c>
      <c r="K29" s="84" t="s">
        <v>1032</v>
      </c>
      <c r="L29" s="282" t="s">
        <v>1033</v>
      </c>
      <c r="M29" s="282"/>
      <c r="N29" s="282"/>
      <c r="O29" s="282"/>
      <c r="P29" s="282"/>
      <c r="Q29" s="80" t="s">
        <v>1032</v>
      </c>
      <c r="R29" s="36"/>
      <c r="S29" s="79" t="s">
        <v>1032</v>
      </c>
      <c r="T29" s="282" t="s">
        <v>1034</v>
      </c>
      <c r="U29" s="282"/>
      <c r="V29" s="282"/>
      <c r="W29" s="282"/>
      <c r="X29" s="282"/>
      <c r="Y29" s="80" t="s">
        <v>1032</v>
      </c>
    </row>
    <row r="30" spans="1:34" hidden="1" outlineLevel="1">
      <c r="A30" s="49" t="s">
        <v>1035</v>
      </c>
      <c r="B30" s="50" t="str">
        <f>IF(OR(ISBLANK(B32),ISBLANK(B33)),"",IF(ISBLANK(B33),0,(VLOOKUP(B33,'Ondal Booms'!B:F,5,FALSE)))&amp;IF(ISBLANK(B32),0,(VLOOKUP(B32,'Ondal Booms'!B:F,5,FALSE))))</f>
        <v/>
      </c>
      <c r="C30" s="4">
        <f>IF(OR(ISBLANK(B30),B30=""),0,VLOOKUP(B30,'Ondal Booms'!B:G,4,FALSE))</f>
        <v>0</v>
      </c>
      <c r="D30" s="37">
        <f>IF(OR(ISBLANK(B30),B30=""),0,VLOOKUP(B30,'Ondal Booms'!B:G,2,FALSE))</f>
        <v>0</v>
      </c>
      <c r="E30" s="35">
        <f>IF(OR(ISBLANK(B30),B30=""),0,VLOOKUP(B30,'Ondal Booms'!B:G,3,FALSE))</f>
        <v>0</v>
      </c>
      <c r="G30" s="48" t="s">
        <v>1036</v>
      </c>
      <c r="H30" s="77">
        <f>COUNTIF(K30:Y39,"(2) Duplexes")*2+COUNTIF(K30:Y39,"(3) Duplexes")*3</f>
        <v>0</v>
      </c>
      <c r="J30" s="51" t="s">
        <v>1037</v>
      </c>
      <c r="K30" s="82"/>
      <c r="L30" s="56"/>
      <c r="M30" s="57"/>
      <c r="N30" s="58"/>
      <c r="O30" s="59"/>
      <c r="P30" s="57"/>
      <c r="Q30" s="82"/>
      <c r="S30" s="82"/>
      <c r="T30" s="59"/>
      <c r="U30" s="57"/>
      <c r="V30" s="58"/>
      <c r="W30" s="59"/>
      <c r="X30" s="57"/>
      <c r="Y30" s="82"/>
      <c r="Z30" s="40">
        <f>15-COUNTIFS(K30:Y30,"")</f>
        <v>0</v>
      </c>
    </row>
    <row r="31" spans="1:34" ht="17.100000000000001" hidden="1" outlineLevel="1" thickBot="1">
      <c r="A31" s="55" t="s">
        <v>354</v>
      </c>
      <c r="B31" s="45"/>
      <c r="C31" s="4">
        <f>IF(OR(ISBLANK(B31),B31=""),0,VLOOKUP(B31,'Ondal Booms'!B:G,4,FALSE))</f>
        <v>0</v>
      </c>
      <c r="D31" s="37">
        <f>IF(OR(ISBLANK(B31),B31=""),0,VLOOKUP(B31,'Ondal Booms'!B:G,2,FALSE))</f>
        <v>0</v>
      </c>
      <c r="E31" s="35">
        <f>IF(OR(ISBLANK(B31),B31=""),0,VLOOKUP(B31,'Ondal Booms'!B:G,3,FALSE))</f>
        <v>0</v>
      </c>
      <c r="G31" s="79" t="s">
        <v>1039</v>
      </c>
      <c r="H31" s="80" t="s">
        <v>1030</v>
      </c>
      <c r="J31" s="51" t="s">
        <v>1038</v>
      </c>
      <c r="K31" s="33"/>
      <c r="L31" s="56"/>
      <c r="M31" s="57"/>
      <c r="N31" s="58"/>
      <c r="O31" s="59"/>
      <c r="P31" s="57"/>
      <c r="Q31" s="33"/>
      <c r="S31" s="33"/>
      <c r="T31" s="59"/>
      <c r="U31" s="57"/>
      <c r="V31" s="58"/>
      <c r="W31" s="59"/>
      <c r="X31" s="57"/>
      <c r="Y31" s="33"/>
      <c r="Z31" s="40">
        <f t="shared" ref="Z31:Z34" si="1">15-COUNTIFS(K31:Y31,"")</f>
        <v>0</v>
      </c>
      <c r="AE31">
        <f>COUNTIF(K32,"(2) Duplexes")+COUNTIF(Y32,"(2) Duplexes")</f>
        <v>0</v>
      </c>
      <c r="AF31">
        <f>COUNTIF(Q32:S32,"(2) Duplexes")</f>
        <v>0</v>
      </c>
      <c r="AG31">
        <f>COUNTIF(K32,"(3) Duplexes")+COUNTIF(Y32,"(3) Duplexes")</f>
        <v>0</v>
      </c>
      <c r="AH31">
        <f>COUNTIF(Q32:S32,"(3) Duplexes")</f>
        <v>0</v>
      </c>
    </row>
    <row r="32" spans="1:34" hidden="1" outlineLevel="1">
      <c r="A32" s="55" t="s">
        <v>355</v>
      </c>
      <c r="B32" s="8"/>
      <c r="C32" s="4">
        <f>IF(OR(ISBLANK(B32),B32=""),0,VLOOKUP(B32,'Ondal Booms'!B:G,4,FALSE))</f>
        <v>0</v>
      </c>
      <c r="D32" s="37">
        <f>IF(OR(ISBLANK(B32),B32=""),0,VLOOKUP(B32,'Ondal Booms'!B:G,2,FALSE))</f>
        <v>0</v>
      </c>
      <c r="E32" s="35">
        <f>IF(OR(ISBLANK(B32),B32=""),0,VLOOKUP(B32,'Ondal Booms'!B:G,3,FALSE))</f>
        <v>0</v>
      </c>
      <c r="G32" s="55" t="s">
        <v>1041</v>
      </c>
      <c r="H32" s="78">
        <f>(COUNTIF(K30:Y39,"Data"))</f>
        <v>0</v>
      </c>
      <c r="J32" s="51" t="s">
        <v>1040</v>
      </c>
      <c r="K32" s="33"/>
      <c r="L32" s="52"/>
      <c r="M32" s="53"/>
      <c r="N32" s="58"/>
      <c r="O32" s="54"/>
      <c r="P32" s="53"/>
      <c r="Q32" s="33"/>
      <c r="S32" s="33"/>
      <c r="T32" s="54"/>
      <c r="U32" s="53"/>
      <c r="V32" s="58"/>
      <c r="W32" s="54"/>
      <c r="X32" s="53"/>
      <c r="Y32" s="33"/>
      <c r="Z32" s="40">
        <f t="shared" si="1"/>
        <v>0</v>
      </c>
    </row>
    <row r="33" spans="1:34" ht="17.100000000000001" hidden="1" outlineLevel="1" thickBot="1">
      <c r="A33" s="55" t="s">
        <v>356</v>
      </c>
      <c r="B33" s="7"/>
      <c r="C33" s="4">
        <f>IF(OR(ISBLANK(B33),B33=""),0,VLOOKUP(B33,'Ondal Booms'!B:G,4,FALSE))</f>
        <v>0</v>
      </c>
      <c r="D33" s="37">
        <f>IF(OR(ISBLANK(B33),B33=""),0,VLOOKUP(B33,'Ondal Booms'!B:G,2,FALSE))</f>
        <v>0</v>
      </c>
      <c r="E33" s="35">
        <f>IF(OR(ISBLANK(B33),B33=""),0,VLOOKUP(B33,'Ondal Booms'!B:G,3,FALSE))</f>
        <v>0</v>
      </c>
      <c r="G33" s="64" t="s">
        <v>1043</v>
      </c>
      <c r="H33" s="77">
        <f>(COUNTIF(K30:Y39,"Storz 4in1"))</f>
        <v>0</v>
      </c>
      <c r="J33" s="51" t="s">
        <v>1042</v>
      </c>
      <c r="K33" s="33"/>
      <c r="L33" s="56"/>
      <c r="M33" s="57"/>
      <c r="N33" s="58"/>
      <c r="O33" s="59"/>
      <c r="P33" s="57"/>
      <c r="Q33" s="33"/>
      <c r="S33" s="33"/>
      <c r="T33" s="59"/>
      <c r="U33" s="57"/>
      <c r="V33" s="58"/>
      <c r="W33" s="59"/>
      <c r="X33" s="57"/>
      <c r="Y33" s="33"/>
      <c r="Z33" s="40">
        <f t="shared" si="1"/>
        <v>0</v>
      </c>
      <c r="AE33">
        <f>COUNTIF(K34,"(2) Duplexes")+COUNTIF(Y34,"(2) Duplexes")</f>
        <v>0</v>
      </c>
      <c r="AF33">
        <f>COUNTIF(Q34:S34,"(2) Duplexes")</f>
        <v>0</v>
      </c>
      <c r="AG33">
        <f>COUNTIF(K34,"(3) Duplexes")+COUNTIF(Y34,"(3) Duplexes")</f>
        <v>0</v>
      </c>
      <c r="AH33">
        <f>COUNTIF(Q34:S34,"(3) Duplexes")</f>
        <v>0</v>
      </c>
    </row>
    <row r="34" spans="1:34" hidden="1" outlineLevel="1">
      <c r="A34" s="55" t="s">
        <v>418</v>
      </c>
      <c r="B34" s="7"/>
      <c r="C34" s="4">
        <f>IF(OR(ISBLANK(B34),B34=""),0,VLOOKUP(B34,'Ondal Booms'!B:G,4,FALSE))</f>
        <v>0</v>
      </c>
      <c r="D34" s="37">
        <f>IF(OR(ISBLANK(B34),B34=""),0,VLOOKUP(B34,'Ondal Booms'!B:G,2,FALSE))</f>
        <v>0</v>
      </c>
      <c r="E34" s="35">
        <f>IF(OR(ISBLANK(B34),B34=""),0,VLOOKUP(B34,'Ondal Booms'!B:G,3,FALSE))</f>
        <v>0</v>
      </c>
      <c r="J34" s="51" t="s">
        <v>1044</v>
      </c>
      <c r="K34" s="33"/>
      <c r="L34" s="52"/>
      <c r="M34" s="53"/>
      <c r="N34" s="58"/>
      <c r="O34" s="54"/>
      <c r="P34" s="53"/>
      <c r="Q34" s="33"/>
      <c r="S34" s="33"/>
      <c r="T34" s="54"/>
      <c r="U34" s="53"/>
      <c r="V34" s="58"/>
      <c r="W34" s="54"/>
      <c r="X34" s="53"/>
      <c r="Y34" s="33"/>
      <c r="Z34" s="40">
        <f t="shared" si="1"/>
        <v>0</v>
      </c>
    </row>
    <row r="35" spans="1:34" ht="17.100000000000001" hidden="1" outlineLevel="1" thickBot="1">
      <c r="A35" s="55" t="s">
        <v>357</v>
      </c>
      <c r="B35" s="7"/>
      <c r="C35" s="4">
        <f>IF(OR(ISBLANK(B35),B35=""),0,VLOOKUP(B35,'Ondal Booms'!B:G,4,FALSE))</f>
        <v>0</v>
      </c>
      <c r="D35" s="37">
        <f>IF(OR(ISBLANK(B35),B35=""),0,VLOOKUP(B35,'Ondal Booms'!B:G,2,FALSE))</f>
        <v>0</v>
      </c>
      <c r="E35" s="35">
        <f>IF(OR(ISBLANK(B35),B35=""),0,VLOOKUP(B35,'Ondal Booms'!B:G,3,FALSE))</f>
        <v>0</v>
      </c>
      <c r="G35" s="79" t="s">
        <v>1046</v>
      </c>
      <c r="H35" s="80" t="s">
        <v>1030</v>
      </c>
      <c r="J35" s="51" t="s">
        <v>1045</v>
      </c>
      <c r="K35" s="33"/>
      <c r="L35" s="60"/>
      <c r="M35" s="61"/>
      <c r="N35" s="58"/>
      <c r="O35" s="62"/>
      <c r="P35" s="61"/>
      <c r="Q35" s="33"/>
      <c r="S35" s="33"/>
      <c r="T35" s="62"/>
      <c r="U35" s="61"/>
      <c r="V35" s="58"/>
      <c r="W35" s="62"/>
      <c r="X35" s="61"/>
      <c r="Y35" s="33"/>
      <c r="Z35" s="40">
        <f>15-COUNTIFS(K35:Y35,"")</f>
        <v>0</v>
      </c>
      <c r="AE35">
        <f>COUNTIF(K36,"(2) Duplexes")+COUNTIF(Y36,"(2) Duplexes")</f>
        <v>0</v>
      </c>
      <c r="AF35">
        <f>COUNTIF(Q36:S36,"(2) Duplexes")</f>
        <v>0</v>
      </c>
      <c r="AG35">
        <f>COUNTIF(K36,"(3) Duplexes")+COUNTIF(Y36,"(3) Duplexes")</f>
        <v>0</v>
      </c>
      <c r="AH35">
        <f>COUNTIF(Q36:S36,"(3) Duplexes")</f>
        <v>0</v>
      </c>
    </row>
    <row r="36" spans="1:34" hidden="1" outlineLevel="1">
      <c r="A36" s="49" t="s">
        <v>99</v>
      </c>
      <c r="B36" s="50" t="str">
        <f>IF(OR(H30=0,ISBLANK(H30)),"",H30&amp;" Duplexes")</f>
        <v/>
      </c>
      <c r="C36" s="4">
        <f>IF(OR(ISBLANK(B36),B36=""),0,VLOOKUP(B36,'Ondal Booms'!B:G,4,FALSE))</f>
        <v>0</v>
      </c>
      <c r="D36" s="37">
        <f>IF(OR(ISBLANK(B36),B36=""),0,VLOOKUP(B36,'Ondal Booms'!B:G,2,FALSE))</f>
        <v>0</v>
      </c>
      <c r="E36" s="35">
        <f>IF(OR(ISBLANK(B36),B36=""),0,VLOOKUP(B36,'Ondal Booms'!B:G,3,FALSE))</f>
        <v>0</v>
      </c>
      <c r="G36" s="55" t="s">
        <v>1048</v>
      </c>
      <c r="H36" s="78">
        <f>(COUNTIF(K30:Y39,"Oxygen"))</f>
        <v>0</v>
      </c>
      <c r="J36" s="51" t="s">
        <v>1047</v>
      </c>
      <c r="K36" s="33"/>
      <c r="L36" s="56"/>
      <c r="M36" s="57"/>
      <c r="N36" s="58"/>
      <c r="O36" s="59"/>
      <c r="P36" s="57"/>
      <c r="Q36" s="33"/>
      <c r="S36" s="33"/>
      <c r="T36" s="59"/>
      <c r="U36" s="57"/>
      <c r="V36" s="58"/>
      <c r="W36" s="59"/>
      <c r="X36" s="57"/>
      <c r="Y36" s="33"/>
      <c r="Z36" s="40">
        <f t="shared" ref="Z36:Z39" si="2">15-COUNTIFS(K36:Y36,"")</f>
        <v>0</v>
      </c>
    </row>
    <row r="37" spans="1:34" ht="17.100000000000001" hidden="1" outlineLevel="1" thickBot="1">
      <c r="A37" s="49" t="s">
        <v>95</v>
      </c>
      <c r="B37" s="50" t="str">
        <f>IF(OR(SUM(H36:H42)=0,ISBLANK(SUM(H36:H42))),"",SUM(H36:H42)&amp;" Outlets")</f>
        <v/>
      </c>
      <c r="C37" s="4">
        <f>IF(OR(ISBLANK(B37),B37=""),0,VLOOKUP(B37,'Ondal Booms'!B:G,4,FALSE))</f>
        <v>0</v>
      </c>
      <c r="D37" s="37">
        <f>IF(OR(ISBLANK(B37),B37=""),0,VLOOKUP(B37,'Ondal Booms'!B:G,2,FALSE))</f>
        <v>0</v>
      </c>
      <c r="E37" s="35">
        <f>IF(OR(ISBLANK(B37),B37=""),0,VLOOKUP(B37,'Ondal Booms'!B:G,3,FALSE))</f>
        <v>0</v>
      </c>
      <c r="G37" s="55" t="s">
        <v>1050</v>
      </c>
      <c r="H37" s="77">
        <f>COUNTIF(K30:Y39,"Medical Air")</f>
        <v>0</v>
      </c>
      <c r="J37" s="51" t="s">
        <v>1049</v>
      </c>
      <c r="K37" s="33"/>
      <c r="L37" s="60"/>
      <c r="M37" s="61"/>
      <c r="N37" s="58"/>
      <c r="O37" s="62"/>
      <c r="P37" s="61"/>
      <c r="Q37" s="33"/>
      <c r="S37" s="33"/>
      <c r="T37" s="62"/>
      <c r="U37" s="61"/>
      <c r="V37" s="58"/>
      <c r="W37" s="62"/>
      <c r="X37" s="61"/>
      <c r="Y37" s="33"/>
      <c r="Z37" s="40">
        <f t="shared" si="2"/>
        <v>0</v>
      </c>
      <c r="AE37">
        <f>COUNTIF(K38,"(2) Duplexes")+COUNTIF(Y38,"(2) Duplexes")</f>
        <v>0</v>
      </c>
      <c r="AF37">
        <f>COUNTIF(Q38:S38,"(2) Duplexes")</f>
        <v>0</v>
      </c>
      <c r="AG37">
        <f>COUNTIF(K38,"(3) Duplexes")+COUNTIF(Y38,"(3) Duplexes")</f>
        <v>0</v>
      </c>
      <c r="AH37">
        <f>COUNTIF(Q38:S38,"(3) Duplexes")</f>
        <v>0</v>
      </c>
    </row>
    <row r="38" spans="1:34" hidden="1" outlineLevel="1">
      <c r="A38" s="55" t="s">
        <v>1052</v>
      </c>
      <c r="B38" s="45"/>
      <c r="C38" s="4">
        <f>IF(OR(ISBLANK(B38),B38=""),0,VLOOKUP(B38,'Ondal Booms'!B:G,4,FALSE))</f>
        <v>0</v>
      </c>
      <c r="D38" s="37">
        <f>IF(OR(ISBLANK(B38),B38=""),0,VLOOKUP(B38,'Ondal Booms'!B:G,2,FALSE))</f>
        <v>0</v>
      </c>
      <c r="E38" s="35">
        <f>IF(OR(ISBLANK(B38),B38=""),0,VLOOKUP(B38,'Ondal Booms'!B:G,3,FALSE))</f>
        <v>0</v>
      </c>
      <c r="G38" s="55" t="s">
        <v>1053</v>
      </c>
      <c r="H38" s="77">
        <f>COUNTIF(K30:Y39,"Nitrous Oxide")</f>
        <v>0</v>
      </c>
      <c r="J38" s="51" t="s">
        <v>1051</v>
      </c>
      <c r="K38" s="33"/>
      <c r="L38" s="56"/>
      <c r="M38" s="57"/>
      <c r="N38" s="58"/>
      <c r="O38" s="59"/>
      <c r="P38" s="57"/>
      <c r="Q38" s="33"/>
      <c r="S38" s="33"/>
      <c r="T38" s="59"/>
      <c r="U38" s="57"/>
      <c r="V38" s="58"/>
      <c r="W38" s="59"/>
      <c r="X38" s="57"/>
      <c r="Y38" s="33"/>
      <c r="Z38" s="40">
        <f t="shared" si="2"/>
        <v>0</v>
      </c>
    </row>
    <row r="39" spans="1:34" ht="17.100000000000001" hidden="1" outlineLevel="1" thickBot="1">
      <c r="A39" s="55" t="s">
        <v>454</v>
      </c>
      <c r="B39" s="45"/>
      <c r="C39" s="4">
        <f>IF(OR(ISBLANK(B39),B39=""),0,VLOOKUP(B39,'Ondal Booms'!B:G,4,FALSE))</f>
        <v>0</v>
      </c>
      <c r="D39" s="37">
        <f>IF(OR(ISBLANK(B39),B39=""),0,VLOOKUP(B39,'Ondal Booms'!B:G,2,FALSE))</f>
        <v>0</v>
      </c>
      <c r="E39" s="35">
        <f>IF(OR(ISBLANK(B39),B39=""),0,VLOOKUP(B39,'Ondal Booms'!B:G,3,FALSE))</f>
        <v>0</v>
      </c>
      <c r="G39" s="55" t="s">
        <v>1055</v>
      </c>
      <c r="H39" s="77">
        <f>COUNTIF(K30:Y39,"WAGD")</f>
        <v>0</v>
      </c>
      <c r="J39" s="51" t="s">
        <v>1054</v>
      </c>
      <c r="K39" s="33"/>
      <c r="L39" s="60"/>
      <c r="M39" s="61"/>
      <c r="N39" s="63"/>
      <c r="O39" s="62"/>
      <c r="P39" s="61"/>
      <c r="Q39" s="33"/>
      <c r="S39" s="33"/>
      <c r="T39" s="62"/>
      <c r="U39" s="61"/>
      <c r="V39" s="63"/>
      <c r="W39" s="62"/>
      <c r="X39" s="61"/>
      <c r="Y39" s="33"/>
      <c r="Z39" s="40">
        <f t="shared" si="2"/>
        <v>0</v>
      </c>
    </row>
    <row r="40" spans="1:34" hidden="1" outlineLevel="1">
      <c r="A40" s="55" t="s">
        <v>455</v>
      </c>
      <c r="B40" s="45"/>
      <c r="C40" s="4">
        <f>IF(OR(ISBLANK(B40),B40=""),0,VLOOKUP(B40,'Ondal Booms'!B:G,4,FALSE))</f>
        <v>0</v>
      </c>
      <c r="D40" s="37">
        <f>IF(OR(ISBLANK(B40),B40=""),0,VLOOKUP(B40,'Ondal Booms'!B:G,2,FALSE))</f>
        <v>0</v>
      </c>
      <c r="E40" s="35">
        <f>IF(OR(ISBLANK(B40),B40=""),0,VLOOKUP(B40,'Ondal Booms'!B:G,3,FALSE))</f>
        <v>0</v>
      </c>
      <c r="G40" s="55" t="s">
        <v>1056</v>
      </c>
      <c r="H40" s="77">
        <f>COUNTIF(K30:Y39,"Vacuum")</f>
        <v>0</v>
      </c>
    </row>
    <row r="41" spans="1:34" hidden="1" outlineLevel="1">
      <c r="A41" s="55" t="s">
        <v>1057</v>
      </c>
      <c r="B41" s="45"/>
      <c r="C41" s="4">
        <f>IF(OR(ISBLANK(B41),B41=""),0,VLOOKUP(B41,'Ondal Booms'!B:G,4,FALSE))</f>
        <v>0</v>
      </c>
      <c r="D41" s="37">
        <f>IF(OR(ISBLANK(B41),B41=""),0,VLOOKUP(B41,'Ondal Booms'!B:G,2,FALSE))</f>
        <v>0</v>
      </c>
      <c r="E41" s="35">
        <f>IF(OR(ISBLANK(B41),B41=""),0,VLOOKUP(B41,'Ondal Booms'!B:G,3,FALSE))</f>
        <v>0</v>
      </c>
      <c r="G41" s="55" t="s">
        <v>1058</v>
      </c>
      <c r="H41" s="77">
        <f>COUNTIF(K30:Y39,"Nitrogen")</f>
        <v>0</v>
      </c>
    </row>
    <row r="42" spans="1:34" hidden="1" outlineLevel="1">
      <c r="A42" s="55" t="s">
        <v>1059</v>
      </c>
      <c r="B42" s="45"/>
      <c r="C42" s="4">
        <f>IF(OR(ISBLANK(B42),B42=""),0,VLOOKUP(B42,'Ondal Booms'!B:G,4,FALSE))</f>
        <v>0</v>
      </c>
      <c r="D42" s="37">
        <f>IF(OR(ISBLANK(B42),B42=""),0,VLOOKUP(B42,'Ondal Booms'!B:G,2,FALSE))</f>
        <v>0</v>
      </c>
      <c r="E42" s="35">
        <f>IF(OR(ISBLANK(B42),B42=""),0,VLOOKUP(B42,'Ondal Booms'!B:G,3,FALSE))</f>
        <v>0</v>
      </c>
      <c r="G42" s="64" t="s">
        <v>1060</v>
      </c>
      <c r="H42" s="77">
        <f>COUNTIF(K30:Y39,"Carbon Dioxide")</f>
        <v>0</v>
      </c>
    </row>
    <row r="43" spans="1:34" hidden="1" outlineLevel="1">
      <c r="A43" s="55" t="s">
        <v>1061</v>
      </c>
      <c r="B43" s="45"/>
      <c r="C43" s="4">
        <f>IF(OR(ISBLANK(B43),B43=""),0,VLOOKUP(B43,'Ondal Booms'!B:G,4,FALSE))</f>
        <v>0</v>
      </c>
      <c r="D43" s="37">
        <f>IF(OR(ISBLANK(B43),B43=""),0,VLOOKUP(B43,'Ondal Booms'!B:G,2,FALSE))</f>
        <v>0</v>
      </c>
      <c r="E43" s="35">
        <f>IF(OR(ISBLANK(B43),B43=""),0,VLOOKUP(B43,'Ondal Booms'!B:G,3,FALSE))</f>
        <v>0</v>
      </c>
      <c r="H43" s="36"/>
    </row>
    <row r="44" spans="1:34" hidden="1" outlineLevel="1">
      <c r="A44" s="55" t="s">
        <v>1062</v>
      </c>
      <c r="B44" s="45"/>
      <c r="C44" s="4">
        <f>IF(OR(ISBLANK(B44),B44=""),0,VLOOKUP(B44,'Ondal Booms'!B:G,4,FALSE))</f>
        <v>0</v>
      </c>
      <c r="D44" s="37">
        <f>IF(OR(ISBLANK(B44),B44=""),0,VLOOKUP(B44,'Ondal Booms'!B:G,2,FALSE))</f>
        <v>0</v>
      </c>
      <c r="E44" s="35">
        <f>IF(OR(ISBLANK(B44),B44=""),0,VLOOKUP(B44,'Ondal Booms'!B:G,3,FALSE))</f>
        <v>0</v>
      </c>
    </row>
    <row r="45" spans="1:34" hidden="1" outlineLevel="1">
      <c r="A45" s="55" t="s">
        <v>1063</v>
      </c>
      <c r="B45" s="45"/>
      <c r="C45" s="4">
        <f>IF(OR(ISBLANK(B45),B45=""),0,VLOOKUP(B45,'Ondal Booms'!B:G,4,FALSE))</f>
        <v>0</v>
      </c>
      <c r="D45" s="37">
        <f>IF(OR(ISBLANK(B45),B45=""),0,VLOOKUP(B45,'Ondal Booms'!B:G,2,FALSE))</f>
        <v>0</v>
      </c>
      <c r="E45" s="35">
        <f>IF(OR(ISBLANK(B45),B45=""),0,VLOOKUP(B45,'Ondal Booms'!B:G,3,FALSE))</f>
        <v>0</v>
      </c>
      <c r="G45" s="37"/>
    </row>
    <row r="46" spans="1:34" hidden="1" outlineLevel="1">
      <c r="A46" s="55" t="s">
        <v>1064</v>
      </c>
      <c r="B46" s="45"/>
      <c r="C46" s="4">
        <f>IF(OR(ISBLANK(B46),B46=""),0,VLOOKUP(B46,'Ondal Booms'!B:G,4,FALSE))</f>
        <v>0</v>
      </c>
      <c r="D46" s="37">
        <f>IF(OR(ISBLANK(B46),B46=""),0,VLOOKUP(B46,'Ondal Booms'!B:G,2,FALSE))</f>
        <v>0</v>
      </c>
      <c r="E46" s="35">
        <f>IF(OR(ISBLANK(B46),B46=""),0,VLOOKUP(B46,'Ondal Booms'!B:G,3,FALSE))</f>
        <v>0</v>
      </c>
      <c r="G46" s="37"/>
    </row>
    <row r="47" spans="1:34" hidden="1" outlineLevel="1">
      <c r="A47" s="64" t="s">
        <v>1065</v>
      </c>
      <c r="B47" s="45"/>
      <c r="C47" s="4">
        <f>IF(OR(ISBLANK(B47),B47=""),0,VLOOKUP(B47,'Ondal Booms'!B:G,4,FALSE))</f>
        <v>0</v>
      </c>
      <c r="D47" s="37">
        <f>IF(OR(ISBLANK(B47),B47=""),0,VLOOKUP(B47,'Ondal Booms'!B:G,2,FALSE))</f>
        <v>0</v>
      </c>
      <c r="E47" s="35">
        <f>IF(OR(ISBLANK(B47),B47=""),0,VLOOKUP(B47,'Ondal Booms'!B:G,3,FALSE))</f>
        <v>0</v>
      </c>
    </row>
    <row r="48" spans="1:34" hidden="1" outlineLevel="1">
      <c r="C48" s="4"/>
      <c r="E48" s="37"/>
    </row>
    <row r="49" spans="1:32" hidden="1" outlineLevel="1">
      <c r="A49" s="49" t="s">
        <v>1066</v>
      </c>
      <c r="B49" s="70" t="str">
        <f>IF(OR(ISBLANK(B30),B30=""),"",
IF(OR(AND(B35="200mm Service Head",SUM(Z32:Z39)&gt;0),AND(B35="400mm Service Head",SUM(Z34:Z39)&gt;0),AND(B35="600mm Service Head",SUM(Z36:Z39)&gt;0),AND(B35="800mm Service Head",SUM(Z38:Z39)&gt;0)),"Select Longer Service Head or Remove Services",
IF(AND(RIGHT(B33,2)="XL",RIGHT(B32,2)&lt;&gt;"XL"),"BOTTOM XL ARM REQUIRES TOP XL ARM",
IF(OR(ISBLANK(#REF!),ISBLANK(B31),ISBLANK(B32),ISBLANK(B33),ISBLANK(B34),ISBLANK(B35),ISBLANK(B39),ISBLANK(B40),ISBLANK(B38)),"Missing Selections for Configuration",
IF(AND(B35="Large Monitor Carrier",B33&lt;&gt;"Spring Articulating"),"Large Monitor Requires Spring Bottom Arm",
IF(OR(AND(RIGHT(B31,2)="XL",RIGHT(B32,2)&lt;&gt;"XL"),AND(RIGHT(B32,2)="XL",RIGHT(B31,2)&lt;&gt;"XL")),"Both Top Arm and Ceiling Flange Must Be XL",
IF(COUNTIF(AE29:AH37,1)&gt;1,"Mismatch Electrical Configuration",
""))))))
)</f>
        <v/>
      </c>
      <c r="C49" s="4"/>
      <c r="D49" s="4"/>
      <c r="E49" s="35"/>
    </row>
    <row r="50" spans="1:32" hidden="1" outlineLevel="1">
      <c r="B50" s="1"/>
      <c r="C50" s="47" t="s">
        <v>1026</v>
      </c>
      <c r="D50" s="47" t="s">
        <v>1027</v>
      </c>
      <c r="E50" s="47" t="s">
        <v>1067</v>
      </c>
      <c r="F50" s="35"/>
      <c r="I50" s="35"/>
    </row>
    <row r="51" spans="1:32" ht="17.100000000000001" collapsed="1" thickBot="1">
      <c r="A51" s="69" t="s">
        <v>1068</v>
      </c>
      <c r="B51" s="72" t="str">
        <f>IF(OR(B30="",ISBLANK(B30)),"NO CONFIGURATION SELECTED",C51)</f>
        <v>NO CONFIGURATION SELECTED</v>
      </c>
      <c r="C51" s="65">
        <f>SUM(C30:C47)</f>
        <v>0</v>
      </c>
      <c r="D51" s="65">
        <f t="shared" ref="D51:E51" si="3">SUM(D30:D47)</f>
        <v>0</v>
      </c>
      <c r="E51" s="65">
        <f t="shared" si="3"/>
        <v>0</v>
      </c>
      <c r="F51" s="1"/>
      <c r="I51" s="1"/>
      <c r="J51" t="str">
        <f>"&lt;-- EXPAND TO SHOW OPTIONS / SERVICE HEAD"</f>
        <v>&lt;-- EXPAND TO SHOW OPTIONS / SERVICE HEAD</v>
      </c>
    </row>
    <row r="52" spans="1:32" ht="17.100000000000001" thickTop="1">
      <c r="AC52" s="285"/>
      <c r="AD52" s="285"/>
      <c r="AE52" s="285"/>
      <c r="AF52" s="285"/>
    </row>
    <row r="53" spans="1:32">
      <c r="A53" s="46" t="s">
        <v>1070</v>
      </c>
      <c r="B53" s="47" t="s">
        <v>1025</v>
      </c>
      <c r="C53" s="47" t="s">
        <v>1026</v>
      </c>
      <c r="D53" s="47" t="s">
        <v>1071</v>
      </c>
      <c r="E53" s="47" t="s">
        <v>1072</v>
      </c>
    </row>
    <row r="54" spans="1:32" outlineLevel="1">
      <c r="A54" s="49" t="s">
        <v>1035</v>
      </c>
      <c r="B54" s="50" t="str">
        <f>IF(AND(ISBLANK(B57),ISBLANK(B58),ISBLANK(B59)),"",
IF(B55="Upgrade Only","UPGRADE",
IF(RIGHT(B57,4)="(3P)","(3P) ","")&amp;
IF(ISBLANK(B57),"",VLOOKUP(B57,'Simeon Lights'!C:H,2,FALSE))&amp;
IF(ISBLANK(B58),""," / "&amp;VLOOKUP(B58,'Simeon Lights'!C:H,2,FALSE))&amp;
IF(ISBLANK(B59),""," / "&amp;VLOOKUP(B59,'Simeon Lights'!C:H,2,FALSE))))</f>
        <v/>
      </c>
      <c r="C54" s="4">
        <f>IF(ISBLANK(B57),0,(VLOOKUP(B54,'Simeon Lights'!C:J,6,FALSE)))</f>
        <v>0</v>
      </c>
      <c r="D54" s="37">
        <f>IF(ISBLANK(B57),0,(VLOOKUP(B54,'Simeon Lights'!C:J,4,FALSE)))</f>
        <v>0</v>
      </c>
      <c r="E54" s="37">
        <f>IF(ISBLANK(B57),0,(VLOOKUP(B54,'Simeon Lights'!C:J,5,FALSE)))</f>
        <v>0</v>
      </c>
      <c r="G54" s="1"/>
      <c r="H54" s="1"/>
    </row>
    <row r="55" spans="1:32" outlineLevel="1">
      <c r="A55" s="55" t="s">
        <v>310</v>
      </c>
      <c r="B55" s="33"/>
      <c r="C55" s="4">
        <f>IF(ISBLANK(B55),0,VLOOKUP(B55,'Simeon Lights'!C:J,6,FALSE))</f>
        <v>0</v>
      </c>
      <c r="D55" s="37">
        <f>IF(ISBLANK(B55),0,VLOOKUP(B55,'Simeon Lights'!C:J,4,FALSE))</f>
        <v>0</v>
      </c>
      <c r="E55" s="37">
        <f>IF(ISBLANK(B55),0,VLOOKUP(B55,'Simeon Lights'!C:J,5,FALSE))</f>
        <v>0</v>
      </c>
    </row>
    <row r="56" spans="1:32" outlineLevel="1">
      <c r="A56" s="55" t="s">
        <v>1073</v>
      </c>
      <c r="B56" s="33"/>
      <c r="C56" s="4">
        <f>IF(ISBLANK(B56),0,VLOOKUP(B56,'Simeon Lights'!C:J,6,FALSE))</f>
        <v>0</v>
      </c>
      <c r="D56" s="37">
        <f>IF(ISBLANK(B56),0,VLOOKUP(B56,'Simeon Lights'!C:J,4,FALSE))</f>
        <v>0</v>
      </c>
      <c r="E56" s="37">
        <f>IF(ISBLANK(B56),0,VLOOKUP(B56,'Simeon Lights'!C:J,5,FALSE))</f>
        <v>0</v>
      </c>
    </row>
    <row r="57" spans="1:32" outlineLevel="1">
      <c r="A57" s="55" t="s">
        <v>1074</v>
      </c>
      <c r="B57" s="33"/>
      <c r="C57" s="4">
        <f>IF(ISBLANK(B57),0,VLOOKUP(B57,'Simeon Lights'!C:J,6,FALSE))</f>
        <v>0</v>
      </c>
      <c r="D57" s="37">
        <f>IF(ISBLANK(B57),0,VLOOKUP(B57,'Simeon Lights'!C:J,4,FALSE))</f>
        <v>0</v>
      </c>
      <c r="E57" s="37">
        <f>IF(ISBLANK(B57),0,VLOOKUP(B57,'Simeon Lights'!C:J,5,FALSE))</f>
        <v>0</v>
      </c>
    </row>
    <row r="58" spans="1:32" outlineLevel="1">
      <c r="A58" s="55" t="s">
        <v>1075</v>
      </c>
      <c r="B58" s="33"/>
      <c r="C58" s="4">
        <f>IF(ISBLANK(B58),0,VLOOKUP(B58,'Simeon Lights'!C:J,6,FALSE))</f>
        <v>0</v>
      </c>
      <c r="D58" s="37">
        <f>IF(ISBLANK(B58),0,VLOOKUP(B58,'Simeon Lights'!C:J,4,FALSE))</f>
        <v>0</v>
      </c>
      <c r="E58" s="37">
        <f>IF(ISBLANK(B58),0,VLOOKUP(B58,'Simeon Lights'!C:J,5,FALSE))</f>
        <v>0</v>
      </c>
    </row>
    <row r="59" spans="1:32" outlineLevel="1">
      <c r="A59" s="55" t="s">
        <v>1077</v>
      </c>
      <c r="B59" s="33"/>
      <c r="C59" s="4">
        <f>IF(ISBLANK(B59),0,VLOOKUP(B59,'Simeon Lights'!C:J,6,FALSE))</f>
        <v>0</v>
      </c>
      <c r="D59" s="37">
        <f>IF(ISBLANK(B59),0,VLOOKUP(B59,'Simeon Lights'!C:J,4,FALSE))</f>
        <v>0</v>
      </c>
      <c r="E59" s="37">
        <f>IF(ISBLANK(B59),0,VLOOKUP(B59,'Simeon Lights'!C:J,5,FALSE))</f>
        <v>0</v>
      </c>
    </row>
    <row r="60" spans="1:32" outlineLevel="1">
      <c r="A60" s="55" t="s">
        <v>589</v>
      </c>
      <c r="B60" s="34"/>
      <c r="C60" s="4">
        <f>IF(ISBLANK(B60),0,VLOOKUP(B60,'Simeon Lights'!C:J,6,FALSE))</f>
        <v>0</v>
      </c>
      <c r="D60" s="37">
        <f>IF(ISBLANK(B60),0,VLOOKUP(B60,'Simeon Lights'!C:J,4,FALSE))</f>
        <v>0</v>
      </c>
      <c r="E60" s="37">
        <f>IF(ISBLANK(B60),0,VLOOKUP(B60,'Simeon Lights'!C:J,5,FALSE))</f>
        <v>0</v>
      </c>
    </row>
    <row r="61" spans="1:32" outlineLevel="1">
      <c r="A61" s="55" t="s">
        <v>1078</v>
      </c>
      <c r="B61" s="34"/>
      <c r="C61" s="4">
        <f>IF(ISBLANK(B61),0,VLOOKUP(B61,'Simeon Lights'!C:J,6,FALSE))</f>
        <v>0</v>
      </c>
      <c r="D61" s="37">
        <f>IF(ISBLANK(B61),0,VLOOKUP(B61,'Simeon Lights'!C:J,4,FALSE))</f>
        <v>0</v>
      </c>
      <c r="E61" s="37">
        <f>IF(ISBLANK(B61),0,VLOOKUP(B61,'Simeon Lights'!C:J,5,FALSE))</f>
        <v>0</v>
      </c>
    </row>
    <row r="62" spans="1:32" outlineLevel="1">
      <c r="A62" s="55" t="s">
        <v>615</v>
      </c>
      <c r="B62" s="34"/>
      <c r="C62" s="4">
        <f>IF(ISBLANK(B62),0,VLOOKUP(B62,'Simeon Lights'!C:J,6,FALSE))</f>
        <v>0</v>
      </c>
      <c r="D62" s="37">
        <f>IF(ISBLANK(B62),0,VLOOKUP(B62,'Simeon Lights'!C:J,4,FALSE))</f>
        <v>0</v>
      </c>
      <c r="E62" s="37">
        <f>IF(ISBLANK(B62),0,VLOOKUP(B62,'Simeon Lights'!C:J,5,FALSE))</f>
        <v>0</v>
      </c>
    </row>
    <row r="63" spans="1:32" outlineLevel="1">
      <c r="A63" s="64" t="s">
        <v>1079</v>
      </c>
      <c r="B63" s="34"/>
      <c r="C63" s="4">
        <f>IF(ISBLANK(B63),0,VLOOKUP(B63,'Simeon Lights'!C:J,6,FALSE))</f>
        <v>0</v>
      </c>
      <c r="D63" s="37">
        <f>IF(ISBLANK(B63),0,VLOOKUP(B63,'Simeon Lights'!C:J,4,FALSE))</f>
        <v>0</v>
      </c>
      <c r="E63" s="37">
        <f>IF(ISBLANK(B63),0,VLOOKUP(B63,'Simeon Lights'!C:J,5,FALSE))</f>
        <v>0</v>
      </c>
    </row>
    <row r="64" spans="1:32" outlineLevel="1">
      <c r="C64" s="4"/>
      <c r="D64" s="4"/>
      <c r="E64" s="44"/>
    </row>
    <row r="65" spans="1:10" outlineLevel="1">
      <c r="A65" s="49" t="s">
        <v>1066</v>
      </c>
      <c r="B65" s="70" t="str">
        <f xml:space="preserve">
IF(AND(ISBLANK(B57),ISBLANK(B58),ISBLANK(B59)),"",
IF(AND(ISBLANK(B57),B58&lt;&gt;""),"ARM 1 MISSING",
IF(AND(ISBLANK(B57),B59&lt;&gt;""),"ARM 1 MISSING",
IF(ISBLANK(B58)&amp;ISBLANK(B59)="TRUEFALSE","ARM 2 MISSING",
IF(AND(B57&lt;&gt;"",B58="32in Flat Panel",B59&lt;&gt;""),"FP CANNOT BE MIDDLE ARM",
IF(OR(ISBLANK(B55),ISBLANK(B56),ISBLANK(B60),ISBLANK(B61),ISBLANK(B62),ISBLANK(B63)),"Missing Selections",""))))))</f>
        <v/>
      </c>
      <c r="C65" s="4"/>
      <c r="D65" s="4"/>
      <c r="E65" s="35"/>
    </row>
    <row r="66" spans="1:10" outlineLevel="1">
      <c r="B66" s="71"/>
      <c r="C66" s="47" t="s">
        <v>1026</v>
      </c>
      <c r="D66" s="47" t="s">
        <v>1071</v>
      </c>
      <c r="E66" s="47" t="s">
        <v>1072</v>
      </c>
      <c r="F66" s="1"/>
      <c r="I66" s="1"/>
    </row>
    <row r="67" spans="1:10" ht="17.100000000000001" thickBot="1">
      <c r="A67" s="69" t="s">
        <v>1068</v>
      </c>
      <c r="B67" s="72" t="str">
        <f>IF(OR(ISBLANK(B57),ISBLANK(B58)&amp;ISBLANK(B59)="TRUEFALSE"),"NO CONFIGURATION SELECTED",IF(B65&lt;&gt;"","ERROR IN CONFIGURATION",IF(B57="",0,SUM(C54:C63))))</f>
        <v>NO CONFIGURATION SELECTED</v>
      </c>
      <c r="C67" s="65">
        <f>SUM(C54:C65)</f>
        <v>0</v>
      </c>
      <c r="D67" s="65">
        <f t="shared" ref="D67:E67" si="4">SUM(D54:D65)</f>
        <v>0</v>
      </c>
      <c r="E67" s="65">
        <f t="shared" si="4"/>
        <v>0</v>
      </c>
      <c r="J67" t="str">
        <f>"&lt;-- EXPAND TO SHOW OPTIONS"</f>
        <v>&lt;-- EXPAND TO SHOW OPTIONS</v>
      </c>
    </row>
    <row r="68" spans="1:10" ht="17.100000000000001" thickTop="1">
      <c r="E68" s="1"/>
    </row>
    <row r="69" spans="1:10">
      <c r="A69" s="46"/>
      <c r="B69" s="47" t="s">
        <v>1080</v>
      </c>
      <c r="E69" s="47" t="s">
        <v>1085</v>
      </c>
    </row>
    <row r="70" spans="1:10" ht="17.100000000000001" thickBot="1">
      <c r="A70" s="69" t="s">
        <v>1082</v>
      </c>
      <c r="B70" s="72">
        <f>IF(OR(B27="Error in Configuration",B27="No Configuration Selected"),0,B27)+IF(OR(B51="Error in Configuration",B51="No Configuration Selected"),0,B51)+IF(OR(B67="Error in Configuration",B67="No Configuration Selected"),0,B67)</f>
        <v>37708.774999999994</v>
      </c>
      <c r="E70" s="65">
        <f>SUM(E67+E51+E27)</f>
        <v>11312.6325</v>
      </c>
      <c r="G70" s="1"/>
      <c r="H70" s="1"/>
    </row>
    <row r="71" spans="1:10" ht="17.100000000000001" thickTop="1">
      <c r="E71" s="37"/>
    </row>
  </sheetData>
  <sheetProtection sheet="1" formatColumns="0" formatRows="0" selectLockedCells="1"/>
  <mergeCells count="6">
    <mergeCell ref="AC52:AF52"/>
    <mergeCell ref="L4:P4"/>
    <mergeCell ref="T4:X4"/>
    <mergeCell ref="L29:P29"/>
    <mergeCell ref="T29:X29"/>
    <mergeCell ref="AC27:AF27"/>
  </mergeCells>
  <conditionalFormatting sqref="B25">
    <cfRule type="expression" dxfId="20" priority="2">
      <formula>$B$25&lt;&gt;""</formula>
    </cfRule>
  </conditionalFormatting>
  <conditionalFormatting sqref="B49">
    <cfRule type="expression" dxfId="19" priority="1">
      <formula>$B$25&lt;&gt;""</formula>
    </cfRule>
  </conditionalFormatting>
  <conditionalFormatting sqref="B65">
    <cfRule type="expression" dxfId="18" priority="3" stopIfTrue="1">
      <formula>$B$65&lt;&gt;""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 xr:uid="{526D0985-C13B-B048-A9F7-79E91BB8E370}">
          <x14:formula1>
            <xm:f>'BnL Drop Downs'!$A$2:$A$11</xm:f>
          </x14:formula1>
          <xm:sqref>R5:R16 R30:R41</xm:sqref>
        </x14:dataValidation>
        <x14:dataValidation type="list" allowBlank="1" showInputMessage="1" showErrorMessage="1" xr:uid="{8A28EB04-BE54-C945-9FA0-3E544E58CFC0}">
          <x14:formula1>
            <xm:f>'BnL Drop Downs'!$A$2:$A$14</xm:f>
          </x14:formula1>
          <xm:sqref>K5:K16 Q5:Q16 S5:S16 Y5:Y16 K30:K41 Q30:Q41 S30:S41 Y30:Y41</xm:sqref>
        </x14:dataValidation>
        <x14:dataValidation type="list" allowBlank="1" showInputMessage="1" showErrorMessage="1" xr:uid="{C91C196F-F22F-C045-B8D2-AC65BD6A6088}">
          <x14:formula1>
            <xm:f>'Ondal Booms'!$B$77:$B$87</xm:f>
          </x14:formula1>
          <xm:sqref>B9 B33</xm:sqref>
        </x14:dataValidation>
        <x14:dataValidation type="list" allowBlank="1" showInputMessage="1" showErrorMessage="1" xr:uid="{E4AAC858-3A2A-C244-9ED6-06CB6ED5E708}">
          <x14:formula1>
            <xm:f>'Ondal Booms'!$B$64:$B$74</xm:f>
          </x14:formula1>
          <xm:sqref>B8 B32</xm:sqref>
        </x14:dataValidation>
        <x14:dataValidation type="list" allowBlank="1" showInputMessage="1" showErrorMessage="1" xr:uid="{54F1135A-3F36-F842-865F-893FFF519283}">
          <x14:formula1>
            <xm:f>'Ondal Booms'!$B$55:$B$61</xm:f>
          </x14:formula1>
          <xm:sqref>B7 B31</xm:sqref>
        </x14:dataValidation>
        <x14:dataValidation type="list" allowBlank="1" showInputMessage="1" showErrorMessage="1" xr:uid="{76C0A636-C670-6143-9309-2B7C56CC9D14}">
          <x14:formula1>
            <xm:f>'Ondal Booms'!$B$152:$B$157</xm:f>
          </x14:formula1>
          <xm:sqref>B16 B40</xm:sqref>
        </x14:dataValidation>
        <x14:dataValidation type="list" allowBlank="1" showInputMessage="1" showErrorMessage="1" xr:uid="{AB055BD1-F3F9-5D4B-A06D-4B3A6C198015}">
          <x14:formula1>
            <xm:f>'Simeon Lights'!$C$86:$C$93</xm:f>
          </x14:formula1>
          <xm:sqref>B63</xm:sqref>
        </x14:dataValidation>
        <x14:dataValidation type="list" allowBlank="1" showInputMessage="1" showErrorMessage="1" xr:uid="{20EB6BEF-9B3A-4E46-8857-96806696D2F1}">
          <x14:formula1>
            <xm:f>'Simeon Lights'!$C$74:$C$76</xm:f>
          </x14:formula1>
          <xm:sqref>B61</xm:sqref>
        </x14:dataValidation>
        <x14:dataValidation type="list" allowBlank="1" showInputMessage="1" showErrorMessage="1" xr:uid="{FC8542F4-F3A6-2349-9C51-22369E54A1A2}">
          <x14:formula1>
            <xm:f>'Simeon Lights'!$C$62:$C$71</xm:f>
          </x14:formula1>
          <xm:sqref>B60</xm:sqref>
        </x14:dataValidation>
        <x14:dataValidation type="list" allowBlank="1" showInputMessage="1" showErrorMessage="1" xr:uid="{0B4DA58E-BA81-024A-A498-F821CB711E84}">
          <x14:formula1>
            <xm:f>'Simeon Lights'!$C$79:$C$83</xm:f>
          </x14:formula1>
          <xm:sqref>B62</xm:sqref>
        </x14:dataValidation>
        <x14:dataValidation type="list" allowBlank="1" showInputMessage="1" showErrorMessage="1" xr:uid="{CE768CBC-BEA8-5D4E-A0DF-8C65B3EFC6F7}">
          <x14:formula1>
            <xm:f>'Ondal Booms'!$B$48:$B$51</xm:f>
          </x14:formula1>
          <xm:sqref>B6</xm:sqref>
        </x14:dataValidation>
        <x14:dataValidation type="list" allowBlank="1" showInputMessage="1" showErrorMessage="1" xr:uid="{3931CFCE-E67E-B949-B917-2E8FD16F66F0}">
          <x14:formula1>
            <xm:f>'Ondal Booms'!$B$100:$B$106</xm:f>
          </x14:formula1>
          <xm:sqref>B11 B35</xm:sqref>
        </x14:dataValidation>
        <x14:dataValidation type="list" allowBlank="1" showInputMessage="1" showErrorMessage="1" xr:uid="{7ABC3D63-A32F-C54C-88A5-E04C4E3B0066}">
          <x14:formula1>
            <xm:f>'Ondal Booms'!$B$90:$B$96</xm:f>
          </x14:formula1>
          <xm:sqref>B10 B34</xm:sqref>
        </x14:dataValidation>
        <x14:dataValidation type="list" allowBlank="1" showInputMessage="1" showErrorMessage="1" xr:uid="{A6BADE04-E14A-584A-99BF-B4BA3D278203}">
          <x14:formula1>
            <xm:f>'Ondal Booms'!$B$3:$B$10</xm:f>
          </x14:formula1>
          <xm:sqref>B6:B9 B31:B33</xm:sqref>
        </x14:dataValidation>
        <x14:dataValidation type="list" allowBlank="1" showDropDown="1" showInputMessage="1" showErrorMessage="1" xr:uid="{216060E4-2B06-CA4B-BF11-B50DC35882B7}">
          <x14:formula1>
            <xm:f>'Ondal Booms'!$B$3:$B$10</xm:f>
          </x14:formula1>
          <xm:sqref>B5:B7 B30:B31</xm:sqref>
        </x14:dataValidation>
        <x14:dataValidation type="list" allowBlank="1" showInputMessage="1" showErrorMessage="1" xr:uid="{DC9CF568-134F-B24D-BDFA-97699277406A}">
          <x14:formula1>
            <xm:f>'Ondal Booms'!$B$169:$B$181</xm:f>
          </x14:formula1>
          <xm:sqref>B17:B23 B41:B47</xm:sqref>
        </x14:dataValidation>
        <x14:dataValidation type="list" allowBlank="1" showInputMessage="1" showErrorMessage="1" xr:uid="{FA89E58A-2CCB-914A-8EA4-224E9D15525C}">
          <x14:formula1>
            <xm:f>'Ondal Booms'!$B$145:$B$150</xm:f>
          </x14:formula1>
          <xm:sqref>B15 B39</xm:sqref>
        </x14:dataValidation>
        <x14:dataValidation type="list" allowBlank="1" showInputMessage="1" showErrorMessage="1" xr:uid="{B6104602-0E25-2E44-9FA0-4BD829CFF63B}">
          <x14:formula1>
            <xm:f>'Ondal Booms'!#REF!</xm:f>
          </x14:formula1>
          <xm:sqref>B15:B16 B39:B40</xm:sqref>
        </x14:dataValidation>
        <x14:dataValidation type="list" allowBlank="1" showInputMessage="1" showErrorMessage="1" xr:uid="{9D692D7F-9187-EB4B-B01D-D1E8F1275842}">
          <x14:formula1>
            <xm:f>'Ondal Booms'!$B$159:$B$166</xm:f>
          </x14:formula1>
          <xm:sqref>B14 B38</xm:sqref>
        </x14:dataValidation>
        <x14:dataValidation type="list" allowBlank="1" showInputMessage="1" showErrorMessage="1" xr:uid="{670DC29B-067F-8841-8829-6EAB6BA34D95}">
          <x14:formula1>
            <xm:f>'Simeon Lights'!$C$49:$C$59</xm:f>
          </x14:formula1>
          <xm:sqref>B56</xm:sqref>
        </x14:dataValidation>
        <x14:dataValidation type="list" allowBlank="1" showInputMessage="1" showErrorMessage="1" xr:uid="{D3C75806-B8CF-8341-A014-9EAFF67E363B}">
          <x14:formula1>
            <xm:f>'Simeon Lights'!$C$103:$C$108</xm:f>
          </x14:formula1>
          <xm:sqref>B55</xm:sqref>
        </x14:dataValidation>
        <x14:dataValidation type="list" allowBlank="1" showInputMessage="1" showErrorMessage="1" xr:uid="{2A87AB1C-6FD6-5544-ACB3-BDD66C0A339B}">
          <x14:formula1>
            <xm:f>'Simeon Lights'!$C$27:$C$45</xm:f>
          </x14:formula1>
          <xm:sqref>B57:B59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7A709-0F97-7F4C-B1F9-57F854EF81F6}">
  <dimension ref="A1:AH71"/>
  <sheetViews>
    <sheetView zoomScale="161" zoomScaleNormal="100" workbookViewId="0">
      <selection activeCell="Y30" sqref="Y30:Y35"/>
    </sheetView>
  </sheetViews>
  <sheetFormatPr defaultColWidth="11" defaultRowHeight="15.95" outlineLevelRow="1" outlineLevelCol="1"/>
  <cols>
    <col min="1" max="1" width="27.875" customWidth="1"/>
    <col min="2" max="2" width="43" customWidth="1"/>
    <col min="3" max="5" width="17.625" customWidth="1" outlineLevel="1"/>
    <col min="6" max="6" width="2.375" customWidth="1"/>
    <col min="7" max="7" width="18.375" hidden="1" customWidth="1" outlineLevel="1"/>
    <col min="8" max="8" width="8.375" hidden="1" customWidth="1" outlineLevel="1"/>
    <col min="9" max="9" width="2.375" customWidth="1" collapsed="1"/>
    <col min="10" max="10" width="7" bestFit="1" customWidth="1"/>
    <col min="11" max="11" width="14" customWidth="1"/>
    <col min="12" max="13" width="3.375" customWidth="1"/>
    <col min="14" max="14" width="16.5" customWidth="1"/>
    <col min="15" max="16" width="3.375" customWidth="1"/>
    <col min="17" max="17" width="13.375" customWidth="1"/>
    <col min="18" max="18" width="3" customWidth="1"/>
    <col min="19" max="19" width="13" customWidth="1"/>
    <col min="20" max="21" width="3.375" customWidth="1"/>
    <col min="22" max="22" width="16.375" customWidth="1"/>
    <col min="23" max="24" width="3.375" customWidth="1"/>
    <col min="25" max="25" width="13.375" customWidth="1"/>
    <col min="26" max="26" width="13.375" style="40" customWidth="1"/>
    <col min="27" max="29" width="13.375" customWidth="1"/>
    <col min="30" max="30" width="13" customWidth="1"/>
    <col min="31" max="31" width="3.5" hidden="1" customWidth="1"/>
    <col min="32" max="33" width="4.375" hidden="1" customWidth="1"/>
    <col min="34" max="34" width="4.5" hidden="1" customWidth="1"/>
  </cols>
  <sheetData>
    <row r="1" spans="1:34">
      <c r="A1" s="46" t="s">
        <v>1095</v>
      </c>
      <c r="B1" s="47" t="s">
        <v>1022</v>
      </c>
    </row>
    <row r="2" spans="1:34">
      <c r="A2" s="48" t="s">
        <v>163</v>
      </c>
      <c r="B2" s="33"/>
    </row>
    <row r="3" spans="1:34">
      <c r="E3" s="37"/>
    </row>
    <row r="4" spans="1:34" ht="18.95">
      <c r="A4" s="46" t="s">
        <v>1024</v>
      </c>
      <c r="B4" s="47" t="s">
        <v>1025</v>
      </c>
      <c r="C4" s="47" t="s">
        <v>1026</v>
      </c>
      <c r="D4" s="47" t="s">
        <v>1027</v>
      </c>
      <c r="E4" s="47" t="s">
        <v>1028</v>
      </c>
      <c r="G4" s="79" t="s">
        <v>1029</v>
      </c>
      <c r="H4" s="80" t="s">
        <v>1030</v>
      </c>
      <c r="J4" s="83" t="s">
        <v>1031</v>
      </c>
      <c r="K4" s="84" t="s">
        <v>1032</v>
      </c>
      <c r="L4" s="282" t="s">
        <v>1033</v>
      </c>
      <c r="M4" s="282"/>
      <c r="N4" s="282"/>
      <c r="O4" s="282"/>
      <c r="P4" s="282"/>
      <c r="Q4" s="80" t="s">
        <v>1032</v>
      </c>
      <c r="R4" s="36"/>
      <c r="S4" s="79" t="s">
        <v>1032</v>
      </c>
      <c r="T4" s="282" t="s">
        <v>1034</v>
      </c>
      <c r="U4" s="282"/>
      <c r="V4" s="282"/>
      <c r="W4" s="282"/>
      <c r="X4" s="282"/>
      <c r="Y4" s="80" t="s">
        <v>1032</v>
      </c>
      <c r="AE4">
        <f>COUNTIF(K5,"(2) Duplexes")+COUNTIF(Y5,"(2) Duplexes")</f>
        <v>0</v>
      </c>
      <c r="AF4">
        <f>COUNTIF(Q5:S5,"(2) Duplexes")</f>
        <v>0</v>
      </c>
      <c r="AG4">
        <f>COUNTIF(K5,"(3) Duplexes")+COUNTIF(Y5,"(3) Duplexes")</f>
        <v>0</v>
      </c>
      <c r="AH4">
        <f>COUNTIF(Q5:S5,"(3) Duplexes")</f>
        <v>0</v>
      </c>
    </row>
    <row r="5" spans="1:34" hidden="1" outlineLevel="1">
      <c r="A5" s="49" t="s">
        <v>1035</v>
      </c>
      <c r="B5" s="50" t="str">
        <f>IF(OR(ISBLANK(B8),ISBLANK(B9)),"",IF(ISBLANK(B9),0,(VLOOKUP(B9,'Ondal Booms'!B:F,5,FALSE)))&amp;IF(ISBLANK(B8),0,(VLOOKUP(B8,'Ondal Booms'!B:F,5,FALSE))))</f>
        <v/>
      </c>
      <c r="C5" s="4">
        <f>IF(OR(ISBLANK(B5),B5=""),0,VLOOKUP(B5,'Ondal Booms'!B:G,4,FALSE))</f>
        <v>0</v>
      </c>
      <c r="D5" s="37">
        <f>IF(OR(ISBLANK(B5),B5=""),0,VLOOKUP(B5,'Ondal Booms'!B:G,2,FALSE))</f>
        <v>0</v>
      </c>
      <c r="E5" s="35">
        <f>IF(OR(ISBLANK(B5),B5=""),0,VLOOKUP(B5,'Ondal Booms'!B:G,3,FALSE))</f>
        <v>0</v>
      </c>
      <c r="G5" s="48" t="s">
        <v>1036</v>
      </c>
      <c r="H5" s="77">
        <f>COUNTIF(K5:Y14,"(2) Duplexes")*2+COUNTIF(K5:Y14,"(3) Duplexes")*3</f>
        <v>0</v>
      </c>
      <c r="J5" s="67" t="s">
        <v>1037</v>
      </c>
      <c r="K5" s="82"/>
      <c r="L5" s="56"/>
      <c r="M5" s="57"/>
      <c r="N5" s="58"/>
      <c r="O5" s="59"/>
      <c r="P5" s="57"/>
      <c r="Q5" s="82"/>
      <c r="S5" s="82"/>
      <c r="T5" s="59"/>
      <c r="U5" s="57"/>
      <c r="V5" s="58"/>
      <c r="W5" s="59"/>
      <c r="X5" s="57"/>
      <c r="Y5" s="82"/>
      <c r="Z5" s="40">
        <f>15-COUNTIFS(K5:Y5,"")</f>
        <v>0</v>
      </c>
    </row>
    <row r="6" spans="1:34" ht="17.100000000000001" hidden="1" outlineLevel="1" thickBot="1">
      <c r="A6" s="55" t="s">
        <v>310</v>
      </c>
      <c r="B6" s="7"/>
      <c r="C6" s="4">
        <f>IF(OR(ISBLANK(B6),B6=""),0,VLOOKUP(B6,'Ondal Booms'!B:G,4,FALSE))</f>
        <v>0</v>
      </c>
      <c r="D6" s="37">
        <f>IF(OR(ISBLANK(B6),B6=""),0,VLOOKUP(B6,'Ondal Booms'!B:G,2,FALSE))</f>
        <v>0</v>
      </c>
      <c r="E6" s="35">
        <f>IF(OR(ISBLANK(B6),B6=""),0,VLOOKUP(B6,'Ondal Booms'!B:G,3,FALSE))</f>
        <v>0</v>
      </c>
      <c r="J6" s="55" t="s">
        <v>1038</v>
      </c>
      <c r="K6" s="33"/>
      <c r="L6" s="56"/>
      <c r="M6" s="57"/>
      <c r="N6" s="58"/>
      <c r="O6" s="59"/>
      <c r="P6" s="57"/>
      <c r="Q6" s="33"/>
      <c r="S6" s="33"/>
      <c r="T6" s="59"/>
      <c r="U6" s="57"/>
      <c r="V6" s="58"/>
      <c r="W6" s="59"/>
      <c r="X6" s="57"/>
      <c r="Y6" s="33"/>
      <c r="Z6" s="40">
        <f t="shared" ref="Z6:Z14" si="0">15-COUNTIFS(K6:Y6,"")</f>
        <v>0</v>
      </c>
      <c r="AE6">
        <f>COUNTIF(K7,"(2) Duplexes")+COUNTIF(Y7,"(2) Duplexes")</f>
        <v>0</v>
      </c>
      <c r="AF6">
        <f>COUNTIF(Q7:S7,"(2) Duplexes")</f>
        <v>0</v>
      </c>
      <c r="AG6">
        <f>COUNTIF(K7,"(3) Duplexes")+COUNTIF(Y7,"(3) Duplexes")</f>
        <v>0</v>
      </c>
      <c r="AH6">
        <f>COUNTIF(Q7:S7,"(3) Duplexes")</f>
        <v>0</v>
      </c>
    </row>
    <row r="7" spans="1:34" hidden="1" outlineLevel="1">
      <c r="A7" s="55" t="s">
        <v>354</v>
      </c>
      <c r="B7" s="45"/>
      <c r="C7" s="4">
        <f>IF(OR(ISBLANK(B7),B7=""),0,VLOOKUP(B7,'Ondal Booms'!B:G,4,FALSE))</f>
        <v>0</v>
      </c>
      <c r="D7" s="37">
        <f>IF(OR(ISBLANK(B7),B7=""),0,VLOOKUP(B7,'Ondal Booms'!B:G,2,FALSE))</f>
        <v>0</v>
      </c>
      <c r="E7" s="35">
        <f>IF(OR(ISBLANK(B7),B7=""),0,VLOOKUP(B7,'Ondal Booms'!B:G,3,FALSE))</f>
        <v>0</v>
      </c>
      <c r="G7" s="79" t="s">
        <v>1039</v>
      </c>
      <c r="H7" s="80" t="s">
        <v>1030</v>
      </c>
      <c r="J7" s="55" t="s">
        <v>1040</v>
      </c>
      <c r="K7" s="33"/>
      <c r="L7" s="52"/>
      <c r="M7" s="53"/>
      <c r="N7" s="58"/>
      <c r="O7" s="54"/>
      <c r="P7" s="53"/>
      <c r="Q7" s="33"/>
      <c r="S7" s="33"/>
      <c r="T7" s="54"/>
      <c r="U7" s="53"/>
      <c r="V7" s="58"/>
      <c r="W7" s="54"/>
      <c r="X7" s="53"/>
      <c r="Y7" s="33"/>
      <c r="Z7" s="40">
        <f t="shared" si="0"/>
        <v>0</v>
      </c>
    </row>
    <row r="8" spans="1:34" ht="17.100000000000001" hidden="1" outlineLevel="1" thickBot="1">
      <c r="A8" s="55" t="s">
        <v>355</v>
      </c>
      <c r="B8" s="8"/>
      <c r="C8" s="4">
        <f>IF(OR(ISBLANK(B8),B8=""),0,VLOOKUP(B8,'Ondal Booms'!B:G,4,FALSE))</f>
        <v>0</v>
      </c>
      <c r="D8" s="37">
        <f>IF(OR(ISBLANK(B8),B8=""),0,VLOOKUP(B8,'Ondal Booms'!B:G,2,FALSE))</f>
        <v>0</v>
      </c>
      <c r="E8" s="35">
        <f>IF(OR(ISBLANK(B8),B8=""),0,VLOOKUP(B8,'Ondal Booms'!B:G,3,FALSE))</f>
        <v>0</v>
      </c>
      <c r="G8" s="55" t="s">
        <v>1041</v>
      </c>
      <c r="H8" s="78">
        <f>(COUNTIF(K5:Y14,"Data"))</f>
        <v>0</v>
      </c>
      <c r="J8" s="55" t="s">
        <v>1042</v>
      </c>
      <c r="K8" s="33"/>
      <c r="L8" s="56"/>
      <c r="M8" s="57"/>
      <c r="N8" s="58"/>
      <c r="O8" s="59"/>
      <c r="P8" s="57"/>
      <c r="Q8" s="33"/>
      <c r="S8" s="33"/>
      <c r="T8" s="59"/>
      <c r="U8" s="57"/>
      <c r="V8" s="58"/>
      <c r="W8" s="59"/>
      <c r="X8" s="57"/>
      <c r="Y8" s="33"/>
      <c r="Z8" s="40">
        <f t="shared" si="0"/>
        <v>0</v>
      </c>
      <c r="AE8">
        <f>COUNTIF(K9,"(2) Duplexes")+COUNTIF(Y9,"(2) Duplexes")</f>
        <v>0</v>
      </c>
      <c r="AF8">
        <f>COUNTIF(Q9:S9,"(2) Duplexes")</f>
        <v>0</v>
      </c>
      <c r="AG8">
        <f>COUNTIF(K9,"(3) Duplexes")+COUNTIF(Y9,"(3) Duplexes")</f>
        <v>0</v>
      </c>
      <c r="AH8">
        <f>COUNTIF(Q9:S9,"(3) Duplexes")</f>
        <v>0</v>
      </c>
    </row>
    <row r="9" spans="1:34" hidden="1" outlineLevel="1">
      <c r="A9" s="55" t="s">
        <v>356</v>
      </c>
      <c r="B9" s="7"/>
      <c r="C9" s="4">
        <f>IF(OR(ISBLANK(B9),B9=""),0,VLOOKUP(B9,'Ondal Booms'!B:G,4,FALSE))</f>
        <v>0</v>
      </c>
      <c r="D9" s="37">
        <f>IF(OR(ISBLANK(B9),B9=""),0,VLOOKUP(B9,'Ondal Booms'!B:G,2,FALSE))</f>
        <v>0</v>
      </c>
      <c r="E9" s="35">
        <f>IF(OR(ISBLANK(B9),B9=""),0,VLOOKUP(B9,'Ondal Booms'!B:G,3,FALSE))</f>
        <v>0</v>
      </c>
      <c r="G9" s="64" t="s">
        <v>1043</v>
      </c>
      <c r="H9" s="77">
        <f>(COUNTIF(K5:Y14,"Storz 4in1"))</f>
        <v>0</v>
      </c>
      <c r="J9" s="55" t="s">
        <v>1044</v>
      </c>
      <c r="K9" s="33"/>
      <c r="L9" s="52"/>
      <c r="M9" s="53"/>
      <c r="N9" s="58"/>
      <c r="O9" s="54"/>
      <c r="P9" s="53"/>
      <c r="Q9" s="33"/>
      <c r="S9" s="33"/>
      <c r="T9" s="54"/>
      <c r="U9" s="53"/>
      <c r="V9" s="58"/>
      <c r="W9" s="54"/>
      <c r="X9" s="53"/>
      <c r="Y9" s="33"/>
      <c r="Z9" s="40">
        <f t="shared" si="0"/>
        <v>0</v>
      </c>
    </row>
    <row r="10" spans="1:34" ht="17.100000000000001" hidden="1" outlineLevel="1" thickBot="1">
      <c r="A10" s="55" t="s">
        <v>418</v>
      </c>
      <c r="B10" s="7"/>
      <c r="C10" s="4">
        <f>IF(OR(ISBLANK(B10),B10=""),0,VLOOKUP(B10,'Ondal Booms'!B:G,4,FALSE))</f>
        <v>0</v>
      </c>
      <c r="D10" s="37">
        <f>IF(OR(ISBLANK(B10),B10=""),0,VLOOKUP(B10,'Ondal Booms'!B:G,2,FALSE))</f>
        <v>0</v>
      </c>
      <c r="E10" s="35">
        <f>IF(OR(ISBLANK(B10),B10=""),0,VLOOKUP(B10,'Ondal Booms'!B:G,3,FALSE))</f>
        <v>0</v>
      </c>
      <c r="J10" s="55" t="s">
        <v>1045</v>
      </c>
      <c r="K10" s="33"/>
      <c r="L10" s="60"/>
      <c r="M10" s="61"/>
      <c r="N10" s="58"/>
      <c r="O10" s="62"/>
      <c r="P10" s="61"/>
      <c r="Q10" s="33"/>
      <c r="S10" s="33"/>
      <c r="T10" s="62"/>
      <c r="U10" s="61"/>
      <c r="V10" s="58"/>
      <c r="W10" s="62"/>
      <c r="X10" s="61"/>
      <c r="Y10" s="33"/>
      <c r="Z10" s="40">
        <f>15-COUNTIFS(K10:Y10,"")</f>
        <v>0</v>
      </c>
      <c r="AE10">
        <f>COUNTIF(K11,"(2) Duplexes")+COUNTIF(Y11,"(2) Duplexes")</f>
        <v>0</v>
      </c>
      <c r="AF10">
        <f>COUNTIF(Q11:S11,"(2) Duplexes")</f>
        <v>0</v>
      </c>
      <c r="AG10">
        <f>COUNTIF(K11,"(3) Duplexes")+COUNTIF(Y11,"(3) Duplexes")</f>
        <v>0</v>
      </c>
      <c r="AH10">
        <f>COUNTIF(Q11:S11,"(3) Duplexes")</f>
        <v>0</v>
      </c>
    </row>
    <row r="11" spans="1:34" hidden="1" outlineLevel="1">
      <c r="A11" s="55" t="s">
        <v>357</v>
      </c>
      <c r="B11" s="7"/>
      <c r="C11" s="4">
        <f>IF(OR(ISBLANK(B11),B11=""),0,VLOOKUP(B11,'Ondal Booms'!B:G,4,FALSE))</f>
        <v>0</v>
      </c>
      <c r="D11" s="37">
        <f>IF(OR(ISBLANK(B11),B11=""),0,VLOOKUP(B11,'Ondal Booms'!B:G,2,FALSE))</f>
        <v>0</v>
      </c>
      <c r="E11" s="35">
        <f>IF(OR(ISBLANK(B11),B11=""),0,VLOOKUP(B11,'Ondal Booms'!B:G,3,FALSE))</f>
        <v>0</v>
      </c>
      <c r="G11" s="79" t="s">
        <v>1046</v>
      </c>
      <c r="H11" s="80" t="s">
        <v>1030</v>
      </c>
      <c r="J11" s="55" t="s">
        <v>1047</v>
      </c>
      <c r="K11" s="33"/>
      <c r="L11" s="56"/>
      <c r="M11" s="57"/>
      <c r="N11" s="58"/>
      <c r="O11" s="59"/>
      <c r="P11" s="57"/>
      <c r="Q11" s="33"/>
      <c r="S11" s="33"/>
      <c r="T11" s="59"/>
      <c r="U11" s="57"/>
      <c r="V11" s="58"/>
      <c r="W11" s="59"/>
      <c r="X11" s="57"/>
      <c r="Y11" s="33"/>
      <c r="Z11" s="40">
        <f t="shared" si="0"/>
        <v>0</v>
      </c>
    </row>
    <row r="12" spans="1:34" ht="17.100000000000001" hidden="1" outlineLevel="1" thickBot="1">
      <c r="A12" s="49" t="s">
        <v>99</v>
      </c>
      <c r="B12" s="50" t="str">
        <f>IF(OR(H5=0,ISBLANK(H5)),"",H5&amp;" Duplexes")</f>
        <v/>
      </c>
      <c r="C12" s="4">
        <f>IF(OR(ISBLANK(B12),B12=""),0,VLOOKUP(B12,'Ondal Booms'!B:G,4,FALSE))</f>
        <v>0</v>
      </c>
      <c r="D12" s="37">
        <f>IF(OR(ISBLANK(B12),B12=""),0,VLOOKUP(B12,'Ondal Booms'!B:G,2,FALSE))</f>
        <v>0</v>
      </c>
      <c r="E12" s="35">
        <f>IF(OR(ISBLANK(B12),B12=""),0,VLOOKUP(B12,'Ondal Booms'!B:G,3,FALSE))</f>
        <v>0</v>
      </c>
      <c r="G12" s="55" t="s">
        <v>1048</v>
      </c>
      <c r="H12" s="78">
        <f>(COUNTIF(K5:Y14,"Oxygen"))</f>
        <v>0</v>
      </c>
      <c r="J12" s="55" t="s">
        <v>1049</v>
      </c>
      <c r="K12" s="33"/>
      <c r="L12" s="60"/>
      <c r="M12" s="61"/>
      <c r="N12" s="58"/>
      <c r="O12" s="62"/>
      <c r="P12" s="61"/>
      <c r="Q12" s="33"/>
      <c r="S12" s="33"/>
      <c r="T12" s="62"/>
      <c r="U12" s="61"/>
      <c r="V12" s="58"/>
      <c r="W12" s="62"/>
      <c r="X12" s="61"/>
      <c r="Y12" s="33"/>
      <c r="Z12" s="40">
        <f t="shared" si="0"/>
        <v>0</v>
      </c>
      <c r="AE12">
        <f>COUNTIF(K13,"(2) Duplexes")+COUNTIF(Y13,"(2) Duplexes")</f>
        <v>0</v>
      </c>
      <c r="AF12">
        <f>COUNTIF(Q13:S13,"(2) Duplexes")</f>
        <v>0</v>
      </c>
      <c r="AG12">
        <f>COUNTIF(K13,"(3) Duplexes")+COUNTIF(Y13,"(3) Duplexes")</f>
        <v>0</v>
      </c>
      <c r="AH12">
        <f>COUNTIF(Q13:S13,"(3) Duplexes")</f>
        <v>0</v>
      </c>
    </row>
    <row r="13" spans="1:34" hidden="1" outlineLevel="1">
      <c r="A13" s="49" t="s">
        <v>95</v>
      </c>
      <c r="B13" s="50" t="str">
        <f>IF(OR(SUM(H12:H18)=0,ISBLANK(SUM(H12:H18))),"",SUM(H12:H18)&amp;" Outlets")</f>
        <v/>
      </c>
      <c r="C13" s="4">
        <f>IF(OR(ISBLANK(B13),B13=""),0,VLOOKUP(B13,'Ondal Booms'!B:G,4,FALSE))</f>
        <v>0</v>
      </c>
      <c r="D13" s="37">
        <f>IF(OR(ISBLANK(B13),B13=""),0,VLOOKUP(B13,'Ondal Booms'!B:G,2,FALSE))</f>
        <v>0</v>
      </c>
      <c r="E13" s="35">
        <f>IF(OR(ISBLANK(B13),B13=""),0,VLOOKUP(B13,'Ondal Booms'!B:G,3,FALSE))</f>
        <v>0</v>
      </c>
      <c r="G13" s="55" t="s">
        <v>1050</v>
      </c>
      <c r="H13" s="77">
        <f>COUNTIF(K5:Y14,"Medical Air")</f>
        <v>0</v>
      </c>
      <c r="J13" s="55" t="s">
        <v>1051</v>
      </c>
      <c r="K13" s="33"/>
      <c r="L13" s="56"/>
      <c r="M13" s="57"/>
      <c r="N13" s="58"/>
      <c r="O13" s="59"/>
      <c r="P13" s="57"/>
      <c r="Q13" s="33"/>
      <c r="S13" s="33"/>
      <c r="T13" s="59"/>
      <c r="U13" s="57"/>
      <c r="V13" s="58"/>
      <c r="W13" s="59"/>
      <c r="X13" s="57"/>
      <c r="Y13" s="33"/>
      <c r="Z13" s="40">
        <f t="shared" si="0"/>
        <v>0</v>
      </c>
    </row>
    <row r="14" spans="1:34" ht="17.100000000000001" hidden="1" outlineLevel="1" thickBot="1">
      <c r="A14" s="55" t="s">
        <v>1052</v>
      </c>
      <c r="B14" s="45"/>
      <c r="C14" s="4">
        <f>IF(OR(ISBLANK(B14),B14=""),0,VLOOKUP(B14,'Ondal Booms'!B:G,4,FALSE))</f>
        <v>0</v>
      </c>
      <c r="D14" s="37">
        <f>IF(OR(ISBLANK(B14),B14=""),0,VLOOKUP(B14,'Ondal Booms'!B:G,2,FALSE))</f>
        <v>0</v>
      </c>
      <c r="E14" s="35">
        <f>IF(OR(ISBLANK(B14),B14=""),0,VLOOKUP(B14,'Ondal Booms'!B:G,3,FALSE))</f>
        <v>0</v>
      </c>
      <c r="G14" s="55" t="s">
        <v>1053</v>
      </c>
      <c r="H14" s="77">
        <f>COUNTIF(K5:Y14,"Nitrous Oxide")</f>
        <v>0</v>
      </c>
      <c r="J14" s="64" t="s">
        <v>1054</v>
      </c>
      <c r="K14" s="33"/>
      <c r="L14" s="60"/>
      <c r="M14" s="61"/>
      <c r="N14" s="63"/>
      <c r="O14" s="62"/>
      <c r="P14" s="61"/>
      <c r="Q14" s="33"/>
      <c r="S14" s="33"/>
      <c r="T14" s="62"/>
      <c r="U14" s="61"/>
      <c r="V14" s="63"/>
      <c r="W14" s="62"/>
      <c r="X14" s="61"/>
      <c r="Y14" s="33"/>
      <c r="Z14" s="40">
        <f t="shared" si="0"/>
        <v>0</v>
      </c>
    </row>
    <row r="15" spans="1:34" hidden="1" outlineLevel="1">
      <c r="A15" s="55" t="s">
        <v>454</v>
      </c>
      <c r="B15" s="45"/>
      <c r="C15" s="4">
        <f>IF(OR(ISBLANK(B15),B15=""),0,VLOOKUP(B15,'Ondal Booms'!B:G,4,FALSE))</f>
        <v>0</v>
      </c>
      <c r="D15" s="37">
        <f>IF(OR(ISBLANK(B15),B15=""),0,VLOOKUP(B15,'Ondal Booms'!B:G,2,FALSE))</f>
        <v>0</v>
      </c>
      <c r="E15" s="35">
        <f>IF(OR(ISBLANK(B15),B15=""),0,VLOOKUP(B15,'Ondal Booms'!B:G,3,FALSE))</f>
        <v>0</v>
      </c>
      <c r="G15" s="55" t="s">
        <v>1055</v>
      </c>
      <c r="H15" s="77">
        <f>COUNTIF(K5:Y14,"WAGD")</f>
        <v>0</v>
      </c>
    </row>
    <row r="16" spans="1:34" hidden="1" outlineLevel="1">
      <c r="A16" s="55" t="s">
        <v>455</v>
      </c>
      <c r="B16" s="45"/>
      <c r="C16" s="4">
        <f>IF(OR(ISBLANK(B16),B16=""),0,VLOOKUP(B16,'Ondal Booms'!B:G,4,FALSE))</f>
        <v>0</v>
      </c>
      <c r="D16" s="37">
        <f>IF(OR(ISBLANK(B16),B16=""),0,VLOOKUP(B16,'Ondal Booms'!B:G,2,FALSE))</f>
        <v>0</v>
      </c>
      <c r="E16" s="35">
        <f>IF(OR(ISBLANK(B16),B16=""),0,VLOOKUP(B16,'Ondal Booms'!B:G,3,FALSE))</f>
        <v>0</v>
      </c>
      <c r="G16" s="55" t="s">
        <v>1056</v>
      </c>
      <c r="H16" s="77">
        <f>COUNTIF(K5:Y14,"Vacuum")</f>
        <v>0</v>
      </c>
    </row>
    <row r="17" spans="1:34" hidden="1" outlineLevel="1">
      <c r="A17" s="55" t="s">
        <v>1057</v>
      </c>
      <c r="B17" s="45"/>
      <c r="C17" s="4">
        <f>IF(OR(ISBLANK(B17),B17=""),0,VLOOKUP(B17,'Ondal Booms'!B:G,4,FALSE))</f>
        <v>0</v>
      </c>
      <c r="D17" s="37">
        <f>IF(OR(ISBLANK(B17),B17=""),0,VLOOKUP(B17,'Ondal Booms'!B:G,2,FALSE))</f>
        <v>0</v>
      </c>
      <c r="E17" s="35">
        <f>IF(OR(ISBLANK(B17),B17=""),0,VLOOKUP(B17,'Ondal Booms'!B:G,3,FALSE))</f>
        <v>0</v>
      </c>
      <c r="G17" s="55" t="s">
        <v>1058</v>
      </c>
      <c r="H17" s="77">
        <f>COUNTIF(K5:Y14,"Nitrogen")</f>
        <v>0</v>
      </c>
    </row>
    <row r="18" spans="1:34" hidden="1" outlineLevel="1">
      <c r="A18" s="55" t="s">
        <v>1059</v>
      </c>
      <c r="B18" s="45"/>
      <c r="C18" s="4">
        <f>IF(OR(ISBLANK(B18),B18=""),0,VLOOKUP(B18,'Ondal Booms'!B:G,4,FALSE))</f>
        <v>0</v>
      </c>
      <c r="D18" s="37">
        <f>IF(OR(ISBLANK(B18),B18=""),0,VLOOKUP(B18,'Ondal Booms'!B:G,2,FALSE))</f>
        <v>0</v>
      </c>
      <c r="E18" s="35">
        <f>IF(OR(ISBLANK(B18),B18=""),0,VLOOKUP(B18,'Ondal Booms'!B:G,3,FALSE))</f>
        <v>0</v>
      </c>
      <c r="G18" s="64" t="s">
        <v>1060</v>
      </c>
      <c r="H18" s="77">
        <f>COUNTIF(K5:Y14,"Carbon Dioxide")</f>
        <v>0</v>
      </c>
    </row>
    <row r="19" spans="1:34" hidden="1" outlineLevel="1">
      <c r="A19" s="55" t="s">
        <v>1061</v>
      </c>
      <c r="B19" s="45"/>
      <c r="C19" s="4">
        <f>IF(OR(ISBLANK(B19),B19=""),0,VLOOKUP(B19,'Ondal Booms'!B:G,4,FALSE))</f>
        <v>0</v>
      </c>
      <c r="D19" s="37">
        <f>IF(OR(ISBLANK(B19),B19=""),0,VLOOKUP(B19,'Ondal Booms'!B:G,2,FALSE))</f>
        <v>0</v>
      </c>
      <c r="E19" s="35">
        <f>IF(OR(ISBLANK(B19),B19=""),0,VLOOKUP(B19,'Ondal Booms'!B:G,3,FALSE))</f>
        <v>0</v>
      </c>
      <c r="H19" s="36"/>
    </row>
    <row r="20" spans="1:34" hidden="1" outlineLevel="1">
      <c r="A20" s="55" t="s">
        <v>1062</v>
      </c>
      <c r="B20" s="45"/>
      <c r="C20" s="4">
        <f>IF(OR(ISBLANK(B20),B20=""),0,VLOOKUP(B20,'Ondal Booms'!B:G,4,FALSE))</f>
        <v>0</v>
      </c>
      <c r="D20" s="37">
        <f>IF(OR(ISBLANK(B20),B20=""),0,VLOOKUP(B20,'Ondal Booms'!B:G,2,FALSE))</f>
        <v>0</v>
      </c>
      <c r="E20" s="35">
        <f>IF(OR(ISBLANK(B20),B20=""),0,VLOOKUP(B20,'Ondal Booms'!B:G,3,FALSE))</f>
        <v>0</v>
      </c>
    </row>
    <row r="21" spans="1:34" hidden="1" outlineLevel="1">
      <c r="A21" s="55" t="s">
        <v>1063</v>
      </c>
      <c r="B21" s="45"/>
      <c r="C21" s="4">
        <f>IF(OR(ISBLANK(B21),B21=""),0,VLOOKUP(B21,'Ondal Booms'!B:G,4,FALSE))</f>
        <v>0</v>
      </c>
      <c r="D21" s="37">
        <f>IF(OR(ISBLANK(B21),B21=""),0,VLOOKUP(B21,'Ondal Booms'!B:G,2,FALSE))</f>
        <v>0</v>
      </c>
      <c r="E21" s="35">
        <f>IF(OR(ISBLANK(B21),B21=""),0,VLOOKUP(B21,'Ondal Booms'!B:G,3,FALSE))</f>
        <v>0</v>
      </c>
      <c r="G21" s="37"/>
    </row>
    <row r="22" spans="1:34" hidden="1" outlineLevel="1">
      <c r="A22" s="55" t="s">
        <v>1064</v>
      </c>
      <c r="B22" s="45"/>
      <c r="C22" s="4">
        <f>IF(OR(ISBLANK(B22),B22=""),0,VLOOKUP(B22,'Ondal Booms'!B:G,4,FALSE))</f>
        <v>0</v>
      </c>
      <c r="D22" s="37">
        <f>IF(OR(ISBLANK(B22),B22=""),0,VLOOKUP(B22,'Ondal Booms'!B:G,2,FALSE))</f>
        <v>0</v>
      </c>
      <c r="E22" s="35">
        <f>IF(OR(ISBLANK(B22),B22=""),0,VLOOKUP(B22,'Ondal Booms'!B:G,3,FALSE))</f>
        <v>0</v>
      </c>
      <c r="G22" s="37"/>
    </row>
    <row r="23" spans="1:34" hidden="1" outlineLevel="1">
      <c r="A23" s="64" t="s">
        <v>1065</v>
      </c>
      <c r="B23" s="45"/>
      <c r="C23" s="4">
        <f>IF(OR(ISBLANK(B23),B23=""),0,VLOOKUP(B23,'Ondal Booms'!B:G,4,FALSE))</f>
        <v>0</v>
      </c>
      <c r="D23" s="37">
        <f>IF(OR(ISBLANK(B23),B23=""),0,VLOOKUP(B23,'Ondal Booms'!B:G,2,FALSE))</f>
        <v>0</v>
      </c>
      <c r="E23" s="35">
        <f>IF(OR(ISBLANK(B23),B23=""),0,VLOOKUP(B23,'Ondal Booms'!B:G,3,FALSE))</f>
        <v>0</v>
      </c>
    </row>
    <row r="24" spans="1:34" hidden="1" outlineLevel="1">
      <c r="C24" s="4"/>
      <c r="E24" s="37"/>
    </row>
    <row r="25" spans="1:34" hidden="1" outlineLevel="1">
      <c r="A25" s="49" t="s">
        <v>1066</v>
      </c>
      <c r="B25" s="70" t="str">
        <f>IF(OR(ISBLANK(B5),B5=""),"",
IF(OR(AND(B11="200mm Service Head",SUM(Z7:Z14)&gt;0),AND(B11="400mm Service Head",SUM(Z9:Z14)&gt;0),AND(B11="600mm Service Head",SUM(Z11:Z14)&gt;0),AND(B11="800mm Service Head",SUM(Z13:Z14)&gt;0)),"Select Longer Service Head or Remove Services",
IF(AND(RIGHT(B9,2)="XL",RIGHT(B8,2)&lt;&gt;"XL"),"BOTTOM XL ARM REQUIRES TOP XL ARM",
IF(OR(ISBLANK(B6),ISBLANK(B7),ISBLANK(B8),ISBLANK(B9),ISBLANK(B10),ISBLANK(B11),ISBLANK(B15),ISBLANK(B16),ISBLANK(B14)),"Missing Selections for Configuration",
IF(AND(B11="Large Monitor Carrier",B9&lt;&gt;"Spring Articulating"),"Large Monitor Requires Spring Bottom Arm",
IF(OR(AND(RIGHT(B7,2)="XL",RIGHT(B8,2)&lt;&gt;"XL"),AND(RIGHT(B8,2)="XL",RIGHT(B7,2)&lt;&gt;"XL")),"Both Top Arm and Ceiling Flange Must Be XL",
IF(COUNTIF(AE4:AH12,1)&gt;1,"Mismatch Electrical Configuration",
""))))))
)</f>
        <v/>
      </c>
      <c r="C25" s="4"/>
      <c r="D25" s="4"/>
      <c r="E25" s="35"/>
    </row>
    <row r="26" spans="1:34" hidden="1" outlineLevel="1">
      <c r="B26" s="1"/>
      <c r="C26" s="47" t="s">
        <v>1026</v>
      </c>
      <c r="D26" s="47" t="s">
        <v>1027</v>
      </c>
      <c r="E26" s="47" t="s">
        <v>1067</v>
      </c>
      <c r="F26" s="35"/>
      <c r="I26" s="35"/>
    </row>
    <row r="27" spans="1:34" ht="17.100000000000001" collapsed="1" thickBot="1">
      <c r="A27" s="69" t="s">
        <v>1068</v>
      </c>
      <c r="B27" s="72" t="str">
        <f>IF(OR(B6="",ISBLANK(B6)),"NO CONFIGURATION SELECTED",C27)</f>
        <v>NO CONFIGURATION SELECTED</v>
      </c>
      <c r="C27" s="65">
        <f>SUM(C5:C23)</f>
        <v>0</v>
      </c>
      <c r="D27" s="65">
        <f t="shared" ref="D27:E27" si="1">SUM(D5:D23)</f>
        <v>0</v>
      </c>
      <c r="E27" s="65">
        <f t="shared" si="1"/>
        <v>0</v>
      </c>
      <c r="F27" s="1"/>
      <c r="I27" s="1"/>
      <c r="J27" t="str">
        <f>"&lt;-- EXPAND TO SHOW OPTIONS / SERVICE HEAD"</f>
        <v>&lt;-- EXPAND TO SHOW OPTIONS / SERVICE HEAD</v>
      </c>
      <c r="AC27" s="285"/>
      <c r="AD27" s="285"/>
      <c r="AE27" s="285"/>
      <c r="AF27" s="285"/>
    </row>
    <row r="28" spans="1:34" ht="17.100000000000001" thickTop="1">
      <c r="C28" s="66"/>
      <c r="D28" s="66"/>
      <c r="E28" s="66"/>
      <c r="F28" s="1"/>
      <c r="I28" s="1"/>
      <c r="AE28">
        <f>COUNTIF(K30,"(2) Duplexes")+COUNTIF(Y30,"(2) Duplexes")</f>
        <v>0</v>
      </c>
      <c r="AF28">
        <f>COUNTIF(Q30:S30,"(2) Duplexes")</f>
        <v>0</v>
      </c>
      <c r="AG28">
        <f>COUNTIF(K30,"(3) Duplexes")+COUNTIF(Y30,"(3) Duplexes")</f>
        <v>0</v>
      </c>
      <c r="AH28">
        <f>COUNTIF(Q30:S30,"(3) Duplexes")</f>
        <v>0</v>
      </c>
    </row>
    <row r="29" spans="1:34" ht="18.95">
      <c r="A29" s="46" t="s">
        <v>1069</v>
      </c>
      <c r="B29" s="47" t="s">
        <v>1025</v>
      </c>
      <c r="C29" s="47" t="s">
        <v>1026</v>
      </c>
      <c r="D29" s="47" t="s">
        <v>1027</v>
      </c>
      <c r="E29" s="47" t="s">
        <v>1028</v>
      </c>
      <c r="G29" s="79" t="s">
        <v>1029</v>
      </c>
      <c r="H29" s="80" t="s">
        <v>1030</v>
      </c>
      <c r="J29" s="83" t="s">
        <v>1031</v>
      </c>
      <c r="K29" s="84" t="s">
        <v>1032</v>
      </c>
      <c r="L29" s="282" t="s">
        <v>1033</v>
      </c>
      <c r="M29" s="282"/>
      <c r="N29" s="282"/>
      <c r="O29" s="282"/>
      <c r="P29" s="282"/>
      <c r="Q29" s="80" t="s">
        <v>1032</v>
      </c>
      <c r="R29" s="36"/>
      <c r="S29" s="79" t="s">
        <v>1032</v>
      </c>
      <c r="T29" s="282" t="s">
        <v>1034</v>
      </c>
      <c r="U29" s="282"/>
      <c r="V29" s="282"/>
      <c r="W29" s="282"/>
      <c r="X29" s="282"/>
      <c r="Y29" s="80" t="s">
        <v>1032</v>
      </c>
    </row>
    <row r="30" spans="1:34" hidden="1" outlineLevel="1">
      <c r="A30" s="49" t="s">
        <v>1035</v>
      </c>
      <c r="B30" s="50" t="str">
        <f>IF(OR(ISBLANK(B32),ISBLANK(B33)),"",IF(ISBLANK(B33),0,(VLOOKUP(B33,'Ondal Booms'!B:F,5,FALSE)))&amp;IF(ISBLANK(B32),0,(VLOOKUP(B32,'Ondal Booms'!B:F,5,FALSE))))</f>
        <v/>
      </c>
      <c r="C30" s="4">
        <f>IF(OR(ISBLANK(B30),B30=""),0,VLOOKUP(B30,'Ondal Booms'!B:G,4,FALSE))</f>
        <v>0</v>
      </c>
      <c r="D30" s="37">
        <f>IF(OR(ISBLANK(B30),B30=""),0,VLOOKUP(B30,'Ondal Booms'!B:G,2,FALSE))</f>
        <v>0</v>
      </c>
      <c r="E30" s="35">
        <f>IF(OR(ISBLANK(B30),B30=""),0,VLOOKUP(B30,'Ondal Booms'!B:G,3,FALSE))</f>
        <v>0</v>
      </c>
      <c r="G30" s="48" t="s">
        <v>1036</v>
      </c>
      <c r="H30" s="77">
        <f>COUNTIF(K30:Y39,"(2) Duplexes")*2+COUNTIF(K30:Y39,"(3) Duplexes")*3</f>
        <v>0</v>
      </c>
      <c r="J30" s="51" t="s">
        <v>1037</v>
      </c>
      <c r="K30" s="82"/>
      <c r="L30" s="56"/>
      <c r="M30" s="57"/>
      <c r="N30" s="58"/>
      <c r="O30" s="59"/>
      <c r="P30" s="57"/>
      <c r="Q30" s="82"/>
      <c r="S30" s="82"/>
      <c r="T30" s="59"/>
      <c r="U30" s="57"/>
      <c r="V30" s="58"/>
      <c r="W30" s="59"/>
      <c r="X30" s="57"/>
      <c r="Y30" s="82"/>
      <c r="Z30" s="40">
        <f>15-COUNTIFS(K30:Y30,"")</f>
        <v>0</v>
      </c>
    </row>
    <row r="31" spans="1:34" ht="17.100000000000001" hidden="1" outlineLevel="1" thickBot="1">
      <c r="A31" s="55" t="s">
        <v>354</v>
      </c>
      <c r="B31" s="45"/>
      <c r="C31" s="4">
        <f>IF(OR(ISBLANK(B31),B31=""),0,VLOOKUP(B31,'Ondal Booms'!B:G,4,FALSE))</f>
        <v>0</v>
      </c>
      <c r="D31" s="37">
        <f>IF(OR(ISBLANK(B31),B31=""),0,VLOOKUP(B31,'Ondal Booms'!B:G,2,FALSE))</f>
        <v>0</v>
      </c>
      <c r="E31" s="35">
        <f>IF(OR(ISBLANK(B31),B31=""),0,VLOOKUP(B31,'Ondal Booms'!B:G,3,FALSE))</f>
        <v>0</v>
      </c>
      <c r="G31" s="79" t="s">
        <v>1039</v>
      </c>
      <c r="H31" s="80" t="s">
        <v>1030</v>
      </c>
      <c r="J31" s="51" t="s">
        <v>1038</v>
      </c>
      <c r="K31" s="33"/>
      <c r="L31" s="56"/>
      <c r="M31" s="57"/>
      <c r="N31" s="58"/>
      <c r="O31" s="59"/>
      <c r="P31" s="57"/>
      <c r="Q31" s="33"/>
      <c r="S31" s="33"/>
      <c r="T31" s="59"/>
      <c r="U31" s="57"/>
      <c r="V31" s="58"/>
      <c r="W31" s="59"/>
      <c r="X31" s="57"/>
      <c r="Y31" s="33"/>
      <c r="Z31" s="40">
        <f t="shared" ref="Z31:Z34" si="2">15-COUNTIFS(K31:Y31,"")</f>
        <v>0</v>
      </c>
      <c r="AE31">
        <f>COUNTIF(K32,"(2) Duplexes")+COUNTIF(Y32,"(2) Duplexes")</f>
        <v>0</v>
      </c>
      <c r="AF31">
        <f>COUNTIF(Q32:S32,"(2) Duplexes")</f>
        <v>0</v>
      </c>
      <c r="AG31">
        <f>COUNTIF(K32,"(3) Duplexes")+COUNTIF(Y32,"(3) Duplexes")</f>
        <v>0</v>
      </c>
      <c r="AH31">
        <f>COUNTIF(Q32:S32,"(3) Duplexes")</f>
        <v>0</v>
      </c>
    </row>
    <row r="32" spans="1:34" hidden="1" outlineLevel="1">
      <c r="A32" s="55" t="s">
        <v>355</v>
      </c>
      <c r="B32" s="8"/>
      <c r="C32" s="4">
        <f>IF(OR(ISBLANK(B32),B32=""),0,VLOOKUP(B32,'Ondal Booms'!B:G,4,FALSE))</f>
        <v>0</v>
      </c>
      <c r="D32" s="37">
        <f>IF(OR(ISBLANK(B32),B32=""),0,VLOOKUP(B32,'Ondal Booms'!B:G,2,FALSE))</f>
        <v>0</v>
      </c>
      <c r="E32" s="35">
        <f>IF(OR(ISBLANK(B32),B32=""),0,VLOOKUP(B32,'Ondal Booms'!B:G,3,FALSE))</f>
        <v>0</v>
      </c>
      <c r="G32" s="55" t="s">
        <v>1041</v>
      </c>
      <c r="H32" s="78">
        <f>(COUNTIF(K30:Y39,"Data"))</f>
        <v>0</v>
      </c>
      <c r="J32" s="51" t="s">
        <v>1040</v>
      </c>
      <c r="K32" s="33"/>
      <c r="L32" s="52"/>
      <c r="M32" s="53"/>
      <c r="N32" s="58"/>
      <c r="O32" s="54"/>
      <c r="P32" s="53"/>
      <c r="Q32" s="33"/>
      <c r="S32" s="33"/>
      <c r="T32" s="54"/>
      <c r="U32" s="53"/>
      <c r="V32" s="58"/>
      <c r="W32" s="54"/>
      <c r="X32" s="53"/>
      <c r="Y32" s="33"/>
      <c r="Z32" s="40">
        <f t="shared" si="2"/>
        <v>0</v>
      </c>
    </row>
    <row r="33" spans="1:34" ht="17.100000000000001" hidden="1" outlineLevel="1" thickBot="1">
      <c r="A33" s="55" t="s">
        <v>356</v>
      </c>
      <c r="B33" s="7"/>
      <c r="C33" s="4">
        <f>IF(OR(ISBLANK(B33),B33=""),0,VLOOKUP(B33,'Ondal Booms'!B:G,4,FALSE))</f>
        <v>0</v>
      </c>
      <c r="D33" s="37">
        <f>IF(OR(ISBLANK(B33),B33=""),0,VLOOKUP(B33,'Ondal Booms'!B:G,2,FALSE))</f>
        <v>0</v>
      </c>
      <c r="E33" s="35">
        <f>IF(OR(ISBLANK(B33),B33=""),0,VLOOKUP(B33,'Ondal Booms'!B:G,3,FALSE))</f>
        <v>0</v>
      </c>
      <c r="G33" s="64" t="s">
        <v>1043</v>
      </c>
      <c r="H33" s="77">
        <f>(COUNTIF(K30:Y39,"Storz 4in1"))</f>
        <v>0</v>
      </c>
      <c r="J33" s="51" t="s">
        <v>1042</v>
      </c>
      <c r="K33" s="33"/>
      <c r="L33" s="56"/>
      <c r="M33" s="57"/>
      <c r="N33" s="58"/>
      <c r="O33" s="59"/>
      <c r="P33" s="57"/>
      <c r="Q33" s="33"/>
      <c r="S33" s="33"/>
      <c r="T33" s="59"/>
      <c r="U33" s="57"/>
      <c r="V33" s="58"/>
      <c r="W33" s="59"/>
      <c r="X33" s="57"/>
      <c r="Y33" s="33"/>
      <c r="Z33" s="40">
        <f t="shared" si="2"/>
        <v>0</v>
      </c>
      <c r="AE33">
        <f>COUNTIF(K34,"(2) Duplexes")+COUNTIF(Y34,"(2) Duplexes")</f>
        <v>0</v>
      </c>
      <c r="AF33">
        <f>COUNTIF(Q34:S34,"(2) Duplexes")</f>
        <v>0</v>
      </c>
      <c r="AG33">
        <f>COUNTIF(K34,"(3) Duplexes")+COUNTIF(Y34,"(3) Duplexes")</f>
        <v>0</v>
      </c>
      <c r="AH33">
        <f>COUNTIF(Q34:S34,"(3) Duplexes")</f>
        <v>0</v>
      </c>
    </row>
    <row r="34" spans="1:34" hidden="1" outlineLevel="1">
      <c r="A34" s="55" t="s">
        <v>418</v>
      </c>
      <c r="B34" s="7"/>
      <c r="C34" s="4">
        <f>IF(OR(ISBLANK(B34),B34=""),0,VLOOKUP(B34,'Ondal Booms'!B:G,4,FALSE))</f>
        <v>0</v>
      </c>
      <c r="D34" s="37">
        <f>IF(OR(ISBLANK(B34),B34=""),0,VLOOKUP(B34,'Ondal Booms'!B:G,2,FALSE))</f>
        <v>0</v>
      </c>
      <c r="E34" s="35">
        <f>IF(OR(ISBLANK(B34),B34=""),0,VLOOKUP(B34,'Ondal Booms'!B:G,3,FALSE))</f>
        <v>0</v>
      </c>
      <c r="J34" s="51" t="s">
        <v>1044</v>
      </c>
      <c r="K34" s="33"/>
      <c r="L34" s="52"/>
      <c r="M34" s="53"/>
      <c r="N34" s="58"/>
      <c r="O34" s="54"/>
      <c r="P34" s="53"/>
      <c r="Q34" s="33"/>
      <c r="S34" s="33"/>
      <c r="T34" s="54"/>
      <c r="U34" s="53"/>
      <c r="V34" s="58"/>
      <c r="W34" s="54"/>
      <c r="X34" s="53"/>
      <c r="Y34" s="33"/>
      <c r="Z34" s="40">
        <f t="shared" si="2"/>
        <v>0</v>
      </c>
    </row>
    <row r="35" spans="1:34" ht="17.100000000000001" hidden="1" outlineLevel="1" thickBot="1">
      <c r="A35" s="55" t="s">
        <v>357</v>
      </c>
      <c r="B35" s="7"/>
      <c r="C35" s="4">
        <f>IF(OR(ISBLANK(B35),B35=""),0,VLOOKUP(B35,'Ondal Booms'!B:G,4,FALSE))</f>
        <v>0</v>
      </c>
      <c r="D35" s="37">
        <f>IF(OR(ISBLANK(B35),B35=""),0,VLOOKUP(B35,'Ondal Booms'!B:G,2,FALSE))</f>
        <v>0</v>
      </c>
      <c r="E35" s="35">
        <f>IF(OR(ISBLANK(B35),B35=""),0,VLOOKUP(B35,'Ondal Booms'!B:G,3,FALSE))</f>
        <v>0</v>
      </c>
      <c r="G35" s="79" t="s">
        <v>1046</v>
      </c>
      <c r="H35" s="80" t="s">
        <v>1030</v>
      </c>
      <c r="J35" s="51" t="s">
        <v>1045</v>
      </c>
      <c r="K35" s="33"/>
      <c r="L35" s="60"/>
      <c r="M35" s="61"/>
      <c r="N35" s="58"/>
      <c r="O35" s="62"/>
      <c r="P35" s="61"/>
      <c r="Q35" s="33"/>
      <c r="S35" s="33"/>
      <c r="T35" s="62"/>
      <c r="U35" s="61"/>
      <c r="V35" s="58"/>
      <c r="W35" s="62"/>
      <c r="X35" s="61"/>
      <c r="Y35" s="33"/>
      <c r="Z35" s="40">
        <f>15-COUNTIFS(K35:Y35,"")</f>
        <v>0</v>
      </c>
      <c r="AE35">
        <f>COUNTIF(K36,"(2) Duplexes")+COUNTIF(Y36,"(2) Duplexes")</f>
        <v>0</v>
      </c>
      <c r="AF35">
        <f>COUNTIF(Q36:S36,"(2) Duplexes")</f>
        <v>0</v>
      </c>
      <c r="AG35">
        <f>COUNTIF(K36,"(3) Duplexes")+COUNTIF(Y36,"(3) Duplexes")</f>
        <v>0</v>
      </c>
      <c r="AH35">
        <f>COUNTIF(Q36:S36,"(3) Duplexes")</f>
        <v>0</v>
      </c>
    </row>
    <row r="36" spans="1:34" hidden="1" outlineLevel="1">
      <c r="A36" s="49" t="s">
        <v>99</v>
      </c>
      <c r="B36" s="50" t="str">
        <f>IF(OR(H30=0,ISBLANK(H30)),"",H30&amp;" Duplexes")</f>
        <v/>
      </c>
      <c r="C36" s="4">
        <f>IF(OR(ISBLANK(B36),B36=""),0,VLOOKUP(B36,'Ondal Booms'!B:G,4,FALSE))</f>
        <v>0</v>
      </c>
      <c r="D36" s="37">
        <f>IF(OR(ISBLANK(B36),B36=""),0,VLOOKUP(B36,'Ondal Booms'!B:G,2,FALSE))</f>
        <v>0</v>
      </c>
      <c r="E36" s="35">
        <f>IF(OR(ISBLANK(B36),B36=""),0,VLOOKUP(B36,'Ondal Booms'!B:G,3,FALSE))</f>
        <v>0</v>
      </c>
      <c r="G36" s="55" t="s">
        <v>1048</v>
      </c>
      <c r="H36" s="78">
        <f>(COUNTIF(K30:Y39,"Oxygen"))</f>
        <v>0</v>
      </c>
      <c r="J36" s="51" t="s">
        <v>1047</v>
      </c>
      <c r="K36" s="33"/>
      <c r="L36" s="56"/>
      <c r="M36" s="57"/>
      <c r="N36" s="58"/>
      <c r="O36" s="59"/>
      <c r="P36" s="57"/>
      <c r="Q36" s="33"/>
      <c r="S36" s="33"/>
      <c r="T36" s="59"/>
      <c r="U36" s="57"/>
      <c r="V36" s="58"/>
      <c r="W36" s="59"/>
      <c r="X36" s="57"/>
      <c r="Y36" s="33"/>
      <c r="Z36" s="40">
        <f t="shared" ref="Z36:Z39" si="3">15-COUNTIFS(K36:Y36,"")</f>
        <v>0</v>
      </c>
    </row>
    <row r="37" spans="1:34" ht="17.100000000000001" hidden="1" outlineLevel="1" thickBot="1">
      <c r="A37" s="49" t="s">
        <v>95</v>
      </c>
      <c r="B37" s="50" t="str">
        <f>IF(OR(SUM(H36:H42)=0,ISBLANK(SUM(H36:H42))),"",SUM(H36:H42)&amp;" Outlets")</f>
        <v/>
      </c>
      <c r="C37" s="4">
        <f>IF(OR(ISBLANK(B37),B37=""),0,VLOOKUP(B37,'Ondal Booms'!B:G,4,FALSE))</f>
        <v>0</v>
      </c>
      <c r="D37" s="37">
        <f>IF(OR(ISBLANK(B37),B37=""),0,VLOOKUP(B37,'Ondal Booms'!B:G,2,FALSE))</f>
        <v>0</v>
      </c>
      <c r="E37" s="35">
        <f>IF(OR(ISBLANK(B37),B37=""),0,VLOOKUP(B37,'Ondal Booms'!B:G,3,FALSE))</f>
        <v>0</v>
      </c>
      <c r="G37" s="55" t="s">
        <v>1050</v>
      </c>
      <c r="H37" s="77">
        <f>COUNTIF(K30:Y39,"Medical Air")</f>
        <v>0</v>
      </c>
      <c r="J37" s="51" t="s">
        <v>1049</v>
      </c>
      <c r="K37" s="33"/>
      <c r="L37" s="60"/>
      <c r="M37" s="61"/>
      <c r="N37" s="58"/>
      <c r="O37" s="62"/>
      <c r="P37" s="61"/>
      <c r="Q37" s="33"/>
      <c r="S37" s="33"/>
      <c r="T37" s="62"/>
      <c r="U37" s="61"/>
      <c r="V37" s="58"/>
      <c r="W37" s="62"/>
      <c r="X37" s="61"/>
      <c r="Y37" s="33"/>
      <c r="Z37" s="40">
        <f t="shared" si="3"/>
        <v>0</v>
      </c>
      <c r="AE37">
        <f>COUNTIF(K38,"(2) Duplexes")+COUNTIF(Y38,"(2) Duplexes")</f>
        <v>0</v>
      </c>
      <c r="AF37">
        <f>COUNTIF(Q38:S38,"(2) Duplexes")</f>
        <v>0</v>
      </c>
      <c r="AG37">
        <f>COUNTIF(K38,"(3) Duplexes")+COUNTIF(Y38,"(3) Duplexes")</f>
        <v>0</v>
      </c>
      <c r="AH37">
        <f>COUNTIF(Q38:S38,"(3) Duplexes")</f>
        <v>0</v>
      </c>
    </row>
    <row r="38" spans="1:34" hidden="1" outlineLevel="1">
      <c r="A38" s="55" t="s">
        <v>1052</v>
      </c>
      <c r="B38" s="45"/>
      <c r="C38" s="4">
        <f>IF(OR(ISBLANK(B38),B38=""),0,VLOOKUP(B38,'Ondal Booms'!B:G,4,FALSE))</f>
        <v>0</v>
      </c>
      <c r="D38" s="37">
        <f>IF(OR(ISBLANK(B38),B38=""),0,VLOOKUP(B38,'Ondal Booms'!B:G,2,FALSE))</f>
        <v>0</v>
      </c>
      <c r="E38" s="35">
        <f>IF(OR(ISBLANK(B38),B38=""),0,VLOOKUP(B38,'Ondal Booms'!B:G,3,FALSE))</f>
        <v>0</v>
      </c>
      <c r="G38" s="55" t="s">
        <v>1053</v>
      </c>
      <c r="H38" s="77">
        <f>COUNTIF(K30:Y39,"Nitrous Oxide")</f>
        <v>0</v>
      </c>
      <c r="J38" s="51" t="s">
        <v>1051</v>
      </c>
      <c r="K38" s="33"/>
      <c r="L38" s="56"/>
      <c r="M38" s="57"/>
      <c r="N38" s="58"/>
      <c r="O38" s="59"/>
      <c r="P38" s="57"/>
      <c r="Q38" s="33"/>
      <c r="S38" s="33"/>
      <c r="T38" s="59"/>
      <c r="U38" s="57"/>
      <c r="V38" s="58"/>
      <c r="W38" s="59"/>
      <c r="X38" s="57"/>
      <c r="Y38" s="33"/>
      <c r="Z38" s="40">
        <f t="shared" si="3"/>
        <v>0</v>
      </c>
    </row>
    <row r="39" spans="1:34" ht="17.100000000000001" hidden="1" outlineLevel="1" thickBot="1">
      <c r="A39" s="55" t="s">
        <v>454</v>
      </c>
      <c r="B39" s="45"/>
      <c r="C39" s="4">
        <f>IF(OR(ISBLANK(B39),B39=""),0,VLOOKUP(B39,'Ondal Booms'!B:G,4,FALSE))</f>
        <v>0</v>
      </c>
      <c r="D39" s="37">
        <f>IF(OR(ISBLANK(B39),B39=""),0,VLOOKUP(B39,'Ondal Booms'!B:G,2,FALSE))</f>
        <v>0</v>
      </c>
      <c r="E39" s="35">
        <f>IF(OR(ISBLANK(B39),B39=""),0,VLOOKUP(B39,'Ondal Booms'!B:G,3,FALSE))</f>
        <v>0</v>
      </c>
      <c r="G39" s="55" t="s">
        <v>1055</v>
      </c>
      <c r="H39" s="77">
        <f>COUNTIF(K30:Y39,"WAGD")</f>
        <v>0</v>
      </c>
      <c r="J39" s="51" t="s">
        <v>1054</v>
      </c>
      <c r="K39" s="33"/>
      <c r="L39" s="60"/>
      <c r="M39" s="61"/>
      <c r="N39" s="63"/>
      <c r="O39" s="62"/>
      <c r="P39" s="61"/>
      <c r="Q39" s="33"/>
      <c r="S39" s="33"/>
      <c r="T39" s="62"/>
      <c r="U39" s="61"/>
      <c r="V39" s="63"/>
      <c r="W39" s="62"/>
      <c r="X39" s="61"/>
      <c r="Y39" s="33"/>
      <c r="Z39" s="40">
        <f t="shared" si="3"/>
        <v>0</v>
      </c>
    </row>
    <row r="40" spans="1:34" hidden="1" outlineLevel="1">
      <c r="A40" s="55" t="s">
        <v>455</v>
      </c>
      <c r="B40" s="45"/>
      <c r="C40" s="4">
        <f>IF(OR(ISBLANK(B40),B40=""),0,VLOOKUP(B40,'Ondal Booms'!B:G,4,FALSE))</f>
        <v>0</v>
      </c>
      <c r="D40" s="37">
        <f>IF(OR(ISBLANK(B40),B40=""),0,VLOOKUP(B40,'Ondal Booms'!B:G,2,FALSE))</f>
        <v>0</v>
      </c>
      <c r="E40" s="35">
        <f>IF(OR(ISBLANK(B40),B40=""),0,VLOOKUP(B40,'Ondal Booms'!B:G,3,FALSE))</f>
        <v>0</v>
      </c>
      <c r="G40" s="55" t="s">
        <v>1056</v>
      </c>
      <c r="H40" s="77">
        <f>COUNTIF(K30:Y39,"Vacuum")</f>
        <v>0</v>
      </c>
    </row>
    <row r="41" spans="1:34" hidden="1" outlineLevel="1">
      <c r="A41" s="55" t="s">
        <v>1057</v>
      </c>
      <c r="B41" s="45"/>
      <c r="C41" s="4">
        <f>IF(OR(ISBLANK(B41),B41=""),0,VLOOKUP(B41,'Ondal Booms'!B:G,4,FALSE))</f>
        <v>0</v>
      </c>
      <c r="D41" s="37">
        <f>IF(OR(ISBLANK(B41),B41=""),0,VLOOKUP(B41,'Ondal Booms'!B:G,2,FALSE))</f>
        <v>0</v>
      </c>
      <c r="E41" s="35">
        <f>IF(OR(ISBLANK(B41),B41=""),0,VLOOKUP(B41,'Ondal Booms'!B:G,3,FALSE))</f>
        <v>0</v>
      </c>
      <c r="G41" s="55" t="s">
        <v>1058</v>
      </c>
      <c r="H41" s="77">
        <f>COUNTIF(K30:Y39,"Nitrogen")</f>
        <v>0</v>
      </c>
    </row>
    <row r="42" spans="1:34" hidden="1" outlineLevel="1">
      <c r="A42" s="55" t="s">
        <v>1059</v>
      </c>
      <c r="B42" s="45"/>
      <c r="C42" s="4">
        <f>IF(OR(ISBLANK(B42),B42=""),0,VLOOKUP(B42,'Ondal Booms'!B:G,4,FALSE))</f>
        <v>0</v>
      </c>
      <c r="D42" s="37">
        <f>IF(OR(ISBLANK(B42),B42=""),0,VLOOKUP(B42,'Ondal Booms'!B:G,2,FALSE))</f>
        <v>0</v>
      </c>
      <c r="E42" s="35">
        <f>IF(OR(ISBLANK(B42),B42=""),0,VLOOKUP(B42,'Ondal Booms'!B:G,3,FALSE))</f>
        <v>0</v>
      </c>
      <c r="G42" s="64" t="s">
        <v>1060</v>
      </c>
      <c r="H42" s="77">
        <f>COUNTIF(K30:Y39,"Carbon Dioxide")</f>
        <v>0</v>
      </c>
    </row>
    <row r="43" spans="1:34" hidden="1" outlineLevel="1">
      <c r="A43" s="55" t="s">
        <v>1061</v>
      </c>
      <c r="B43" s="45"/>
      <c r="C43" s="4">
        <f>IF(OR(ISBLANK(B43),B43=""),0,VLOOKUP(B43,'Ondal Booms'!B:G,4,FALSE))</f>
        <v>0</v>
      </c>
      <c r="D43" s="37">
        <f>IF(OR(ISBLANK(B43),B43=""),0,VLOOKUP(B43,'Ondal Booms'!B:G,2,FALSE))</f>
        <v>0</v>
      </c>
      <c r="E43" s="35">
        <f>IF(OR(ISBLANK(B43),B43=""),0,VLOOKUP(B43,'Ondal Booms'!B:G,3,FALSE))</f>
        <v>0</v>
      </c>
      <c r="H43" s="36"/>
    </row>
    <row r="44" spans="1:34" hidden="1" outlineLevel="1">
      <c r="A44" s="55" t="s">
        <v>1062</v>
      </c>
      <c r="B44" s="45"/>
      <c r="C44" s="4">
        <f>IF(OR(ISBLANK(B44),B44=""),0,VLOOKUP(B44,'Ondal Booms'!B:G,4,FALSE))</f>
        <v>0</v>
      </c>
      <c r="D44" s="37">
        <f>IF(OR(ISBLANK(B44),B44=""),0,VLOOKUP(B44,'Ondal Booms'!B:G,2,FALSE))</f>
        <v>0</v>
      </c>
      <c r="E44" s="35">
        <f>IF(OR(ISBLANK(B44),B44=""),0,VLOOKUP(B44,'Ondal Booms'!B:G,3,FALSE))</f>
        <v>0</v>
      </c>
    </row>
    <row r="45" spans="1:34" hidden="1" outlineLevel="1">
      <c r="A45" s="55" t="s">
        <v>1063</v>
      </c>
      <c r="B45" s="45"/>
      <c r="C45" s="4">
        <f>IF(OR(ISBLANK(B45),B45=""),0,VLOOKUP(B45,'Ondal Booms'!B:G,4,FALSE))</f>
        <v>0</v>
      </c>
      <c r="D45" s="37">
        <f>IF(OR(ISBLANK(B45),B45=""),0,VLOOKUP(B45,'Ondal Booms'!B:G,2,FALSE))</f>
        <v>0</v>
      </c>
      <c r="E45" s="35">
        <f>IF(OR(ISBLANK(B45),B45=""),0,VLOOKUP(B45,'Ondal Booms'!B:G,3,FALSE))</f>
        <v>0</v>
      </c>
      <c r="G45" s="37"/>
    </row>
    <row r="46" spans="1:34" hidden="1" outlineLevel="1">
      <c r="A46" s="55" t="s">
        <v>1064</v>
      </c>
      <c r="B46" s="45"/>
      <c r="C46" s="4">
        <f>IF(OR(ISBLANK(B46),B46=""),0,VLOOKUP(B46,'Ondal Booms'!B:G,4,FALSE))</f>
        <v>0</v>
      </c>
      <c r="D46" s="37">
        <f>IF(OR(ISBLANK(B46),B46=""),0,VLOOKUP(B46,'Ondal Booms'!B:G,2,FALSE))</f>
        <v>0</v>
      </c>
      <c r="E46" s="35">
        <f>IF(OR(ISBLANK(B46),B46=""),0,VLOOKUP(B46,'Ondal Booms'!B:G,3,FALSE))</f>
        <v>0</v>
      </c>
      <c r="G46" s="37"/>
    </row>
    <row r="47" spans="1:34" hidden="1" outlineLevel="1">
      <c r="A47" s="64" t="s">
        <v>1065</v>
      </c>
      <c r="B47" s="45"/>
      <c r="C47" s="4">
        <f>IF(OR(ISBLANK(B47),B47=""),0,VLOOKUP(B47,'Ondal Booms'!B:G,4,FALSE))</f>
        <v>0</v>
      </c>
      <c r="D47" s="37">
        <f>IF(OR(ISBLANK(B47),B47=""),0,VLOOKUP(B47,'Ondal Booms'!B:G,2,FALSE))</f>
        <v>0</v>
      </c>
      <c r="E47" s="35">
        <f>IF(OR(ISBLANK(B47),B47=""),0,VLOOKUP(B47,'Ondal Booms'!B:G,3,FALSE))</f>
        <v>0</v>
      </c>
    </row>
    <row r="48" spans="1:34" hidden="1" outlineLevel="1">
      <c r="C48" s="4"/>
      <c r="E48" s="37"/>
    </row>
    <row r="49" spans="1:32" hidden="1" outlineLevel="1">
      <c r="A49" s="49" t="s">
        <v>1066</v>
      </c>
      <c r="B49" s="70" t="str">
        <f>IF(OR(ISBLANK(B30),B30=""),"",
IF(OR(AND(B35="200mm Service Head",SUM(Z32:Z39)&gt;0),AND(B35="400mm Service Head",SUM(Z34:Z39)&gt;0),AND(B35="600mm Service Head",SUM(Z36:Z39)&gt;0),AND(B35="800mm Service Head",SUM(Z38:Z39)&gt;0)),"Select Longer Service Head or Remove Services",
IF(AND(RIGHT(B33,2)="XL",RIGHT(B32,2)&lt;&gt;"XL"),"BOTTOM XL ARM REQUIRES TOP XL ARM",
IF(OR(ISBLANK(#REF!),ISBLANK(B31),ISBLANK(B32),ISBLANK(B33),ISBLANK(B34),ISBLANK(B35),ISBLANK(B39),ISBLANK(B40),ISBLANK(B38)),"Missing Selections for Configuration",
IF(AND(B35="Large Monitor Carrier",B33&lt;&gt;"Spring Articulating"),"Large Monitor Requires Spring Bottom Arm",
IF(OR(AND(RIGHT(B31,2)="XL",RIGHT(B32,2)&lt;&gt;"XL"),AND(RIGHT(B32,2)="XL",RIGHT(B31,2)&lt;&gt;"XL")),"Both Top Arm and Ceiling Flange Must Be XL",
IF(COUNTIF(AE29:AH37,1)&gt;1,"Mismatch Electrical Configuration",
""))))))
)</f>
        <v/>
      </c>
      <c r="C49" s="4"/>
      <c r="D49" s="4"/>
      <c r="E49" s="35"/>
    </row>
    <row r="50" spans="1:32" hidden="1" outlineLevel="1">
      <c r="B50" s="1"/>
      <c r="C50" s="47" t="s">
        <v>1026</v>
      </c>
      <c r="D50" s="47" t="s">
        <v>1027</v>
      </c>
      <c r="E50" s="47" t="s">
        <v>1067</v>
      </c>
      <c r="F50" s="35"/>
      <c r="I50" s="35"/>
    </row>
    <row r="51" spans="1:32" ht="17.100000000000001" collapsed="1" thickBot="1">
      <c r="A51" s="69" t="s">
        <v>1068</v>
      </c>
      <c r="B51" s="72" t="str">
        <f>IF(OR(B30="",ISBLANK(B30)),"NO CONFIGURATION SELECTED",C51)</f>
        <v>NO CONFIGURATION SELECTED</v>
      </c>
      <c r="C51" s="65">
        <f>SUM(C30:C47)</f>
        <v>0</v>
      </c>
      <c r="D51" s="65">
        <f t="shared" ref="D51:E51" si="4">SUM(D30:D47)</f>
        <v>0</v>
      </c>
      <c r="E51" s="65">
        <f t="shared" si="4"/>
        <v>0</v>
      </c>
      <c r="F51" s="1"/>
      <c r="I51" s="1"/>
      <c r="J51" t="str">
        <f>"&lt;-- EXPAND TO SHOW OPTIONS / SERVICE HEAD"</f>
        <v>&lt;-- EXPAND TO SHOW OPTIONS / SERVICE HEAD</v>
      </c>
    </row>
    <row r="52" spans="1:32" ht="17.100000000000001" thickTop="1">
      <c r="AC52" s="285"/>
      <c r="AD52" s="285"/>
      <c r="AE52" s="285"/>
      <c r="AF52" s="285"/>
    </row>
    <row r="53" spans="1:32">
      <c r="A53" s="46" t="s">
        <v>1070</v>
      </c>
      <c r="B53" s="47" t="s">
        <v>1025</v>
      </c>
      <c r="C53" s="47" t="s">
        <v>1026</v>
      </c>
      <c r="D53" s="47" t="s">
        <v>1071</v>
      </c>
      <c r="E53" s="47" t="s">
        <v>1072</v>
      </c>
    </row>
    <row r="54" spans="1:32" hidden="1" outlineLevel="1">
      <c r="A54" s="49" t="s">
        <v>1035</v>
      </c>
      <c r="B54" s="50" t="str">
        <f>IF(AND(ISBLANK(B57),ISBLANK(B58),ISBLANK(B59)),"",
IF(B55="Upgrade Only","UPGRADE",
IF(RIGHT(B57,4)="(3P)","(3P) ","")&amp;
IF(ISBLANK(B57),"",VLOOKUP(B57,'Simeon Lights'!C:H,2,FALSE))&amp;
IF(ISBLANK(B58),""," / "&amp;VLOOKUP(B58,'Simeon Lights'!C:H,2,FALSE))&amp;
IF(ISBLANK(B59),""," / "&amp;VLOOKUP(B59,'Simeon Lights'!C:H,2,FALSE))))</f>
        <v/>
      </c>
      <c r="C54" s="4">
        <f>IF(ISBLANK(B57),0,(VLOOKUP(B54,'Simeon Lights'!C:J,6,FALSE)))</f>
        <v>0</v>
      </c>
      <c r="D54" s="37">
        <f>IF(ISBLANK(B57),0,(VLOOKUP(B54,'Simeon Lights'!C:J,4,FALSE)))</f>
        <v>0</v>
      </c>
      <c r="E54" s="37">
        <f>IF(ISBLANK(B57),0,(VLOOKUP(B54,'Simeon Lights'!C:J,5,FALSE)))</f>
        <v>0</v>
      </c>
      <c r="G54" s="1"/>
      <c r="H54" s="1"/>
    </row>
    <row r="55" spans="1:32" hidden="1" outlineLevel="1">
      <c r="A55" s="55" t="s">
        <v>310</v>
      </c>
      <c r="B55" s="33"/>
      <c r="C55" s="4">
        <f>IF(ISBLANK(B55),0,VLOOKUP(B55,'Simeon Lights'!C:J,6,FALSE))</f>
        <v>0</v>
      </c>
      <c r="D55" s="37">
        <f>IF(ISBLANK(B55),0,VLOOKUP(B55,'Simeon Lights'!C:J,4,FALSE))</f>
        <v>0</v>
      </c>
      <c r="E55" s="37">
        <f>IF(ISBLANK(B55),0,VLOOKUP(B55,'Simeon Lights'!C:J,5,FALSE))</f>
        <v>0</v>
      </c>
    </row>
    <row r="56" spans="1:32" hidden="1" outlineLevel="1">
      <c r="A56" s="55" t="s">
        <v>1073</v>
      </c>
      <c r="B56" s="33"/>
      <c r="C56" s="4">
        <f>IF(ISBLANK(B56),0,VLOOKUP(B56,'Simeon Lights'!C:J,6,FALSE))</f>
        <v>0</v>
      </c>
      <c r="D56" s="37">
        <f>IF(ISBLANK(B56),0,VLOOKUP(B56,'Simeon Lights'!C:J,4,FALSE))</f>
        <v>0</v>
      </c>
      <c r="E56" s="37">
        <f>IF(ISBLANK(B56),0,VLOOKUP(B56,'Simeon Lights'!C:J,5,FALSE))</f>
        <v>0</v>
      </c>
    </row>
    <row r="57" spans="1:32" hidden="1" outlineLevel="1">
      <c r="A57" s="55" t="s">
        <v>1074</v>
      </c>
      <c r="B57" s="33"/>
      <c r="C57" s="4">
        <f>IF(ISBLANK(B57),0,VLOOKUP(B57,'Simeon Lights'!C:J,6,FALSE))</f>
        <v>0</v>
      </c>
      <c r="D57" s="37">
        <f>IF(ISBLANK(B57),0,VLOOKUP(B57,'Simeon Lights'!C:J,4,FALSE))</f>
        <v>0</v>
      </c>
      <c r="E57" s="37">
        <f>IF(ISBLANK(B57),0,VLOOKUP(B57,'Simeon Lights'!C:J,5,FALSE))</f>
        <v>0</v>
      </c>
    </row>
    <row r="58" spans="1:32" hidden="1" outlineLevel="1">
      <c r="A58" s="55" t="s">
        <v>1075</v>
      </c>
      <c r="B58" s="33"/>
      <c r="C58" s="4">
        <f>IF(ISBLANK(B58),0,VLOOKUP(B58,'Simeon Lights'!C:J,6,FALSE))</f>
        <v>0</v>
      </c>
      <c r="D58" s="37">
        <f>IF(ISBLANK(B58),0,VLOOKUP(B58,'Simeon Lights'!C:J,4,FALSE))</f>
        <v>0</v>
      </c>
      <c r="E58" s="37">
        <f>IF(ISBLANK(B58),0,VLOOKUP(B58,'Simeon Lights'!C:J,5,FALSE))</f>
        <v>0</v>
      </c>
    </row>
    <row r="59" spans="1:32" hidden="1" outlineLevel="1">
      <c r="A59" s="55" t="s">
        <v>1077</v>
      </c>
      <c r="B59" s="33"/>
      <c r="C59" s="4">
        <f>IF(ISBLANK(B59),0,VLOOKUP(B59,'Simeon Lights'!C:J,6,FALSE))</f>
        <v>0</v>
      </c>
      <c r="D59" s="37">
        <f>IF(ISBLANK(B59),0,VLOOKUP(B59,'Simeon Lights'!C:J,4,FALSE))</f>
        <v>0</v>
      </c>
      <c r="E59" s="37">
        <f>IF(ISBLANK(B59),0,VLOOKUP(B59,'Simeon Lights'!C:J,5,FALSE))</f>
        <v>0</v>
      </c>
    </row>
    <row r="60" spans="1:32" hidden="1" outlineLevel="1">
      <c r="A60" s="55" t="s">
        <v>589</v>
      </c>
      <c r="B60" s="34"/>
      <c r="C60" s="4">
        <f>IF(ISBLANK(B60),0,VLOOKUP(B60,'Simeon Lights'!C:J,6,FALSE))</f>
        <v>0</v>
      </c>
      <c r="D60" s="37">
        <f>IF(ISBLANK(B60),0,VLOOKUP(B60,'Simeon Lights'!C:J,4,FALSE))</f>
        <v>0</v>
      </c>
      <c r="E60" s="37">
        <f>IF(ISBLANK(B60),0,VLOOKUP(B60,'Simeon Lights'!C:J,5,FALSE))</f>
        <v>0</v>
      </c>
    </row>
    <row r="61" spans="1:32" hidden="1" outlineLevel="1">
      <c r="A61" s="55" t="s">
        <v>1078</v>
      </c>
      <c r="B61" s="34"/>
      <c r="C61" s="4">
        <f>IF(ISBLANK(B61),0,VLOOKUP(B61,'Simeon Lights'!C:J,6,FALSE))</f>
        <v>0</v>
      </c>
      <c r="D61" s="37">
        <f>IF(ISBLANK(B61),0,VLOOKUP(B61,'Simeon Lights'!C:J,4,FALSE))</f>
        <v>0</v>
      </c>
      <c r="E61" s="37">
        <f>IF(ISBLANK(B61),0,VLOOKUP(B61,'Simeon Lights'!C:J,5,FALSE))</f>
        <v>0</v>
      </c>
    </row>
    <row r="62" spans="1:32" hidden="1" outlineLevel="1">
      <c r="A62" s="55" t="s">
        <v>615</v>
      </c>
      <c r="B62" s="34"/>
      <c r="C62" s="4">
        <f>IF(ISBLANK(B62),0,VLOOKUP(B62,'Simeon Lights'!C:J,6,FALSE))</f>
        <v>0</v>
      </c>
      <c r="D62" s="37">
        <f>IF(ISBLANK(B62),0,VLOOKUP(B62,'Simeon Lights'!C:J,4,FALSE))</f>
        <v>0</v>
      </c>
      <c r="E62" s="37">
        <f>IF(ISBLANK(B62),0,VLOOKUP(B62,'Simeon Lights'!C:J,5,FALSE))</f>
        <v>0</v>
      </c>
    </row>
    <row r="63" spans="1:32" hidden="1" outlineLevel="1">
      <c r="A63" s="64" t="s">
        <v>1079</v>
      </c>
      <c r="B63" s="34"/>
      <c r="C63" s="4">
        <f>IF(ISBLANK(B63),0,VLOOKUP(B63,'Simeon Lights'!C:J,6,FALSE))</f>
        <v>0</v>
      </c>
      <c r="D63" s="37">
        <f>IF(ISBLANK(B63),0,VLOOKUP(B63,'Simeon Lights'!C:J,4,FALSE))</f>
        <v>0</v>
      </c>
      <c r="E63" s="37">
        <f>IF(ISBLANK(B63),0,VLOOKUP(B63,'Simeon Lights'!C:J,5,FALSE))</f>
        <v>0</v>
      </c>
    </row>
    <row r="64" spans="1:32" hidden="1" outlineLevel="1">
      <c r="C64" s="4"/>
      <c r="D64" s="4"/>
      <c r="E64" s="44"/>
    </row>
    <row r="65" spans="1:10" hidden="1" outlineLevel="1">
      <c r="A65" s="49" t="s">
        <v>1066</v>
      </c>
      <c r="B65" s="70" t="str">
        <f xml:space="preserve">
IF(AND(ISBLANK(B57),ISBLANK(B58),ISBLANK(B59)),"",
IF(AND(ISBLANK(B57),B58&lt;&gt;""),"ARM 1 MISSING",
IF(AND(ISBLANK(B57),B59&lt;&gt;""),"ARM 1 MISSING",
IF(ISBLANK(B58)&amp;ISBLANK(B59)="TRUEFALSE","ARM 2 MISSING",
IF(AND(B57&lt;&gt;"",B58="32in Flat Panel",B59&lt;&gt;""),"FP CANNOT BE MIDDLE ARM",
IF(OR(ISBLANK(B55),ISBLANK(B56),ISBLANK(B60),ISBLANK(B61),ISBLANK(B62),ISBLANK(B63)),"Missing Selections",""))))))</f>
        <v/>
      </c>
      <c r="C65" s="4"/>
      <c r="D65" s="4"/>
      <c r="E65" s="35"/>
    </row>
    <row r="66" spans="1:10" hidden="1" outlineLevel="1">
      <c r="B66" s="71"/>
      <c r="C66" s="47" t="s">
        <v>1026</v>
      </c>
      <c r="D66" s="47" t="s">
        <v>1071</v>
      </c>
      <c r="E66" s="47" t="s">
        <v>1072</v>
      </c>
      <c r="F66" s="1"/>
      <c r="I66" s="1"/>
    </row>
    <row r="67" spans="1:10" ht="17.100000000000001" collapsed="1" thickBot="1">
      <c r="A67" s="69" t="s">
        <v>1068</v>
      </c>
      <c r="B67" s="72" t="str">
        <f>IF(OR(ISBLANK(B57),ISBLANK(B58)&amp;ISBLANK(B59)="TRUEFALSE"),"NO CONFIGURATION SELECTED",IF(B65&lt;&gt;"","ERROR IN CONFIGURATION",IF(B57="",0,SUM(C54:C63))))</f>
        <v>NO CONFIGURATION SELECTED</v>
      </c>
      <c r="C67" s="65">
        <f>SUM(C54:C65)</f>
        <v>0</v>
      </c>
      <c r="D67" s="65">
        <f t="shared" ref="D67:E67" si="5">SUM(D54:D65)</f>
        <v>0</v>
      </c>
      <c r="E67" s="65">
        <f t="shared" si="5"/>
        <v>0</v>
      </c>
      <c r="J67" t="str">
        <f>"&lt;-- EXPAND TO SHOW OPTIONS"</f>
        <v>&lt;-- EXPAND TO SHOW OPTIONS</v>
      </c>
    </row>
    <row r="68" spans="1:10" ht="17.100000000000001" thickTop="1">
      <c r="E68" s="1"/>
    </row>
    <row r="69" spans="1:10">
      <c r="A69" s="46"/>
      <c r="B69" s="47" t="s">
        <v>1080</v>
      </c>
      <c r="E69" s="47" t="s">
        <v>1085</v>
      </c>
    </row>
    <row r="70" spans="1:10" ht="17.100000000000001" thickBot="1">
      <c r="A70" s="69" t="s">
        <v>1082</v>
      </c>
      <c r="B70" s="72">
        <f>IF(OR(B27="Error in Configuration",B27="No Configuration Selected"),0,B27)+IF(OR(B51="Error in Configuration",B51="No Configuration Selected"),0,B51)+IF(OR(B67="Error in Configuration",B67="No Configuration Selected"),0,B67)</f>
        <v>0</v>
      </c>
      <c r="E70" s="65">
        <f>SUM(E67,E51,E27)</f>
        <v>0</v>
      </c>
      <c r="G70" s="1"/>
      <c r="H70" s="1"/>
    </row>
    <row r="71" spans="1:10" ht="17.100000000000001" thickTop="1"/>
  </sheetData>
  <sheetProtection sheet="1" formatColumns="0" formatRows="0" selectLockedCells="1"/>
  <mergeCells count="6">
    <mergeCell ref="AC52:AF52"/>
    <mergeCell ref="L4:P4"/>
    <mergeCell ref="T4:X4"/>
    <mergeCell ref="L29:P29"/>
    <mergeCell ref="T29:X29"/>
    <mergeCell ref="AC27:AF27"/>
  </mergeCells>
  <conditionalFormatting sqref="B25">
    <cfRule type="expression" dxfId="17" priority="2">
      <formula>$B$25&lt;&gt;""</formula>
    </cfRule>
  </conditionalFormatting>
  <conditionalFormatting sqref="B49">
    <cfRule type="expression" dxfId="16" priority="1">
      <formula>$B$25&lt;&gt;""</formula>
    </cfRule>
  </conditionalFormatting>
  <conditionalFormatting sqref="B65">
    <cfRule type="expression" dxfId="15" priority="3" stopIfTrue="1">
      <formula>$B$65&lt;&gt;""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 xr:uid="{4392E440-B5B8-A24C-AF49-31F608E190A3}">
          <x14:formula1>
            <xm:f>'BnL Drop Downs'!$A$2:$A$11</xm:f>
          </x14:formula1>
          <xm:sqref>R5:R16 R30:R41</xm:sqref>
        </x14:dataValidation>
        <x14:dataValidation type="list" allowBlank="1" showInputMessage="1" showErrorMessage="1" xr:uid="{3023093D-10FC-2748-A49A-619D76D8337A}">
          <x14:formula1>
            <xm:f>'BnL Drop Downs'!$A$2:$A$14</xm:f>
          </x14:formula1>
          <xm:sqref>K5:K16 Q5:Q16 S5:S16 Y5:Y16 K30:K41 Q30:Q41 S30:S41 Y30:Y41</xm:sqref>
        </x14:dataValidation>
        <x14:dataValidation type="list" allowBlank="1" showInputMessage="1" showErrorMessage="1" xr:uid="{EAF11B56-30EE-0941-8482-97EC8789FB07}">
          <x14:formula1>
            <xm:f>'Ondal Booms'!$B$77:$B$87</xm:f>
          </x14:formula1>
          <xm:sqref>B9 B33</xm:sqref>
        </x14:dataValidation>
        <x14:dataValidation type="list" allowBlank="1" showInputMessage="1" showErrorMessage="1" xr:uid="{A71E5BA6-CF51-1144-8F00-B982F8BEBDCC}">
          <x14:formula1>
            <xm:f>'Ondal Booms'!$B$64:$B$74</xm:f>
          </x14:formula1>
          <xm:sqref>B8 B32</xm:sqref>
        </x14:dataValidation>
        <x14:dataValidation type="list" allowBlank="1" showInputMessage="1" showErrorMessage="1" xr:uid="{63F2C6F5-E393-D74A-880E-C287B20CB68A}">
          <x14:formula1>
            <xm:f>'Ondal Booms'!$B$55:$B$61</xm:f>
          </x14:formula1>
          <xm:sqref>B7 B31</xm:sqref>
        </x14:dataValidation>
        <x14:dataValidation type="list" allowBlank="1" showInputMessage="1" showErrorMessage="1" xr:uid="{71238F6A-2703-E946-B73F-027DC7559990}">
          <x14:formula1>
            <xm:f>'Ondal Booms'!$B$152:$B$157</xm:f>
          </x14:formula1>
          <xm:sqref>B16 B40</xm:sqref>
        </x14:dataValidation>
        <x14:dataValidation type="list" allowBlank="1" showInputMessage="1" showErrorMessage="1" xr:uid="{54553FD6-8AE3-B74E-9CDA-A2174CADECB5}">
          <x14:formula1>
            <xm:f>'Simeon Lights'!$C$86:$C$93</xm:f>
          </x14:formula1>
          <xm:sqref>B63</xm:sqref>
        </x14:dataValidation>
        <x14:dataValidation type="list" allowBlank="1" showInputMessage="1" showErrorMessage="1" xr:uid="{38A760EE-A49D-CF4C-AB9F-FA146FAB79E1}">
          <x14:formula1>
            <xm:f>'Simeon Lights'!$C$74:$C$76</xm:f>
          </x14:formula1>
          <xm:sqref>B61</xm:sqref>
        </x14:dataValidation>
        <x14:dataValidation type="list" allowBlank="1" showInputMessage="1" showErrorMessage="1" xr:uid="{DF1F9004-CE8E-1A41-A33D-CE3C37D9FE48}">
          <x14:formula1>
            <xm:f>'Simeon Lights'!$C$62:$C$71</xm:f>
          </x14:formula1>
          <xm:sqref>B60</xm:sqref>
        </x14:dataValidation>
        <x14:dataValidation type="list" allowBlank="1" showInputMessage="1" showErrorMessage="1" xr:uid="{08B95CE4-D0E7-2A49-9F40-9D1312B0F652}">
          <x14:formula1>
            <xm:f>'Simeon Lights'!$C$79:$C$83</xm:f>
          </x14:formula1>
          <xm:sqref>B62</xm:sqref>
        </x14:dataValidation>
        <x14:dataValidation type="list" allowBlank="1" showInputMessage="1" showErrorMessage="1" xr:uid="{6BEDC321-5620-F14C-933D-8A6D7576EDC6}">
          <x14:formula1>
            <xm:f>'Ondal Booms'!$B$48:$B$51</xm:f>
          </x14:formula1>
          <xm:sqref>B6</xm:sqref>
        </x14:dataValidation>
        <x14:dataValidation type="list" allowBlank="1" showInputMessage="1" showErrorMessage="1" xr:uid="{85B1B8ED-0552-0246-AEF5-977385ACAC0B}">
          <x14:formula1>
            <xm:f>'Ondal Booms'!$B$100:$B$106</xm:f>
          </x14:formula1>
          <xm:sqref>B11 B35</xm:sqref>
        </x14:dataValidation>
        <x14:dataValidation type="list" allowBlank="1" showInputMessage="1" showErrorMessage="1" xr:uid="{22E148C1-DC5B-3245-82BD-206919FF8E60}">
          <x14:formula1>
            <xm:f>'Ondal Booms'!$B$90:$B$96</xm:f>
          </x14:formula1>
          <xm:sqref>B10 B34</xm:sqref>
        </x14:dataValidation>
        <x14:dataValidation type="list" allowBlank="1" showInputMessage="1" showErrorMessage="1" xr:uid="{C206560E-7584-2C49-995D-E5712ED3346D}">
          <x14:formula1>
            <xm:f>'Ondal Booms'!$B$3:$B$10</xm:f>
          </x14:formula1>
          <xm:sqref>B6:B9 B31:B33</xm:sqref>
        </x14:dataValidation>
        <x14:dataValidation type="list" allowBlank="1" showDropDown="1" showInputMessage="1" showErrorMessage="1" xr:uid="{9A68F467-658C-D542-ADEE-3DE2BF67875D}">
          <x14:formula1>
            <xm:f>'Ondal Booms'!$B$3:$B$10</xm:f>
          </x14:formula1>
          <xm:sqref>B5:B7 B30:B31</xm:sqref>
        </x14:dataValidation>
        <x14:dataValidation type="list" allowBlank="1" showInputMessage="1" showErrorMessage="1" xr:uid="{117240D2-0C6F-8849-8D89-25E1E48970B8}">
          <x14:formula1>
            <xm:f>'Ondal Booms'!$B$169:$B$181</xm:f>
          </x14:formula1>
          <xm:sqref>B17:B23 B41:B47</xm:sqref>
        </x14:dataValidation>
        <x14:dataValidation type="list" allowBlank="1" showInputMessage="1" showErrorMessage="1" xr:uid="{F594019B-21E6-464D-9540-812E0097CD73}">
          <x14:formula1>
            <xm:f>'Ondal Booms'!$B$145:$B$150</xm:f>
          </x14:formula1>
          <xm:sqref>B15 B39</xm:sqref>
        </x14:dataValidation>
        <x14:dataValidation type="list" allowBlank="1" showInputMessage="1" showErrorMessage="1" xr:uid="{78FCB383-7FF1-B64B-939D-67D26C9CA26E}">
          <x14:formula1>
            <xm:f>'Ondal Booms'!#REF!</xm:f>
          </x14:formula1>
          <xm:sqref>B15:B16 B39:B40</xm:sqref>
        </x14:dataValidation>
        <x14:dataValidation type="list" allowBlank="1" showInputMessage="1" showErrorMessage="1" xr:uid="{CDEB8286-9FF4-424F-B29F-7BDA33233F86}">
          <x14:formula1>
            <xm:f>'Ondal Booms'!$B$159:$B$166</xm:f>
          </x14:formula1>
          <xm:sqref>B14 B38</xm:sqref>
        </x14:dataValidation>
        <x14:dataValidation type="list" allowBlank="1" showInputMessage="1" showErrorMessage="1" xr:uid="{54A78351-EEE2-7045-B0BD-CBB5DC743480}">
          <x14:formula1>
            <xm:f>'Simeon Lights'!$C$49:$C$59</xm:f>
          </x14:formula1>
          <xm:sqref>B56</xm:sqref>
        </x14:dataValidation>
        <x14:dataValidation type="list" allowBlank="1" showInputMessage="1" showErrorMessage="1" xr:uid="{B45E3D78-18C5-D34A-AEF3-0EE6FE055826}">
          <x14:formula1>
            <xm:f>'Simeon Lights'!$C$103:$C$108</xm:f>
          </x14:formula1>
          <xm:sqref>B55</xm:sqref>
        </x14:dataValidation>
        <x14:dataValidation type="list" allowBlank="1" showInputMessage="1" showErrorMessage="1" xr:uid="{BF1177BD-D9D8-E345-847A-94F26BDF0772}">
          <x14:formula1>
            <xm:f>'Simeon Lights'!$C$27:$C$45</xm:f>
          </x14:formula1>
          <xm:sqref>B57:B59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B66BC-18BB-6242-9DAF-665FCF5AE196}">
  <dimension ref="A1:AH71"/>
  <sheetViews>
    <sheetView zoomScaleNormal="100" workbookViewId="0">
      <selection activeCell="Y5" sqref="Y5:Y8"/>
    </sheetView>
  </sheetViews>
  <sheetFormatPr defaultColWidth="11" defaultRowHeight="15.95" outlineLevelRow="1" outlineLevelCol="1"/>
  <cols>
    <col min="1" max="1" width="27.875" customWidth="1"/>
    <col min="2" max="2" width="43" customWidth="1"/>
    <col min="3" max="5" width="17.625" customWidth="1" outlineLevel="1"/>
    <col min="6" max="6" width="2.375" customWidth="1"/>
    <col min="7" max="7" width="18.375" hidden="1" customWidth="1" outlineLevel="1"/>
    <col min="8" max="8" width="8.375" hidden="1" customWidth="1" outlineLevel="1"/>
    <col min="9" max="9" width="2.375" customWidth="1" collapsed="1"/>
    <col min="10" max="10" width="7" bestFit="1" customWidth="1"/>
    <col min="11" max="11" width="14" customWidth="1"/>
    <col min="12" max="13" width="3.375" customWidth="1"/>
    <col min="14" max="14" width="16.5" customWidth="1"/>
    <col min="15" max="16" width="3.375" customWidth="1"/>
    <col min="17" max="17" width="13.375" customWidth="1"/>
    <col min="18" max="18" width="3" customWidth="1"/>
    <col min="19" max="19" width="13" customWidth="1"/>
    <col min="20" max="21" width="3.375" customWidth="1"/>
    <col min="22" max="22" width="16.375" customWidth="1"/>
    <col min="23" max="24" width="3.375" customWidth="1"/>
    <col min="25" max="25" width="13.375" customWidth="1"/>
    <col min="26" max="26" width="13.375" style="40" customWidth="1"/>
    <col min="27" max="29" width="13.375" customWidth="1"/>
    <col min="30" max="30" width="13" customWidth="1"/>
    <col min="31" max="31" width="3.5" hidden="1" customWidth="1"/>
    <col min="32" max="33" width="4.375" hidden="1" customWidth="1"/>
    <col min="34" max="34" width="4.5" hidden="1" customWidth="1"/>
  </cols>
  <sheetData>
    <row r="1" spans="1:34">
      <c r="A1" s="46" t="s">
        <v>1096</v>
      </c>
      <c r="B1" s="47" t="s">
        <v>1022</v>
      </c>
    </row>
    <row r="2" spans="1:34">
      <c r="A2" s="48" t="s">
        <v>163</v>
      </c>
      <c r="B2" s="33"/>
    </row>
    <row r="3" spans="1:34">
      <c r="E3" s="37"/>
    </row>
    <row r="4" spans="1:34" ht="18.95">
      <c r="A4" s="46" t="s">
        <v>1024</v>
      </c>
      <c r="B4" s="47" t="s">
        <v>1025</v>
      </c>
      <c r="C4" s="47" t="s">
        <v>1026</v>
      </c>
      <c r="D4" s="47" t="s">
        <v>1027</v>
      </c>
      <c r="E4" s="47" t="s">
        <v>1028</v>
      </c>
      <c r="G4" s="79" t="s">
        <v>1029</v>
      </c>
      <c r="H4" s="80" t="s">
        <v>1030</v>
      </c>
      <c r="J4" s="83" t="s">
        <v>1031</v>
      </c>
      <c r="K4" s="84" t="s">
        <v>1032</v>
      </c>
      <c r="L4" s="282" t="s">
        <v>1033</v>
      </c>
      <c r="M4" s="282"/>
      <c r="N4" s="282"/>
      <c r="O4" s="282"/>
      <c r="P4" s="282"/>
      <c r="Q4" s="80" t="s">
        <v>1032</v>
      </c>
      <c r="R4" s="36"/>
      <c r="S4" s="79" t="s">
        <v>1032</v>
      </c>
      <c r="T4" s="282" t="s">
        <v>1034</v>
      </c>
      <c r="U4" s="282"/>
      <c r="V4" s="282"/>
      <c r="W4" s="282"/>
      <c r="X4" s="282"/>
      <c r="Y4" s="80" t="s">
        <v>1032</v>
      </c>
      <c r="AE4">
        <f>COUNTIF(K5,"(2) Duplexes")+COUNTIF(Y5,"(2) Duplexes")</f>
        <v>0</v>
      </c>
      <c r="AF4">
        <f>COUNTIF(Q5:S5,"(2) Duplexes")</f>
        <v>0</v>
      </c>
      <c r="AG4">
        <f>COUNTIF(K5,"(3) Duplexes")+COUNTIF(Y5,"(3) Duplexes")</f>
        <v>0</v>
      </c>
      <c r="AH4">
        <f>COUNTIF(Q5:S5,"(3) Duplexes")</f>
        <v>0</v>
      </c>
    </row>
    <row r="5" spans="1:34" outlineLevel="1">
      <c r="A5" s="49" t="s">
        <v>1035</v>
      </c>
      <c r="B5" s="50" t="str">
        <f>IF(OR(ISBLANK(B8),ISBLANK(B9)),"",IF(ISBLANK(B9),0,(VLOOKUP(B9,'Ondal Booms'!B:F,5,FALSE)))&amp;IF(ISBLANK(B8),0,(VLOOKUP(B8,'Ondal Booms'!B:F,5,FALSE))))</f>
        <v/>
      </c>
      <c r="C5" s="4">
        <f>IF(OR(ISBLANK(B5),B5=""),0,VLOOKUP(B5,'Ondal Booms'!B:G,4,FALSE))</f>
        <v>0</v>
      </c>
      <c r="D5" s="37">
        <f>IF(OR(ISBLANK(B5),B5=""),0,VLOOKUP(B5,'Ondal Booms'!B:G,2,FALSE))</f>
        <v>0</v>
      </c>
      <c r="E5" s="35">
        <f>IF(OR(ISBLANK(B5),B5=""),0,VLOOKUP(B5,'Ondal Booms'!B:G,3,FALSE))</f>
        <v>0</v>
      </c>
      <c r="G5" s="48" t="s">
        <v>1036</v>
      </c>
      <c r="H5" s="77">
        <f>COUNTIF(K5:Y14,"(2) Duplexes")*2+COUNTIF(K5:Y14,"(3) Duplexes")*3</f>
        <v>0</v>
      </c>
      <c r="J5" s="67" t="s">
        <v>1037</v>
      </c>
      <c r="K5" s="82"/>
      <c r="L5" s="56"/>
      <c r="M5" s="57"/>
      <c r="N5" s="58"/>
      <c r="O5" s="59"/>
      <c r="P5" s="57"/>
      <c r="Q5" s="82"/>
      <c r="S5" s="82"/>
      <c r="T5" s="59"/>
      <c r="U5" s="57"/>
      <c r="V5" s="58"/>
      <c r="W5" s="59"/>
      <c r="X5" s="57"/>
      <c r="Y5" s="82"/>
      <c r="Z5" s="40">
        <f>15-COUNTIFS(K5:Y5,"")</f>
        <v>0</v>
      </c>
    </row>
    <row r="6" spans="1:34" ht="17.100000000000001" outlineLevel="1" thickBot="1">
      <c r="A6" s="55" t="s">
        <v>310</v>
      </c>
      <c r="B6" s="7"/>
      <c r="C6" s="4">
        <f>IF(OR(ISBLANK(B6),B6=""),0,VLOOKUP(B6,'Ondal Booms'!B:G,4,FALSE))</f>
        <v>0</v>
      </c>
      <c r="D6" s="37">
        <f>IF(OR(ISBLANK(B6),B6=""),0,VLOOKUP(B6,'Ondal Booms'!B:G,2,FALSE))</f>
        <v>0</v>
      </c>
      <c r="E6" s="35">
        <f>IF(OR(ISBLANK(B6),B6=""),0,VLOOKUP(B6,'Ondal Booms'!B:G,3,FALSE))</f>
        <v>0</v>
      </c>
      <c r="J6" s="55" t="s">
        <v>1038</v>
      </c>
      <c r="K6" s="33"/>
      <c r="L6" s="56"/>
      <c r="M6" s="57"/>
      <c r="N6" s="58"/>
      <c r="O6" s="59"/>
      <c r="P6" s="57"/>
      <c r="Q6" s="33"/>
      <c r="S6" s="33"/>
      <c r="T6" s="59"/>
      <c r="U6" s="57"/>
      <c r="V6" s="58"/>
      <c r="W6" s="59"/>
      <c r="X6" s="57"/>
      <c r="Y6" s="33"/>
      <c r="Z6" s="40">
        <f t="shared" ref="Z6:Z14" si="0">15-COUNTIFS(K6:Y6,"")</f>
        <v>0</v>
      </c>
      <c r="AE6">
        <f>COUNTIF(K7,"(2) Duplexes")+COUNTIF(Y7,"(2) Duplexes")</f>
        <v>0</v>
      </c>
      <c r="AF6">
        <f>COUNTIF(Q7:S7,"(2) Duplexes")</f>
        <v>0</v>
      </c>
      <c r="AG6">
        <f>COUNTIF(K7,"(3) Duplexes")+COUNTIF(Y7,"(3) Duplexes")</f>
        <v>0</v>
      </c>
      <c r="AH6">
        <f>COUNTIF(Q7:S7,"(3) Duplexes")</f>
        <v>0</v>
      </c>
    </row>
    <row r="7" spans="1:34" outlineLevel="1">
      <c r="A7" s="55" t="s">
        <v>354</v>
      </c>
      <c r="B7" s="45"/>
      <c r="C7" s="4">
        <f>IF(OR(ISBLANK(B7),B7=""),0,VLOOKUP(B7,'Ondal Booms'!B:G,4,FALSE))</f>
        <v>0</v>
      </c>
      <c r="D7" s="37">
        <f>IF(OR(ISBLANK(B7),B7=""),0,VLOOKUP(B7,'Ondal Booms'!B:G,2,FALSE))</f>
        <v>0</v>
      </c>
      <c r="E7" s="35">
        <f>IF(OR(ISBLANK(B7),B7=""),0,VLOOKUP(B7,'Ondal Booms'!B:G,3,FALSE))</f>
        <v>0</v>
      </c>
      <c r="G7" s="79" t="s">
        <v>1039</v>
      </c>
      <c r="H7" s="80" t="s">
        <v>1030</v>
      </c>
      <c r="J7" s="55" t="s">
        <v>1040</v>
      </c>
      <c r="K7" s="33"/>
      <c r="L7" s="52"/>
      <c r="M7" s="53"/>
      <c r="N7" s="58"/>
      <c r="O7" s="54"/>
      <c r="P7" s="53"/>
      <c r="Q7" s="33"/>
      <c r="S7" s="33"/>
      <c r="T7" s="54"/>
      <c r="U7" s="53"/>
      <c r="V7" s="58"/>
      <c r="W7" s="54"/>
      <c r="X7" s="53"/>
      <c r="Y7" s="33"/>
      <c r="Z7" s="40">
        <f t="shared" si="0"/>
        <v>0</v>
      </c>
    </row>
    <row r="8" spans="1:34" ht="17.100000000000001" outlineLevel="1" thickBot="1">
      <c r="A8" s="55" t="s">
        <v>355</v>
      </c>
      <c r="B8" s="8"/>
      <c r="C8" s="4">
        <f>IF(OR(ISBLANK(B8),B8=""),0,VLOOKUP(B8,'Ondal Booms'!B:G,4,FALSE))</f>
        <v>0</v>
      </c>
      <c r="D8" s="37">
        <f>IF(OR(ISBLANK(B8),B8=""),0,VLOOKUP(B8,'Ondal Booms'!B:G,2,FALSE))</f>
        <v>0</v>
      </c>
      <c r="E8" s="35">
        <f>IF(OR(ISBLANK(B8),B8=""),0,VLOOKUP(B8,'Ondal Booms'!B:G,3,FALSE))</f>
        <v>0</v>
      </c>
      <c r="G8" s="55" t="s">
        <v>1041</v>
      </c>
      <c r="H8" s="78">
        <f>(COUNTIF(K5:Y14,"Data"))</f>
        <v>0</v>
      </c>
      <c r="J8" s="55" t="s">
        <v>1042</v>
      </c>
      <c r="K8" s="33"/>
      <c r="L8" s="56"/>
      <c r="M8" s="57"/>
      <c r="N8" s="58"/>
      <c r="O8" s="59"/>
      <c r="P8" s="57"/>
      <c r="Q8" s="33"/>
      <c r="S8" s="33"/>
      <c r="T8" s="59"/>
      <c r="U8" s="57"/>
      <c r="V8" s="58"/>
      <c r="W8" s="59"/>
      <c r="X8" s="57"/>
      <c r="Y8" s="33"/>
      <c r="Z8" s="40">
        <f t="shared" si="0"/>
        <v>0</v>
      </c>
      <c r="AE8">
        <f>COUNTIF(K9,"(2) Duplexes")+COUNTIF(Y9,"(2) Duplexes")</f>
        <v>0</v>
      </c>
      <c r="AF8">
        <f>COUNTIF(Q9:S9,"(2) Duplexes")</f>
        <v>0</v>
      </c>
      <c r="AG8">
        <f>COUNTIF(K9,"(3) Duplexes")+COUNTIF(Y9,"(3) Duplexes")</f>
        <v>0</v>
      </c>
      <c r="AH8">
        <f>COUNTIF(Q9:S9,"(3) Duplexes")</f>
        <v>0</v>
      </c>
    </row>
    <row r="9" spans="1:34" outlineLevel="1">
      <c r="A9" s="55" t="s">
        <v>356</v>
      </c>
      <c r="B9" s="7"/>
      <c r="C9" s="4">
        <f>IF(OR(ISBLANK(B9),B9=""),0,VLOOKUP(B9,'Ondal Booms'!B:G,4,FALSE))</f>
        <v>0</v>
      </c>
      <c r="D9" s="37">
        <f>IF(OR(ISBLANK(B9),B9=""),0,VLOOKUP(B9,'Ondal Booms'!B:G,2,FALSE))</f>
        <v>0</v>
      </c>
      <c r="E9" s="35">
        <f>IF(OR(ISBLANK(B9),B9=""),0,VLOOKUP(B9,'Ondal Booms'!B:G,3,FALSE))</f>
        <v>0</v>
      </c>
      <c r="G9" s="64" t="s">
        <v>1043</v>
      </c>
      <c r="H9" s="77">
        <f>(COUNTIF(K5:Y14,"Storz 4in1"))</f>
        <v>0</v>
      </c>
      <c r="J9" s="55" t="s">
        <v>1044</v>
      </c>
      <c r="K9" s="33"/>
      <c r="L9" s="52"/>
      <c r="M9" s="53"/>
      <c r="N9" s="58"/>
      <c r="O9" s="54"/>
      <c r="P9" s="53"/>
      <c r="Q9" s="33"/>
      <c r="S9" s="33"/>
      <c r="T9" s="54"/>
      <c r="U9" s="53"/>
      <c r="V9" s="58"/>
      <c r="W9" s="54"/>
      <c r="X9" s="53"/>
      <c r="Y9" s="33"/>
      <c r="Z9" s="40">
        <f t="shared" si="0"/>
        <v>0</v>
      </c>
    </row>
    <row r="10" spans="1:34" ht="17.100000000000001" outlineLevel="1" thickBot="1">
      <c r="A10" s="55" t="s">
        <v>418</v>
      </c>
      <c r="B10" s="7"/>
      <c r="C10" s="4">
        <f>IF(OR(ISBLANK(B10),B10=""),0,VLOOKUP(B10,'Ondal Booms'!B:G,4,FALSE))</f>
        <v>0</v>
      </c>
      <c r="D10" s="37">
        <f>IF(OR(ISBLANK(B10),B10=""),0,VLOOKUP(B10,'Ondal Booms'!B:G,2,FALSE))</f>
        <v>0</v>
      </c>
      <c r="E10" s="35">
        <f>IF(OR(ISBLANK(B10),B10=""),0,VLOOKUP(B10,'Ondal Booms'!B:G,3,FALSE))</f>
        <v>0</v>
      </c>
      <c r="J10" s="55" t="s">
        <v>1045</v>
      </c>
      <c r="K10" s="33"/>
      <c r="L10" s="60"/>
      <c r="M10" s="61"/>
      <c r="N10" s="58"/>
      <c r="O10" s="62"/>
      <c r="P10" s="61"/>
      <c r="Q10" s="33"/>
      <c r="S10" s="33"/>
      <c r="T10" s="62"/>
      <c r="U10" s="61"/>
      <c r="V10" s="58"/>
      <c r="W10" s="62"/>
      <c r="X10" s="61"/>
      <c r="Y10" s="33"/>
      <c r="Z10" s="40">
        <f>15-COUNTIFS(K10:Y10,"")</f>
        <v>0</v>
      </c>
      <c r="AE10">
        <f>COUNTIF(K11,"(2) Duplexes")+COUNTIF(Y11,"(2) Duplexes")</f>
        <v>0</v>
      </c>
      <c r="AF10">
        <f>COUNTIF(Q11:S11,"(2) Duplexes")</f>
        <v>0</v>
      </c>
      <c r="AG10">
        <f>COUNTIF(K11,"(3) Duplexes")+COUNTIF(Y11,"(3) Duplexes")</f>
        <v>0</v>
      </c>
      <c r="AH10">
        <f>COUNTIF(Q11:S11,"(3) Duplexes")</f>
        <v>0</v>
      </c>
    </row>
    <row r="11" spans="1:34" outlineLevel="1">
      <c r="A11" s="55" t="s">
        <v>357</v>
      </c>
      <c r="B11" s="7"/>
      <c r="C11" s="4">
        <f>IF(OR(ISBLANK(B11),B11=""),0,VLOOKUP(B11,'Ondal Booms'!B:G,4,FALSE))</f>
        <v>0</v>
      </c>
      <c r="D11" s="37">
        <f>IF(OR(ISBLANK(B11),B11=""),0,VLOOKUP(B11,'Ondal Booms'!B:G,2,FALSE))</f>
        <v>0</v>
      </c>
      <c r="E11" s="35">
        <f>IF(OR(ISBLANK(B11),B11=""),0,VLOOKUP(B11,'Ondal Booms'!B:G,3,FALSE))</f>
        <v>0</v>
      </c>
      <c r="G11" s="79" t="s">
        <v>1046</v>
      </c>
      <c r="H11" s="80" t="s">
        <v>1030</v>
      </c>
      <c r="J11" s="55" t="s">
        <v>1047</v>
      </c>
      <c r="K11" s="33"/>
      <c r="L11" s="56"/>
      <c r="M11" s="57"/>
      <c r="N11" s="58"/>
      <c r="O11" s="59"/>
      <c r="P11" s="57"/>
      <c r="Q11" s="33"/>
      <c r="S11" s="33"/>
      <c r="T11" s="59"/>
      <c r="U11" s="57"/>
      <c r="V11" s="58"/>
      <c r="W11" s="59"/>
      <c r="X11" s="57"/>
      <c r="Y11" s="33"/>
      <c r="Z11" s="40">
        <f t="shared" si="0"/>
        <v>0</v>
      </c>
    </row>
    <row r="12" spans="1:34" ht="17.100000000000001" outlineLevel="1" thickBot="1">
      <c r="A12" s="49" t="s">
        <v>99</v>
      </c>
      <c r="B12" s="50" t="str">
        <f>IF(OR(H5=0,ISBLANK(H5)),"",H5&amp;" Duplexes")</f>
        <v/>
      </c>
      <c r="C12" s="4">
        <f>IF(OR(ISBLANK(B12),B12=""),0,VLOOKUP(B12,'Ondal Booms'!B:G,4,FALSE))</f>
        <v>0</v>
      </c>
      <c r="D12" s="37">
        <f>IF(OR(ISBLANK(B12),B12=""),0,VLOOKUP(B12,'Ondal Booms'!B:G,2,FALSE))</f>
        <v>0</v>
      </c>
      <c r="E12" s="35">
        <f>IF(OR(ISBLANK(B12),B12=""),0,VLOOKUP(B12,'Ondal Booms'!B:G,3,FALSE))</f>
        <v>0</v>
      </c>
      <c r="G12" s="55" t="s">
        <v>1048</v>
      </c>
      <c r="H12" s="78">
        <f>(COUNTIF(K5:Y14,"Oxygen"))</f>
        <v>0</v>
      </c>
      <c r="J12" s="55" t="s">
        <v>1049</v>
      </c>
      <c r="K12" s="33"/>
      <c r="L12" s="60"/>
      <c r="M12" s="61"/>
      <c r="N12" s="58"/>
      <c r="O12" s="62"/>
      <c r="P12" s="61"/>
      <c r="Q12" s="33"/>
      <c r="S12" s="33"/>
      <c r="T12" s="62"/>
      <c r="U12" s="61"/>
      <c r="V12" s="58"/>
      <c r="W12" s="62"/>
      <c r="X12" s="61"/>
      <c r="Y12" s="33"/>
      <c r="Z12" s="40">
        <f t="shared" si="0"/>
        <v>0</v>
      </c>
      <c r="AE12">
        <f>COUNTIF(K13,"(2) Duplexes")+COUNTIF(Y13,"(2) Duplexes")</f>
        <v>0</v>
      </c>
      <c r="AF12">
        <f>COUNTIF(Q13:S13,"(2) Duplexes")</f>
        <v>0</v>
      </c>
      <c r="AG12">
        <f>COUNTIF(K13,"(3) Duplexes")+COUNTIF(Y13,"(3) Duplexes")</f>
        <v>0</v>
      </c>
      <c r="AH12">
        <f>COUNTIF(Q13:S13,"(3) Duplexes")</f>
        <v>0</v>
      </c>
    </row>
    <row r="13" spans="1:34" outlineLevel="1">
      <c r="A13" s="49" t="s">
        <v>95</v>
      </c>
      <c r="B13" s="50" t="str">
        <f>IF(OR(SUM(H12:H18)=0,ISBLANK(SUM(H12:H18))),"",SUM(H12:H18)&amp;" Outlets")</f>
        <v/>
      </c>
      <c r="C13" s="4">
        <f>IF(OR(ISBLANK(B13),B13=""),0,VLOOKUP(B13,'Ondal Booms'!B:G,4,FALSE))</f>
        <v>0</v>
      </c>
      <c r="D13" s="37">
        <f>IF(OR(ISBLANK(B13),B13=""),0,VLOOKUP(B13,'Ondal Booms'!B:G,2,FALSE))</f>
        <v>0</v>
      </c>
      <c r="E13" s="35">
        <f>IF(OR(ISBLANK(B13),B13=""),0,VLOOKUP(B13,'Ondal Booms'!B:G,3,FALSE))</f>
        <v>0</v>
      </c>
      <c r="G13" s="55" t="s">
        <v>1050</v>
      </c>
      <c r="H13" s="77">
        <f>COUNTIF(K5:Y14,"Medical Air")</f>
        <v>0</v>
      </c>
      <c r="J13" s="55" t="s">
        <v>1051</v>
      </c>
      <c r="K13" s="33"/>
      <c r="L13" s="56"/>
      <c r="M13" s="57"/>
      <c r="N13" s="58"/>
      <c r="O13" s="59"/>
      <c r="P13" s="57"/>
      <c r="Q13" s="33"/>
      <c r="S13" s="33"/>
      <c r="T13" s="59"/>
      <c r="U13" s="57"/>
      <c r="V13" s="58"/>
      <c r="W13" s="59"/>
      <c r="X13" s="57"/>
      <c r="Y13" s="33"/>
      <c r="Z13" s="40">
        <f t="shared" si="0"/>
        <v>0</v>
      </c>
    </row>
    <row r="14" spans="1:34" ht="17.100000000000001" outlineLevel="1" thickBot="1">
      <c r="A14" s="55" t="s">
        <v>1052</v>
      </c>
      <c r="B14" s="45"/>
      <c r="C14" s="4">
        <f>IF(OR(ISBLANK(B14),B14=""),0,VLOOKUP(B14,'Ondal Booms'!B:G,4,FALSE))</f>
        <v>0</v>
      </c>
      <c r="D14" s="37">
        <f>IF(OR(ISBLANK(B14),B14=""),0,VLOOKUP(B14,'Ondal Booms'!B:G,2,FALSE))</f>
        <v>0</v>
      </c>
      <c r="E14" s="35">
        <f>IF(OR(ISBLANK(B14),B14=""),0,VLOOKUP(B14,'Ondal Booms'!B:G,3,FALSE))</f>
        <v>0</v>
      </c>
      <c r="G14" s="55" t="s">
        <v>1053</v>
      </c>
      <c r="H14" s="77">
        <f>COUNTIF(K5:Y14,"Nitrous Oxide")</f>
        <v>0</v>
      </c>
      <c r="J14" s="64" t="s">
        <v>1054</v>
      </c>
      <c r="K14" s="33"/>
      <c r="L14" s="60"/>
      <c r="M14" s="61"/>
      <c r="N14" s="63"/>
      <c r="O14" s="62"/>
      <c r="P14" s="61"/>
      <c r="Q14" s="33"/>
      <c r="S14" s="33"/>
      <c r="T14" s="62"/>
      <c r="U14" s="61"/>
      <c r="V14" s="63"/>
      <c r="W14" s="62"/>
      <c r="X14" s="61"/>
      <c r="Y14" s="33"/>
      <c r="Z14" s="40">
        <f t="shared" si="0"/>
        <v>0</v>
      </c>
    </row>
    <row r="15" spans="1:34" outlineLevel="1">
      <c r="A15" s="55" t="s">
        <v>454</v>
      </c>
      <c r="B15" s="45"/>
      <c r="C15" s="4">
        <f>IF(OR(ISBLANK(B15),B15=""),0,VLOOKUP(B15,'Ondal Booms'!B:G,4,FALSE))</f>
        <v>0</v>
      </c>
      <c r="D15" s="37">
        <f>IF(OR(ISBLANK(B15),B15=""),0,VLOOKUP(B15,'Ondal Booms'!B:G,2,FALSE))</f>
        <v>0</v>
      </c>
      <c r="E15" s="35">
        <f>IF(OR(ISBLANK(B15),B15=""),0,VLOOKUP(B15,'Ondal Booms'!B:G,3,FALSE))</f>
        <v>0</v>
      </c>
      <c r="G15" s="55" t="s">
        <v>1055</v>
      </c>
      <c r="H15" s="77">
        <f>COUNTIF(K5:Y14,"WAGD")</f>
        <v>0</v>
      </c>
    </row>
    <row r="16" spans="1:34" outlineLevel="1">
      <c r="A16" s="55" t="s">
        <v>455</v>
      </c>
      <c r="B16" s="45"/>
      <c r="C16" s="4">
        <f>IF(OR(ISBLANK(B16),B16=""),0,VLOOKUP(B16,'Ondal Booms'!B:G,4,FALSE))</f>
        <v>0</v>
      </c>
      <c r="D16" s="37">
        <f>IF(OR(ISBLANK(B16),B16=""),0,VLOOKUP(B16,'Ondal Booms'!B:G,2,FALSE))</f>
        <v>0</v>
      </c>
      <c r="E16" s="35">
        <f>IF(OR(ISBLANK(B16),B16=""),0,VLOOKUP(B16,'Ondal Booms'!B:G,3,FALSE))</f>
        <v>0</v>
      </c>
      <c r="G16" s="55" t="s">
        <v>1056</v>
      </c>
      <c r="H16" s="77">
        <f>COUNTIF(K5:Y14,"Vacuum")</f>
        <v>0</v>
      </c>
    </row>
    <row r="17" spans="1:34" outlineLevel="1">
      <c r="A17" s="55" t="s">
        <v>1057</v>
      </c>
      <c r="B17" s="45"/>
      <c r="C17" s="4">
        <f>IF(OR(ISBLANK(B17),B17=""),0,VLOOKUP(B17,'Ondal Booms'!B:G,4,FALSE))</f>
        <v>0</v>
      </c>
      <c r="D17" s="37">
        <f>IF(OR(ISBLANK(B17),B17=""),0,VLOOKUP(B17,'Ondal Booms'!B:G,2,FALSE))</f>
        <v>0</v>
      </c>
      <c r="E17" s="35">
        <f>IF(OR(ISBLANK(B17),B17=""),0,VLOOKUP(B17,'Ondal Booms'!B:G,3,FALSE))</f>
        <v>0</v>
      </c>
      <c r="G17" s="55" t="s">
        <v>1058</v>
      </c>
      <c r="H17" s="77">
        <f>COUNTIF(K5:Y14,"Nitrogen")</f>
        <v>0</v>
      </c>
    </row>
    <row r="18" spans="1:34" outlineLevel="1">
      <c r="A18" s="55" t="s">
        <v>1059</v>
      </c>
      <c r="B18" s="45"/>
      <c r="C18" s="4">
        <f>IF(OR(ISBLANK(B18),B18=""),0,VLOOKUP(B18,'Ondal Booms'!B:G,4,FALSE))</f>
        <v>0</v>
      </c>
      <c r="D18" s="37">
        <f>IF(OR(ISBLANK(B18),B18=""),0,VLOOKUP(B18,'Ondal Booms'!B:G,2,FALSE))</f>
        <v>0</v>
      </c>
      <c r="E18" s="35">
        <f>IF(OR(ISBLANK(B18),B18=""),0,VLOOKUP(B18,'Ondal Booms'!B:G,3,FALSE))</f>
        <v>0</v>
      </c>
      <c r="G18" s="64" t="s">
        <v>1060</v>
      </c>
      <c r="H18" s="77">
        <f>COUNTIF(K5:Y14,"Carbon Dioxide")</f>
        <v>0</v>
      </c>
    </row>
    <row r="19" spans="1:34" outlineLevel="1">
      <c r="A19" s="55" t="s">
        <v>1061</v>
      </c>
      <c r="B19" s="45"/>
      <c r="C19" s="4">
        <f>IF(OR(ISBLANK(B19),B19=""),0,VLOOKUP(B19,'Ondal Booms'!B:G,4,FALSE))</f>
        <v>0</v>
      </c>
      <c r="D19" s="37">
        <f>IF(OR(ISBLANK(B19),B19=""),0,VLOOKUP(B19,'Ondal Booms'!B:G,2,FALSE))</f>
        <v>0</v>
      </c>
      <c r="E19" s="35">
        <f>IF(OR(ISBLANK(B19),B19=""),0,VLOOKUP(B19,'Ondal Booms'!B:G,3,FALSE))</f>
        <v>0</v>
      </c>
      <c r="H19" s="36"/>
    </row>
    <row r="20" spans="1:34" outlineLevel="1">
      <c r="A20" s="55" t="s">
        <v>1062</v>
      </c>
      <c r="B20" s="45"/>
      <c r="C20" s="4">
        <f>IF(OR(ISBLANK(B20),B20=""),0,VLOOKUP(B20,'Ondal Booms'!B:G,4,FALSE))</f>
        <v>0</v>
      </c>
      <c r="D20" s="37">
        <f>IF(OR(ISBLANK(B20),B20=""),0,VLOOKUP(B20,'Ondal Booms'!B:G,2,FALSE))</f>
        <v>0</v>
      </c>
      <c r="E20" s="35">
        <f>IF(OR(ISBLANK(B20),B20=""),0,VLOOKUP(B20,'Ondal Booms'!B:G,3,FALSE))</f>
        <v>0</v>
      </c>
    </row>
    <row r="21" spans="1:34" outlineLevel="1">
      <c r="A21" s="55" t="s">
        <v>1063</v>
      </c>
      <c r="B21" s="45"/>
      <c r="C21" s="4">
        <f>IF(OR(ISBLANK(B21),B21=""),0,VLOOKUP(B21,'Ondal Booms'!B:G,4,FALSE))</f>
        <v>0</v>
      </c>
      <c r="D21" s="37">
        <f>IF(OR(ISBLANK(B21),B21=""),0,VLOOKUP(B21,'Ondal Booms'!B:G,2,FALSE))</f>
        <v>0</v>
      </c>
      <c r="E21" s="35">
        <f>IF(OR(ISBLANK(B21),B21=""),0,VLOOKUP(B21,'Ondal Booms'!B:G,3,FALSE))</f>
        <v>0</v>
      </c>
      <c r="G21" s="37"/>
    </row>
    <row r="22" spans="1:34" outlineLevel="1">
      <c r="A22" s="55" t="s">
        <v>1064</v>
      </c>
      <c r="B22" s="45"/>
      <c r="C22" s="4">
        <f>IF(OR(ISBLANK(B22),B22=""),0,VLOOKUP(B22,'Ondal Booms'!B:G,4,FALSE))</f>
        <v>0</v>
      </c>
      <c r="D22" s="37">
        <f>IF(OR(ISBLANK(B22),B22=""),0,VLOOKUP(B22,'Ondal Booms'!B:G,2,FALSE))</f>
        <v>0</v>
      </c>
      <c r="E22" s="35">
        <f>IF(OR(ISBLANK(B22),B22=""),0,VLOOKUP(B22,'Ondal Booms'!B:G,3,FALSE))</f>
        <v>0</v>
      </c>
      <c r="G22" s="37"/>
    </row>
    <row r="23" spans="1:34" outlineLevel="1">
      <c r="A23" s="64" t="s">
        <v>1065</v>
      </c>
      <c r="B23" s="45"/>
      <c r="C23" s="4">
        <f>IF(OR(ISBLANK(B23),B23=""),0,VLOOKUP(B23,'Ondal Booms'!B:G,4,FALSE))</f>
        <v>0</v>
      </c>
      <c r="D23" s="37">
        <f>IF(OR(ISBLANK(B23),B23=""),0,VLOOKUP(B23,'Ondal Booms'!B:G,2,FALSE))</f>
        <v>0</v>
      </c>
      <c r="E23" s="35">
        <f>IF(OR(ISBLANK(B23),B23=""),0,VLOOKUP(B23,'Ondal Booms'!B:G,3,FALSE))</f>
        <v>0</v>
      </c>
    </row>
    <row r="24" spans="1:34" outlineLevel="1">
      <c r="C24" s="4"/>
      <c r="E24" s="37"/>
    </row>
    <row r="25" spans="1:34" outlineLevel="1">
      <c r="A25" s="49" t="s">
        <v>1066</v>
      </c>
      <c r="B25" s="70" t="str">
        <f>IF(OR(ISBLANK(B5),B5=""),"",
IF(OR(AND(B11="200mm Service Head",SUM(Z7:Z14)&gt;0),AND(B11="400mm Service Head",SUM(Z9:Z14)&gt;0),AND(B11="600mm Service Head",SUM(Z11:Z14)&gt;0),AND(B11="800mm Service Head",SUM(Z13:Z14)&gt;0)),"Select Longer Service Head or Remove Services",
IF(AND(RIGHT(B9,2)="XL",RIGHT(B8,2)&lt;&gt;"XL"),"BOTTOM XL ARM REQUIRES TOP XL ARM",
IF(OR(ISBLANK(B6),ISBLANK(B7),ISBLANK(B8),ISBLANK(B9),ISBLANK(B10),ISBLANK(B11),ISBLANK(B15),ISBLANK(B16),ISBLANK(B14)),"Missing Selections for Configuration",
IF(AND(B11="Large Monitor Carrier",B9&lt;&gt;"Spring Articulating"),"Large Monitor Requires Spring Bottom Arm",
IF(OR(AND(RIGHT(B7,2)="XL",RIGHT(B8,2)&lt;&gt;"XL"),AND(RIGHT(B8,2)="XL",RIGHT(B7,2)&lt;&gt;"XL")),"Both Top Arm and Ceiling Flange Must Be XL",
IF(COUNTIF(AE4:AH12,1)&gt;1,"Mismatch Electrical Configuration",
""))))))
)</f>
        <v/>
      </c>
      <c r="C25" s="4"/>
      <c r="D25" s="4"/>
      <c r="E25" s="35"/>
    </row>
    <row r="26" spans="1:34" outlineLevel="1">
      <c r="B26" s="1"/>
      <c r="C26" s="47" t="s">
        <v>1026</v>
      </c>
      <c r="D26" s="47" t="s">
        <v>1027</v>
      </c>
      <c r="E26" s="47" t="s">
        <v>1067</v>
      </c>
      <c r="F26" s="35"/>
      <c r="I26" s="35"/>
    </row>
    <row r="27" spans="1:34" ht="17.100000000000001" thickBot="1">
      <c r="A27" s="69" t="s">
        <v>1068</v>
      </c>
      <c r="B27" s="72" t="str">
        <f>IF(OR(B6="",ISBLANK(B6)),"NO CONFIGURATION SELECTED",C27)</f>
        <v>NO CONFIGURATION SELECTED</v>
      </c>
      <c r="C27" s="65">
        <f>SUM(C5:C23)</f>
        <v>0</v>
      </c>
      <c r="D27" s="65">
        <f t="shared" ref="D27:E27" si="1">SUM(D5:D23)</f>
        <v>0</v>
      </c>
      <c r="E27" s="65">
        <f t="shared" si="1"/>
        <v>0</v>
      </c>
      <c r="F27" s="1"/>
      <c r="I27" s="1"/>
      <c r="J27" t="str">
        <f>"&lt;-- EXPAND TO SHOW OPTIONS / SERVICE HEAD"</f>
        <v>&lt;-- EXPAND TO SHOW OPTIONS / SERVICE HEAD</v>
      </c>
      <c r="AC27" s="285"/>
      <c r="AD27" s="285"/>
      <c r="AE27" s="285"/>
      <c r="AF27" s="285"/>
    </row>
    <row r="28" spans="1:34" ht="17.100000000000001" thickTop="1">
      <c r="C28" s="66"/>
      <c r="D28" s="66"/>
      <c r="E28" s="66"/>
      <c r="F28" s="1"/>
      <c r="I28" s="1"/>
      <c r="AE28">
        <f>COUNTIF(K30,"(2) Duplexes")+COUNTIF(Y30,"(2) Duplexes")</f>
        <v>0</v>
      </c>
      <c r="AF28">
        <f>COUNTIF(Q30:S30,"(2) Duplexes")</f>
        <v>0</v>
      </c>
      <c r="AG28">
        <f>COUNTIF(K30,"(3) Duplexes")+COUNTIF(Y30,"(3) Duplexes")</f>
        <v>0</v>
      </c>
      <c r="AH28">
        <f>COUNTIF(Q30:S30,"(3) Duplexes")</f>
        <v>0</v>
      </c>
    </row>
    <row r="29" spans="1:34" ht="18.95">
      <c r="A29" s="46" t="s">
        <v>1069</v>
      </c>
      <c r="B29" s="47" t="s">
        <v>1025</v>
      </c>
      <c r="C29" s="47" t="s">
        <v>1026</v>
      </c>
      <c r="D29" s="47" t="s">
        <v>1027</v>
      </c>
      <c r="E29" s="47" t="s">
        <v>1028</v>
      </c>
      <c r="G29" s="79" t="s">
        <v>1029</v>
      </c>
      <c r="H29" s="80" t="s">
        <v>1030</v>
      </c>
      <c r="J29" s="83" t="s">
        <v>1031</v>
      </c>
      <c r="K29" s="84" t="s">
        <v>1032</v>
      </c>
      <c r="L29" s="282" t="s">
        <v>1033</v>
      </c>
      <c r="M29" s="282"/>
      <c r="N29" s="282"/>
      <c r="O29" s="282"/>
      <c r="P29" s="282"/>
      <c r="Q29" s="80" t="s">
        <v>1032</v>
      </c>
      <c r="R29" s="36"/>
      <c r="S29" s="79" t="s">
        <v>1032</v>
      </c>
      <c r="T29" s="282" t="s">
        <v>1034</v>
      </c>
      <c r="U29" s="282"/>
      <c r="V29" s="282"/>
      <c r="W29" s="282"/>
      <c r="X29" s="282"/>
      <c r="Y29" s="80" t="s">
        <v>1032</v>
      </c>
    </row>
    <row r="30" spans="1:34" hidden="1" outlineLevel="1">
      <c r="A30" s="49" t="s">
        <v>1035</v>
      </c>
      <c r="B30" s="50" t="str">
        <f>IF(OR(ISBLANK(B32),ISBLANK(B33)),"",IF(ISBLANK(B33),0,(VLOOKUP(B33,'Ondal Booms'!B:F,5,FALSE)))&amp;IF(ISBLANK(B32),0,(VLOOKUP(B32,'Ondal Booms'!B:F,5,FALSE))))</f>
        <v/>
      </c>
      <c r="C30" s="4">
        <f>IF(OR(ISBLANK(B30),B30=""),0,VLOOKUP(B30,'Ondal Booms'!B:G,4,FALSE))</f>
        <v>0</v>
      </c>
      <c r="D30" s="37">
        <f>IF(OR(ISBLANK(B30),B30=""),0,VLOOKUP(B30,'Ondal Booms'!B:G,2,FALSE))</f>
        <v>0</v>
      </c>
      <c r="E30" s="35">
        <f>IF(OR(ISBLANK(B30),B30=""),0,VLOOKUP(B30,'Ondal Booms'!B:G,3,FALSE))</f>
        <v>0</v>
      </c>
      <c r="G30" s="48" t="s">
        <v>1036</v>
      </c>
      <c r="H30" s="77">
        <f>COUNTIF(K30:Y39,"(2) Duplexes")*2+COUNTIF(K30:Y39,"(3) Duplexes")*3</f>
        <v>0</v>
      </c>
      <c r="J30" s="51" t="s">
        <v>1037</v>
      </c>
      <c r="K30" s="82"/>
      <c r="L30" s="56"/>
      <c r="M30" s="57"/>
      <c r="N30" s="58"/>
      <c r="O30" s="59"/>
      <c r="P30" s="57"/>
      <c r="Q30" s="82"/>
      <c r="S30" s="82"/>
      <c r="T30" s="59"/>
      <c r="U30" s="57"/>
      <c r="V30" s="58"/>
      <c r="W30" s="59"/>
      <c r="X30" s="57"/>
      <c r="Y30" s="82"/>
      <c r="Z30" s="40">
        <f>15-COUNTIFS(K30:Y30,"")</f>
        <v>0</v>
      </c>
    </row>
    <row r="31" spans="1:34" hidden="1" outlineLevel="1">
      <c r="A31" s="55" t="s">
        <v>354</v>
      </c>
      <c r="B31" s="45"/>
      <c r="C31" s="4">
        <f>IF(OR(ISBLANK(B31),B31=""),0,VLOOKUP(B31,'Ondal Booms'!B:G,4,FALSE))</f>
        <v>0</v>
      </c>
      <c r="D31" s="37">
        <f>IF(OR(ISBLANK(B31),B31=""),0,VLOOKUP(B31,'Ondal Booms'!B:G,2,FALSE))</f>
        <v>0</v>
      </c>
      <c r="E31" s="35">
        <f>IF(OR(ISBLANK(B31),B31=""),0,VLOOKUP(B31,'Ondal Booms'!B:G,3,FALSE))</f>
        <v>0</v>
      </c>
      <c r="G31" s="79" t="s">
        <v>1039</v>
      </c>
      <c r="H31" s="80" t="s">
        <v>1030</v>
      </c>
      <c r="J31" s="51" t="s">
        <v>1038</v>
      </c>
      <c r="K31" s="33"/>
      <c r="L31" s="56"/>
      <c r="M31" s="57"/>
      <c r="N31" s="58"/>
      <c r="O31" s="59"/>
      <c r="P31" s="57"/>
      <c r="Q31" s="33"/>
      <c r="S31" s="33"/>
      <c r="T31" s="59"/>
      <c r="U31" s="57"/>
      <c r="V31" s="58"/>
      <c r="W31" s="59"/>
      <c r="X31" s="57"/>
      <c r="Y31" s="33"/>
      <c r="Z31" s="40">
        <f t="shared" ref="Z31:Z34" si="2">15-COUNTIFS(K31:Y31,"")</f>
        <v>0</v>
      </c>
      <c r="AE31">
        <f>COUNTIF(K32,"(2) Duplexes")+COUNTIF(Y32,"(2) Duplexes")</f>
        <v>0</v>
      </c>
      <c r="AF31">
        <f>COUNTIF(Q32:S32,"(2) Duplexes")</f>
        <v>0</v>
      </c>
      <c r="AG31">
        <f>COUNTIF(K32,"(3) Duplexes")+COUNTIF(Y32,"(3) Duplexes")</f>
        <v>0</v>
      </c>
      <c r="AH31">
        <f>COUNTIF(Q32:S32,"(3) Duplexes")</f>
        <v>0</v>
      </c>
    </row>
    <row r="32" spans="1:34" hidden="1" outlineLevel="1">
      <c r="A32" s="55" t="s">
        <v>355</v>
      </c>
      <c r="B32" s="8"/>
      <c r="C32" s="4">
        <f>IF(OR(ISBLANK(B32),B32=""),0,VLOOKUP(B32,'Ondal Booms'!B:G,4,FALSE))</f>
        <v>0</v>
      </c>
      <c r="D32" s="37">
        <f>IF(OR(ISBLANK(B32),B32=""),0,VLOOKUP(B32,'Ondal Booms'!B:G,2,FALSE))</f>
        <v>0</v>
      </c>
      <c r="E32" s="35">
        <f>IF(OR(ISBLANK(B32),B32=""),0,VLOOKUP(B32,'Ondal Booms'!B:G,3,FALSE))</f>
        <v>0</v>
      </c>
      <c r="G32" s="55" t="s">
        <v>1041</v>
      </c>
      <c r="H32" s="78">
        <f>(COUNTIF(K30:Y39,"Data"))</f>
        <v>0</v>
      </c>
      <c r="J32" s="51" t="s">
        <v>1040</v>
      </c>
      <c r="K32" s="33"/>
      <c r="L32" s="52"/>
      <c r="M32" s="53"/>
      <c r="N32" s="58"/>
      <c r="O32" s="54"/>
      <c r="P32" s="53"/>
      <c r="Q32" s="33"/>
      <c r="S32" s="33"/>
      <c r="T32" s="54"/>
      <c r="U32" s="53"/>
      <c r="V32" s="58"/>
      <c r="W32" s="54"/>
      <c r="X32" s="53"/>
      <c r="Y32" s="33"/>
      <c r="Z32" s="40">
        <f t="shared" si="2"/>
        <v>0</v>
      </c>
    </row>
    <row r="33" spans="1:34" hidden="1" outlineLevel="1">
      <c r="A33" s="55" t="s">
        <v>356</v>
      </c>
      <c r="B33" s="7"/>
      <c r="C33" s="4">
        <f>IF(OR(ISBLANK(B33),B33=""),0,VLOOKUP(B33,'Ondal Booms'!B:G,4,FALSE))</f>
        <v>0</v>
      </c>
      <c r="D33" s="37">
        <f>IF(OR(ISBLANK(B33),B33=""),0,VLOOKUP(B33,'Ondal Booms'!B:G,2,FALSE))</f>
        <v>0</v>
      </c>
      <c r="E33" s="35">
        <f>IF(OR(ISBLANK(B33),B33=""),0,VLOOKUP(B33,'Ondal Booms'!B:G,3,FALSE))</f>
        <v>0</v>
      </c>
      <c r="G33" s="64" t="s">
        <v>1043</v>
      </c>
      <c r="H33" s="77">
        <f>(COUNTIF(K30:Y39,"Storz 4in1"))</f>
        <v>0</v>
      </c>
      <c r="J33" s="51" t="s">
        <v>1042</v>
      </c>
      <c r="K33" s="33"/>
      <c r="L33" s="56"/>
      <c r="M33" s="57"/>
      <c r="N33" s="58"/>
      <c r="O33" s="59"/>
      <c r="P33" s="57"/>
      <c r="Q33" s="33"/>
      <c r="S33" s="33"/>
      <c r="T33" s="59"/>
      <c r="U33" s="57"/>
      <c r="V33" s="58"/>
      <c r="W33" s="59"/>
      <c r="X33" s="57"/>
      <c r="Y33" s="33"/>
      <c r="Z33" s="40">
        <f t="shared" si="2"/>
        <v>0</v>
      </c>
      <c r="AE33">
        <f>COUNTIF(K34,"(2) Duplexes")+COUNTIF(Y34,"(2) Duplexes")</f>
        <v>0</v>
      </c>
      <c r="AF33">
        <f>COUNTIF(Q34:S34,"(2) Duplexes")</f>
        <v>0</v>
      </c>
      <c r="AG33">
        <f>COUNTIF(K34,"(3) Duplexes")+COUNTIF(Y34,"(3) Duplexes")</f>
        <v>0</v>
      </c>
      <c r="AH33">
        <f>COUNTIF(Q34:S34,"(3) Duplexes")</f>
        <v>0</v>
      </c>
    </row>
    <row r="34" spans="1:34" hidden="1" outlineLevel="1">
      <c r="A34" s="55" t="s">
        <v>418</v>
      </c>
      <c r="B34" s="7"/>
      <c r="C34" s="4">
        <f>IF(OR(ISBLANK(B34),B34=""),0,VLOOKUP(B34,'Ondal Booms'!B:G,4,FALSE))</f>
        <v>0</v>
      </c>
      <c r="D34" s="37">
        <f>IF(OR(ISBLANK(B34),B34=""),0,VLOOKUP(B34,'Ondal Booms'!B:G,2,FALSE))</f>
        <v>0</v>
      </c>
      <c r="E34" s="35">
        <f>IF(OR(ISBLANK(B34),B34=""),0,VLOOKUP(B34,'Ondal Booms'!B:G,3,FALSE))</f>
        <v>0</v>
      </c>
      <c r="J34" s="51" t="s">
        <v>1044</v>
      </c>
      <c r="K34" s="33"/>
      <c r="L34" s="52"/>
      <c r="M34" s="53"/>
      <c r="N34" s="58"/>
      <c r="O34" s="54"/>
      <c r="P34" s="53"/>
      <c r="Q34" s="33"/>
      <c r="S34" s="33"/>
      <c r="T34" s="54"/>
      <c r="U34" s="53"/>
      <c r="V34" s="58"/>
      <c r="W34" s="54"/>
      <c r="X34" s="53"/>
      <c r="Y34" s="33"/>
      <c r="Z34" s="40">
        <f t="shared" si="2"/>
        <v>0</v>
      </c>
    </row>
    <row r="35" spans="1:34" ht="17.100000000000001" hidden="1" outlineLevel="1" thickBot="1">
      <c r="A35" s="55" t="s">
        <v>357</v>
      </c>
      <c r="B35" s="7"/>
      <c r="C35" s="4">
        <f>IF(OR(ISBLANK(B35),B35=""),0,VLOOKUP(B35,'Ondal Booms'!B:G,4,FALSE))</f>
        <v>0</v>
      </c>
      <c r="D35" s="37">
        <f>IF(OR(ISBLANK(B35),B35=""),0,VLOOKUP(B35,'Ondal Booms'!B:G,2,FALSE))</f>
        <v>0</v>
      </c>
      <c r="E35" s="35">
        <f>IF(OR(ISBLANK(B35),B35=""),0,VLOOKUP(B35,'Ondal Booms'!B:G,3,FALSE))</f>
        <v>0</v>
      </c>
      <c r="G35" s="79" t="s">
        <v>1046</v>
      </c>
      <c r="H35" s="80" t="s">
        <v>1030</v>
      </c>
      <c r="J35" s="51" t="s">
        <v>1045</v>
      </c>
      <c r="K35" s="33"/>
      <c r="L35" s="60"/>
      <c r="M35" s="61"/>
      <c r="N35" s="58"/>
      <c r="O35" s="62"/>
      <c r="P35" s="61"/>
      <c r="Q35" s="33"/>
      <c r="S35" s="33"/>
      <c r="T35" s="62"/>
      <c r="U35" s="61"/>
      <c r="V35" s="58"/>
      <c r="W35" s="62"/>
      <c r="X35" s="61"/>
      <c r="Y35" s="33"/>
      <c r="Z35" s="40">
        <f>15-COUNTIFS(K35:Y35,"")</f>
        <v>0</v>
      </c>
      <c r="AE35">
        <f>COUNTIF(K36,"(2) Duplexes")+COUNTIF(Y36,"(2) Duplexes")</f>
        <v>0</v>
      </c>
      <c r="AF35">
        <f>COUNTIF(Q36:S36,"(2) Duplexes")</f>
        <v>0</v>
      </c>
      <c r="AG35">
        <f>COUNTIF(K36,"(3) Duplexes")+COUNTIF(Y36,"(3) Duplexes")</f>
        <v>0</v>
      </c>
      <c r="AH35">
        <f>COUNTIF(Q36:S36,"(3) Duplexes")</f>
        <v>0</v>
      </c>
    </row>
    <row r="36" spans="1:34" hidden="1" outlineLevel="1">
      <c r="A36" s="49" t="s">
        <v>99</v>
      </c>
      <c r="B36" s="50" t="str">
        <f>IF(OR(H30=0,ISBLANK(H30)),"",H30&amp;" Duplexes")</f>
        <v/>
      </c>
      <c r="C36" s="4">
        <f>IF(OR(ISBLANK(B36),B36=""),0,VLOOKUP(B36,'Ondal Booms'!B:G,4,FALSE))</f>
        <v>0</v>
      </c>
      <c r="D36" s="37">
        <f>IF(OR(ISBLANK(B36),B36=""),0,VLOOKUP(B36,'Ondal Booms'!B:G,2,FALSE))</f>
        <v>0</v>
      </c>
      <c r="E36" s="35">
        <f>IF(OR(ISBLANK(B36),B36=""),0,VLOOKUP(B36,'Ondal Booms'!B:G,3,FALSE))</f>
        <v>0</v>
      </c>
      <c r="G36" s="55" t="s">
        <v>1048</v>
      </c>
      <c r="H36" s="78">
        <f>(COUNTIF(K30:Y39,"Oxygen"))</f>
        <v>0</v>
      </c>
      <c r="J36" s="51" t="s">
        <v>1047</v>
      </c>
      <c r="K36" s="33"/>
      <c r="L36" s="56"/>
      <c r="M36" s="57"/>
      <c r="N36" s="58"/>
      <c r="O36" s="59"/>
      <c r="P36" s="57"/>
      <c r="Q36" s="33"/>
      <c r="S36" s="33"/>
      <c r="T36" s="59"/>
      <c r="U36" s="57"/>
      <c r="V36" s="58"/>
      <c r="W36" s="59"/>
      <c r="X36" s="57"/>
      <c r="Y36" s="33"/>
      <c r="Z36" s="40">
        <f t="shared" ref="Z36:Z39" si="3">15-COUNTIFS(K36:Y36,"")</f>
        <v>0</v>
      </c>
    </row>
    <row r="37" spans="1:34" ht="17.100000000000001" hidden="1" outlineLevel="1" thickBot="1">
      <c r="A37" s="49" t="s">
        <v>95</v>
      </c>
      <c r="B37" s="50" t="str">
        <f>IF(OR(SUM(H36:H42)=0,ISBLANK(SUM(H36:H42))),"",SUM(H36:H42)&amp;" Outlets")</f>
        <v/>
      </c>
      <c r="C37" s="4">
        <f>IF(OR(ISBLANK(B37),B37=""),0,VLOOKUP(B37,'Ondal Booms'!B:G,4,FALSE))</f>
        <v>0</v>
      </c>
      <c r="D37" s="37">
        <f>IF(OR(ISBLANK(B37),B37=""),0,VLOOKUP(B37,'Ondal Booms'!B:G,2,FALSE))</f>
        <v>0</v>
      </c>
      <c r="E37" s="35">
        <f>IF(OR(ISBLANK(B37),B37=""),0,VLOOKUP(B37,'Ondal Booms'!B:G,3,FALSE))</f>
        <v>0</v>
      </c>
      <c r="G37" s="55" t="s">
        <v>1050</v>
      </c>
      <c r="H37" s="77">
        <f>COUNTIF(K30:Y39,"Medical Air")</f>
        <v>0</v>
      </c>
      <c r="J37" s="51" t="s">
        <v>1049</v>
      </c>
      <c r="K37" s="33"/>
      <c r="L37" s="60"/>
      <c r="M37" s="61"/>
      <c r="N37" s="58"/>
      <c r="O37" s="62"/>
      <c r="P37" s="61"/>
      <c r="Q37" s="33"/>
      <c r="S37" s="33"/>
      <c r="T37" s="62"/>
      <c r="U37" s="61"/>
      <c r="V37" s="58"/>
      <c r="W37" s="62"/>
      <c r="X37" s="61"/>
      <c r="Y37" s="33"/>
      <c r="Z37" s="40">
        <f t="shared" si="3"/>
        <v>0</v>
      </c>
      <c r="AE37">
        <f>COUNTIF(K38,"(2) Duplexes")+COUNTIF(Y38,"(2) Duplexes")</f>
        <v>0</v>
      </c>
      <c r="AF37">
        <f>COUNTIF(Q38:S38,"(2) Duplexes")</f>
        <v>0</v>
      </c>
      <c r="AG37">
        <f>COUNTIF(K38,"(3) Duplexes")+COUNTIF(Y38,"(3) Duplexes")</f>
        <v>0</v>
      </c>
      <c r="AH37">
        <f>COUNTIF(Q38:S38,"(3) Duplexes")</f>
        <v>0</v>
      </c>
    </row>
    <row r="38" spans="1:34" hidden="1" outlineLevel="1">
      <c r="A38" s="55" t="s">
        <v>1052</v>
      </c>
      <c r="B38" s="45"/>
      <c r="C38" s="4">
        <f>IF(OR(ISBLANK(B38),B38=""),0,VLOOKUP(B38,'Ondal Booms'!B:G,4,FALSE))</f>
        <v>0</v>
      </c>
      <c r="D38" s="37">
        <f>IF(OR(ISBLANK(B38),B38=""),0,VLOOKUP(B38,'Ondal Booms'!B:G,2,FALSE))</f>
        <v>0</v>
      </c>
      <c r="E38" s="35">
        <f>IF(OR(ISBLANK(B38),B38=""),0,VLOOKUP(B38,'Ondal Booms'!B:G,3,FALSE))</f>
        <v>0</v>
      </c>
      <c r="G38" s="55" t="s">
        <v>1053</v>
      </c>
      <c r="H38" s="77">
        <f>COUNTIF(K30:Y39,"Nitrous Oxide")</f>
        <v>0</v>
      </c>
      <c r="J38" s="51" t="s">
        <v>1051</v>
      </c>
      <c r="K38" s="33"/>
      <c r="L38" s="56"/>
      <c r="M38" s="57"/>
      <c r="N38" s="58"/>
      <c r="O38" s="59"/>
      <c r="P38" s="57"/>
      <c r="Q38" s="33"/>
      <c r="S38" s="33"/>
      <c r="T38" s="59"/>
      <c r="U38" s="57"/>
      <c r="V38" s="58"/>
      <c r="W38" s="59"/>
      <c r="X38" s="57"/>
      <c r="Y38" s="33"/>
      <c r="Z38" s="40">
        <f t="shared" si="3"/>
        <v>0</v>
      </c>
    </row>
    <row r="39" spans="1:34" ht="17.100000000000001" hidden="1" outlineLevel="1" thickBot="1">
      <c r="A39" s="55" t="s">
        <v>454</v>
      </c>
      <c r="B39" s="45"/>
      <c r="C39" s="4">
        <f>IF(OR(ISBLANK(B39),B39=""),0,VLOOKUP(B39,'Ondal Booms'!B:G,4,FALSE))</f>
        <v>0</v>
      </c>
      <c r="D39" s="37">
        <f>IF(OR(ISBLANK(B39),B39=""),0,VLOOKUP(B39,'Ondal Booms'!B:G,2,FALSE))</f>
        <v>0</v>
      </c>
      <c r="E39" s="35">
        <f>IF(OR(ISBLANK(B39),B39=""),0,VLOOKUP(B39,'Ondal Booms'!B:G,3,FALSE))</f>
        <v>0</v>
      </c>
      <c r="G39" s="55" t="s">
        <v>1055</v>
      </c>
      <c r="H39" s="77">
        <f>COUNTIF(K30:Y39,"WAGD")</f>
        <v>0</v>
      </c>
      <c r="J39" s="51" t="s">
        <v>1054</v>
      </c>
      <c r="K39" s="33"/>
      <c r="L39" s="60"/>
      <c r="M39" s="61"/>
      <c r="N39" s="63"/>
      <c r="O39" s="62"/>
      <c r="P39" s="61"/>
      <c r="Q39" s="33"/>
      <c r="S39" s="33"/>
      <c r="T39" s="62"/>
      <c r="U39" s="61"/>
      <c r="V39" s="63"/>
      <c r="W39" s="62"/>
      <c r="X39" s="61"/>
      <c r="Y39" s="33"/>
      <c r="Z39" s="40">
        <f t="shared" si="3"/>
        <v>0</v>
      </c>
    </row>
    <row r="40" spans="1:34" hidden="1" outlineLevel="1">
      <c r="A40" s="55" t="s">
        <v>455</v>
      </c>
      <c r="B40" s="45"/>
      <c r="C40" s="4">
        <f>IF(OR(ISBLANK(B40),B40=""),0,VLOOKUP(B40,'Ondal Booms'!B:G,4,FALSE))</f>
        <v>0</v>
      </c>
      <c r="D40" s="37">
        <f>IF(OR(ISBLANK(B40),B40=""),0,VLOOKUP(B40,'Ondal Booms'!B:G,2,FALSE))</f>
        <v>0</v>
      </c>
      <c r="E40" s="35">
        <f>IF(OR(ISBLANK(B40),B40=""),0,VLOOKUP(B40,'Ondal Booms'!B:G,3,FALSE))</f>
        <v>0</v>
      </c>
      <c r="G40" s="55" t="s">
        <v>1056</v>
      </c>
      <c r="H40" s="77">
        <f>COUNTIF(K30:Y39,"Vacuum")</f>
        <v>0</v>
      </c>
    </row>
    <row r="41" spans="1:34" hidden="1" outlineLevel="1">
      <c r="A41" s="55" t="s">
        <v>1057</v>
      </c>
      <c r="B41" s="45"/>
      <c r="C41" s="4">
        <f>IF(OR(ISBLANK(B41),B41=""),0,VLOOKUP(B41,'Ondal Booms'!B:G,4,FALSE))</f>
        <v>0</v>
      </c>
      <c r="D41" s="37">
        <f>IF(OR(ISBLANK(B41),B41=""),0,VLOOKUP(B41,'Ondal Booms'!B:G,2,FALSE))</f>
        <v>0</v>
      </c>
      <c r="E41" s="35">
        <f>IF(OR(ISBLANK(B41),B41=""),0,VLOOKUP(B41,'Ondal Booms'!B:G,3,FALSE))</f>
        <v>0</v>
      </c>
      <c r="G41" s="55" t="s">
        <v>1058</v>
      </c>
      <c r="H41" s="77">
        <f>COUNTIF(K30:Y39,"Nitrogen")</f>
        <v>0</v>
      </c>
    </row>
    <row r="42" spans="1:34" hidden="1" outlineLevel="1">
      <c r="A42" s="55" t="s">
        <v>1059</v>
      </c>
      <c r="B42" s="45"/>
      <c r="C42" s="4">
        <f>IF(OR(ISBLANK(B42),B42=""),0,VLOOKUP(B42,'Ondal Booms'!B:G,4,FALSE))</f>
        <v>0</v>
      </c>
      <c r="D42" s="37">
        <f>IF(OR(ISBLANK(B42),B42=""),0,VLOOKUP(B42,'Ondal Booms'!B:G,2,FALSE))</f>
        <v>0</v>
      </c>
      <c r="E42" s="35">
        <f>IF(OR(ISBLANK(B42),B42=""),0,VLOOKUP(B42,'Ondal Booms'!B:G,3,FALSE))</f>
        <v>0</v>
      </c>
      <c r="G42" s="64" t="s">
        <v>1060</v>
      </c>
      <c r="H42" s="77">
        <f>COUNTIF(K30:Y39,"Carbon Dioxide")</f>
        <v>0</v>
      </c>
    </row>
    <row r="43" spans="1:34" hidden="1" outlineLevel="1">
      <c r="A43" s="55" t="s">
        <v>1061</v>
      </c>
      <c r="B43" s="45"/>
      <c r="C43" s="4">
        <f>IF(OR(ISBLANK(B43),B43=""),0,VLOOKUP(B43,'Ondal Booms'!B:G,4,FALSE))</f>
        <v>0</v>
      </c>
      <c r="D43" s="37">
        <f>IF(OR(ISBLANK(B43),B43=""),0,VLOOKUP(B43,'Ondal Booms'!B:G,2,FALSE))</f>
        <v>0</v>
      </c>
      <c r="E43" s="35">
        <f>IF(OR(ISBLANK(B43),B43=""),0,VLOOKUP(B43,'Ondal Booms'!B:G,3,FALSE))</f>
        <v>0</v>
      </c>
      <c r="H43" s="36"/>
    </row>
    <row r="44" spans="1:34" hidden="1" outlineLevel="1">
      <c r="A44" s="55" t="s">
        <v>1062</v>
      </c>
      <c r="B44" s="45"/>
      <c r="C44" s="4">
        <f>IF(OR(ISBLANK(B44),B44=""),0,VLOOKUP(B44,'Ondal Booms'!B:G,4,FALSE))</f>
        <v>0</v>
      </c>
      <c r="D44" s="37">
        <f>IF(OR(ISBLANK(B44),B44=""),0,VLOOKUP(B44,'Ondal Booms'!B:G,2,FALSE))</f>
        <v>0</v>
      </c>
      <c r="E44" s="35">
        <f>IF(OR(ISBLANK(B44),B44=""),0,VLOOKUP(B44,'Ondal Booms'!B:G,3,FALSE))</f>
        <v>0</v>
      </c>
    </row>
    <row r="45" spans="1:34" hidden="1" outlineLevel="1">
      <c r="A45" s="55" t="s">
        <v>1063</v>
      </c>
      <c r="B45" s="45"/>
      <c r="C45" s="4">
        <f>IF(OR(ISBLANK(B45),B45=""),0,VLOOKUP(B45,'Ondal Booms'!B:G,4,FALSE))</f>
        <v>0</v>
      </c>
      <c r="D45" s="37">
        <f>IF(OR(ISBLANK(B45),B45=""),0,VLOOKUP(B45,'Ondal Booms'!B:G,2,FALSE))</f>
        <v>0</v>
      </c>
      <c r="E45" s="35">
        <f>IF(OR(ISBLANK(B45),B45=""),0,VLOOKUP(B45,'Ondal Booms'!B:G,3,FALSE))</f>
        <v>0</v>
      </c>
      <c r="G45" s="37"/>
    </row>
    <row r="46" spans="1:34" hidden="1" outlineLevel="1">
      <c r="A46" s="55" t="s">
        <v>1064</v>
      </c>
      <c r="B46" s="45"/>
      <c r="C46" s="4">
        <f>IF(OR(ISBLANK(B46),B46=""),0,VLOOKUP(B46,'Ondal Booms'!B:G,4,FALSE))</f>
        <v>0</v>
      </c>
      <c r="D46" s="37">
        <f>IF(OR(ISBLANK(B46),B46=""),0,VLOOKUP(B46,'Ondal Booms'!B:G,2,FALSE))</f>
        <v>0</v>
      </c>
      <c r="E46" s="35">
        <f>IF(OR(ISBLANK(B46),B46=""),0,VLOOKUP(B46,'Ondal Booms'!B:G,3,FALSE))</f>
        <v>0</v>
      </c>
      <c r="G46" s="37"/>
    </row>
    <row r="47" spans="1:34" hidden="1" outlineLevel="1">
      <c r="A47" s="64" t="s">
        <v>1065</v>
      </c>
      <c r="B47" s="45"/>
      <c r="C47" s="4">
        <f>IF(OR(ISBLANK(B47),B47=""),0,VLOOKUP(B47,'Ondal Booms'!B:G,4,FALSE))</f>
        <v>0</v>
      </c>
      <c r="D47" s="37">
        <f>IF(OR(ISBLANK(B47),B47=""),0,VLOOKUP(B47,'Ondal Booms'!B:G,2,FALSE))</f>
        <v>0</v>
      </c>
      <c r="E47" s="35">
        <f>IF(OR(ISBLANK(B47),B47=""),0,VLOOKUP(B47,'Ondal Booms'!B:G,3,FALSE))</f>
        <v>0</v>
      </c>
    </row>
    <row r="48" spans="1:34" hidden="1" outlineLevel="1">
      <c r="C48" s="4"/>
      <c r="E48" s="37"/>
    </row>
    <row r="49" spans="1:32" hidden="1" outlineLevel="1">
      <c r="A49" s="49" t="s">
        <v>1066</v>
      </c>
      <c r="B49" s="70" t="str">
        <f>IF(OR(ISBLANK(B30),B30=""),"",
IF(OR(AND(B35="200mm Service Head",SUM(Z32:Z39)&gt;0),AND(B35="400mm Service Head",SUM(Z34:Z39)&gt;0),AND(B35="600mm Service Head",SUM(Z36:Z39)&gt;0),AND(B35="800mm Service Head",SUM(Z38:Z39)&gt;0)),"Select Longer Service Head or Remove Services",
IF(AND(RIGHT(B33,2)="XL",RIGHT(B32,2)&lt;&gt;"XL"),"BOTTOM XL ARM REQUIRES TOP XL ARM",
IF(OR(ISBLANK(#REF!),ISBLANK(B31),ISBLANK(B32),ISBLANK(B33),ISBLANK(B34),ISBLANK(B35),ISBLANK(B39),ISBLANK(B40),ISBLANK(B38)),"Missing Selections for Configuration",
IF(AND(B35="Large Monitor Carrier",B33&lt;&gt;"Spring Articulating"),"Large Monitor Requires Spring Bottom Arm",
IF(OR(AND(RIGHT(B31,2)="XL",RIGHT(B32,2)&lt;&gt;"XL"),AND(RIGHT(B32,2)="XL",RIGHT(B31,2)&lt;&gt;"XL")),"Both Top Arm and Ceiling Flange Must Be XL",
IF(COUNTIF(AE29:AH37,1)&gt;1,"Mismatch Electrical Configuration",
""))))))
)</f>
        <v/>
      </c>
      <c r="C49" s="4"/>
      <c r="D49" s="4"/>
      <c r="E49" s="35"/>
    </row>
    <row r="50" spans="1:32" hidden="1" outlineLevel="1">
      <c r="B50" s="1"/>
      <c r="C50" s="47" t="s">
        <v>1026</v>
      </c>
      <c r="D50" s="47" t="s">
        <v>1027</v>
      </c>
      <c r="E50" s="47" t="s">
        <v>1067</v>
      </c>
      <c r="F50" s="35"/>
      <c r="I50" s="35"/>
    </row>
    <row r="51" spans="1:32" ht="17.100000000000001" collapsed="1" thickBot="1">
      <c r="A51" s="69" t="s">
        <v>1068</v>
      </c>
      <c r="B51" s="72" t="str">
        <f>IF(OR(B30="",ISBLANK(B30)),"NO CONFIGURATION SELECTED",C51)</f>
        <v>NO CONFIGURATION SELECTED</v>
      </c>
      <c r="C51" s="65">
        <f>SUM(C30:C47)</f>
        <v>0</v>
      </c>
      <c r="D51" s="65">
        <f t="shared" ref="D51:E51" si="4">SUM(D30:D47)</f>
        <v>0</v>
      </c>
      <c r="E51" s="65">
        <f t="shared" si="4"/>
        <v>0</v>
      </c>
      <c r="F51" s="1"/>
      <c r="I51" s="1"/>
      <c r="J51" t="str">
        <f>"&lt;-- EXPAND TO SHOW OPTIONS / SERVICE HEAD"</f>
        <v>&lt;-- EXPAND TO SHOW OPTIONS / SERVICE HEAD</v>
      </c>
    </row>
    <row r="52" spans="1:32" ht="17.100000000000001" thickTop="1">
      <c r="AC52" s="285"/>
      <c r="AD52" s="285"/>
      <c r="AE52" s="285"/>
      <c r="AF52" s="285"/>
    </row>
    <row r="53" spans="1:32">
      <c r="A53" s="46" t="s">
        <v>1070</v>
      </c>
      <c r="B53" s="47" t="s">
        <v>1025</v>
      </c>
      <c r="C53" s="47" t="s">
        <v>1026</v>
      </c>
      <c r="D53" s="47" t="s">
        <v>1071</v>
      </c>
      <c r="E53" s="47" t="s">
        <v>1072</v>
      </c>
    </row>
    <row r="54" spans="1:32" outlineLevel="1">
      <c r="A54" s="49" t="s">
        <v>1035</v>
      </c>
      <c r="B54" s="50" t="str">
        <f>IF(AND(ISBLANK(B57),ISBLANK(B58),ISBLANK(B59)),"",
IF(B55="Upgrade Only","UPGRADE",
IF(RIGHT(B57,4)="(3P)","(3P) ","")&amp;
IF(ISBLANK(B57),"",VLOOKUP(B57,'Simeon Lights'!C:H,2,FALSE))&amp;
IF(ISBLANK(B58),""," / "&amp;VLOOKUP(B58,'Simeon Lights'!C:H,2,FALSE))&amp;
IF(ISBLANK(B59),""," / "&amp;VLOOKUP(B59,'Simeon Lights'!C:H,2,FALSE))))</f>
        <v/>
      </c>
      <c r="C54" s="4">
        <f>IF(ISBLANK(B57),0,(VLOOKUP(B54,'Simeon Lights'!C:J,6,FALSE)))</f>
        <v>0</v>
      </c>
      <c r="D54" s="37">
        <f>IF(ISBLANK(B57),0,(VLOOKUP(B54,'Simeon Lights'!C:J,4,FALSE)))</f>
        <v>0</v>
      </c>
      <c r="E54" s="37">
        <f>IF(ISBLANK(B57),0,(VLOOKUP(B54,'Simeon Lights'!C:J,5,FALSE)))</f>
        <v>0</v>
      </c>
      <c r="G54" s="1"/>
      <c r="H54" s="1"/>
    </row>
    <row r="55" spans="1:32" outlineLevel="1">
      <c r="A55" s="55" t="s">
        <v>310</v>
      </c>
      <c r="B55" s="33"/>
      <c r="C55" s="4">
        <f>IF(ISBLANK(B55),0,VLOOKUP(B55,'Simeon Lights'!C:J,6,FALSE))</f>
        <v>0</v>
      </c>
      <c r="D55" s="37">
        <f>IF(ISBLANK(B55),0,VLOOKUP(B55,'Simeon Lights'!C:J,4,FALSE))</f>
        <v>0</v>
      </c>
      <c r="E55" s="37">
        <f>IF(ISBLANK(B55),0,VLOOKUP(B55,'Simeon Lights'!C:J,5,FALSE))</f>
        <v>0</v>
      </c>
    </row>
    <row r="56" spans="1:32" outlineLevel="1">
      <c r="A56" s="55" t="s">
        <v>1073</v>
      </c>
      <c r="B56" s="33"/>
      <c r="C56" s="4">
        <f>IF(ISBLANK(B56),0,VLOOKUP(B56,'Simeon Lights'!C:J,6,FALSE))</f>
        <v>0</v>
      </c>
      <c r="D56" s="37">
        <f>IF(ISBLANK(B56),0,VLOOKUP(B56,'Simeon Lights'!C:J,4,FALSE))</f>
        <v>0</v>
      </c>
      <c r="E56" s="37">
        <f>IF(ISBLANK(B56),0,VLOOKUP(B56,'Simeon Lights'!C:J,5,FALSE))</f>
        <v>0</v>
      </c>
    </row>
    <row r="57" spans="1:32" outlineLevel="1">
      <c r="A57" s="55" t="s">
        <v>1074</v>
      </c>
      <c r="B57" s="33"/>
      <c r="C57" s="4">
        <f>IF(ISBLANK(B57),0,VLOOKUP(B57,'Simeon Lights'!C:J,6,FALSE))</f>
        <v>0</v>
      </c>
      <c r="D57" s="37">
        <f>IF(ISBLANK(B57),0,VLOOKUP(B57,'Simeon Lights'!C:J,4,FALSE))</f>
        <v>0</v>
      </c>
      <c r="E57" s="37">
        <f>IF(ISBLANK(B57),0,VLOOKUP(B57,'Simeon Lights'!C:J,5,FALSE))</f>
        <v>0</v>
      </c>
    </row>
    <row r="58" spans="1:32" outlineLevel="1">
      <c r="A58" s="55" t="s">
        <v>1075</v>
      </c>
      <c r="B58" s="33"/>
      <c r="C58" s="4">
        <f>IF(ISBLANK(B58),0,VLOOKUP(B58,'Simeon Lights'!C:J,6,FALSE))</f>
        <v>0</v>
      </c>
      <c r="D58" s="37">
        <f>IF(ISBLANK(B58),0,VLOOKUP(B58,'Simeon Lights'!C:J,4,FALSE))</f>
        <v>0</v>
      </c>
      <c r="E58" s="37">
        <f>IF(ISBLANK(B58),0,VLOOKUP(B58,'Simeon Lights'!C:J,5,FALSE))</f>
        <v>0</v>
      </c>
    </row>
    <row r="59" spans="1:32" outlineLevel="1">
      <c r="A59" s="55" t="s">
        <v>1077</v>
      </c>
      <c r="B59" s="33"/>
      <c r="C59" s="4">
        <f>IF(ISBLANK(B59),0,VLOOKUP(B59,'Simeon Lights'!C:J,6,FALSE))</f>
        <v>0</v>
      </c>
      <c r="D59" s="37">
        <f>IF(ISBLANK(B59),0,VLOOKUP(B59,'Simeon Lights'!C:J,4,FALSE))</f>
        <v>0</v>
      </c>
      <c r="E59" s="37">
        <f>IF(ISBLANK(B59),0,VLOOKUP(B59,'Simeon Lights'!C:J,5,FALSE))</f>
        <v>0</v>
      </c>
    </row>
    <row r="60" spans="1:32" outlineLevel="1">
      <c r="A60" s="55" t="s">
        <v>589</v>
      </c>
      <c r="B60" s="34"/>
      <c r="C60" s="4">
        <f>IF(ISBLANK(B60),0,VLOOKUP(B60,'Simeon Lights'!C:J,6,FALSE))</f>
        <v>0</v>
      </c>
      <c r="D60" s="37">
        <f>IF(ISBLANK(B60),0,VLOOKUP(B60,'Simeon Lights'!C:J,4,FALSE))</f>
        <v>0</v>
      </c>
      <c r="E60" s="37">
        <f>IF(ISBLANK(B60),0,VLOOKUP(B60,'Simeon Lights'!C:J,5,FALSE))</f>
        <v>0</v>
      </c>
    </row>
    <row r="61" spans="1:32" outlineLevel="1">
      <c r="A61" s="55" t="s">
        <v>1078</v>
      </c>
      <c r="B61" s="34"/>
      <c r="C61" s="4">
        <f>IF(ISBLANK(B61),0,VLOOKUP(B61,'Simeon Lights'!C:J,6,FALSE))</f>
        <v>0</v>
      </c>
      <c r="D61" s="37">
        <f>IF(ISBLANK(B61),0,VLOOKUP(B61,'Simeon Lights'!C:J,4,FALSE))</f>
        <v>0</v>
      </c>
      <c r="E61" s="37">
        <f>IF(ISBLANK(B61),0,VLOOKUP(B61,'Simeon Lights'!C:J,5,FALSE))</f>
        <v>0</v>
      </c>
    </row>
    <row r="62" spans="1:32" outlineLevel="1">
      <c r="A62" s="55" t="s">
        <v>615</v>
      </c>
      <c r="B62" s="34"/>
      <c r="C62" s="4">
        <f>IF(ISBLANK(B62),0,VLOOKUP(B62,'Simeon Lights'!C:J,6,FALSE))</f>
        <v>0</v>
      </c>
      <c r="D62" s="37">
        <f>IF(ISBLANK(B62),0,VLOOKUP(B62,'Simeon Lights'!C:J,4,FALSE))</f>
        <v>0</v>
      </c>
      <c r="E62" s="37">
        <f>IF(ISBLANK(B62),0,VLOOKUP(B62,'Simeon Lights'!C:J,5,FALSE))</f>
        <v>0</v>
      </c>
    </row>
    <row r="63" spans="1:32" outlineLevel="1">
      <c r="A63" s="64" t="s">
        <v>1079</v>
      </c>
      <c r="B63" s="34"/>
      <c r="C63" s="4">
        <f>IF(ISBLANK(B63),0,VLOOKUP(B63,'Simeon Lights'!C:J,6,FALSE))</f>
        <v>0</v>
      </c>
      <c r="D63" s="37">
        <f>IF(ISBLANK(B63),0,VLOOKUP(B63,'Simeon Lights'!C:J,4,FALSE))</f>
        <v>0</v>
      </c>
      <c r="E63" s="37">
        <f>IF(ISBLANK(B63),0,VLOOKUP(B63,'Simeon Lights'!C:J,5,FALSE))</f>
        <v>0</v>
      </c>
    </row>
    <row r="64" spans="1:32" outlineLevel="1">
      <c r="C64" s="4"/>
      <c r="D64" s="4"/>
      <c r="E64" s="44"/>
    </row>
    <row r="65" spans="1:10" outlineLevel="1">
      <c r="A65" s="49" t="s">
        <v>1066</v>
      </c>
      <c r="B65" s="70" t="str">
        <f xml:space="preserve">
IF(AND(ISBLANK(B57),ISBLANK(B58),ISBLANK(B59)),"",
IF(AND(ISBLANK(B57),B58&lt;&gt;""),"ARM 1 MISSING",
IF(AND(ISBLANK(B57),B59&lt;&gt;""),"ARM 1 MISSING",
IF(ISBLANK(B58)&amp;ISBLANK(B59)="TRUEFALSE","ARM 2 MISSING",
IF(AND(B57&lt;&gt;"",B58="32in Flat Panel",B59&lt;&gt;""),"FP CANNOT BE MIDDLE ARM",
IF(OR(ISBLANK(B55),ISBLANK(B56),ISBLANK(B60),ISBLANK(B61),ISBLANK(B62),ISBLANK(B63)),"Missing Selections",""))))))</f>
        <v/>
      </c>
      <c r="C65" s="4"/>
      <c r="D65" s="4"/>
      <c r="E65" s="35"/>
    </row>
    <row r="66" spans="1:10" outlineLevel="1">
      <c r="B66" s="71"/>
      <c r="C66" s="47" t="s">
        <v>1026</v>
      </c>
      <c r="D66" s="47" t="s">
        <v>1071</v>
      </c>
      <c r="E66" s="47" t="s">
        <v>1072</v>
      </c>
      <c r="F66" s="1"/>
      <c r="I66" s="1"/>
    </row>
    <row r="67" spans="1:10" ht="17.100000000000001" thickBot="1">
      <c r="A67" s="69" t="s">
        <v>1068</v>
      </c>
      <c r="B67" s="72" t="str">
        <f>IF(OR(ISBLANK(B57),ISBLANK(B58)&amp;ISBLANK(B59)="TRUEFALSE"),"NO CONFIGURATION SELECTED",IF(B65&lt;&gt;"","ERROR IN CONFIGURATION",IF(B57="",0,SUM(C54:C63))))</f>
        <v>NO CONFIGURATION SELECTED</v>
      </c>
      <c r="C67" s="65">
        <f>SUM(C54:C65)</f>
        <v>0</v>
      </c>
      <c r="D67" s="65">
        <f t="shared" ref="D67:E67" si="5">SUM(D54:D65)</f>
        <v>0</v>
      </c>
      <c r="E67" s="65">
        <f t="shared" si="5"/>
        <v>0</v>
      </c>
      <c r="J67" t="str">
        <f>"&lt;-- EXPAND TO SHOW OPTIONS"</f>
        <v>&lt;-- EXPAND TO SHOW OPTIONS</v>
      </c>
    </row>
    <row r="68" spans="1:10" ht="17.100000000000001" thickTop="1">
      <c r="E68" s="1"/>
    </row>
    <row r="69" spans="1:10">
      <c r="A69" s="46"/>
      <c r="B69" s="47" t="s">
        <v>1080</v>
      </c>
      <c r="E69" s="47" t="s">
        <v>1085</v>
      </c>
    </row>
    <row r="70" spans="1:10" ht="17.100000000000001" thickBot="1">
      <c r="A70" s="67" t="s">
        <v>1082</v>
      </c>
      <c r="B70" s="68">
        <f>IF(OR(B27="Error in Configuration",B27="No Configuration Selected"),0,B27)+IF(OR(B51="Error in Configuration",B51="No Configuration Selected"),0,B51)+IF(OR(B67="Error in Configuration",B67="No Configuration Selected"),0,B67)</f>
        <v>0</v>
      </c>
      <c r="E70" s="65">
        <f>SUM(E67,E51,E27)</f>
        <v>0</v>
      </c>
      <c r="G70" s="1"/>
      <c r="H70" s="1"/>
    </row>
    <row r="71" spans="1:10" ht="17.100000000000001" thickTop="1"/>
  </sheetData>
  <sheetProtection sheet="1" formatColumns="0" formatRows="0" selectLockedCells="1"/>
  <mergeCells count="6">
    <mergeCell ref="AC52:AF52"/>
    <mergeCell ref="AC27:AF27"/>
    <mergeCell ref="L29:P29"/>
    <mergeCell ref="T29:X29"/>
    <mergeCell ref="L4:P4"/>
    <mergeCell ref="T4:X4"/>
  </mergeCells>
  <conditionalFormatting sqref="B25">
    <cfRule type="expression" dxfId="14" priority="2">
      <formula>$B$25&lt;&gt;""</formula>
    </cfRule>
  </conditionalFormatting>
  <conditionalFormatting sqref="B49">
    <cfRule type="expression" dxfId="13" priority="1">
      <formula>$B$25&lt;&gt;""</formula>
    </cfRule>
  </conditionalFormatting>
  <conditionalFormatting sqref="B65">
    <cfRule type="expression" dxfId="12" priority="3" stopIfTrue="1">
      <formula>$B$65&lt;&gt;""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 xr:uid="{A9E6B5DA-8B2A-DE4B-9C1D-AD00C0B4CBFC}">
          <x14:formula1>
            <xm:f>'BnL Drop Downs'!$A$2:$A$11</xm:f>
          </x14:formula1>
          <xm:sqref>R5:R16 R30:R41</xm:sqref>
        </x14:dataValidation>
        <x14:dataValidation type="list" allowBlank="1" showInputMessage="1" showErrorMessage="1" xr:uid="{2CE078A9-8EF9-AE44-BC27-A28E38088FCF}">
          <x14:formula1>
            <xm:f>'BnL Drop Downs'!$A$2:$A$14</xm:f>
          </x14:formula1>
          <xm:sqref>K5:K16 Q5:Q16 S5:S16 Y5:Y16 K30:K41 Q30:Q41 S30:S41 Y30:Y41</xm:sqref>
        </x14:dataValidation>
        <x14:dataValidation type="list" allowBlank="1" showInputMessage="1" showErrorMessage="1" xr:uid="{DDCE8C39-59FA-6A48-B45A-75AF3894EF97}">
          <x14:formula1>
            <xm:f>'Ondal Booms'!$B$77:$B$87</xm:f>
          </x14:formula1>
          <xm:sqref>B9 B33</xm:sqref>
        </x14:dataValidation>
        <x14:dataValidation type="list" allowBlank="1" showInputMessage="1" showErrorMessage="1" xr:uid="{920DA2F7-7F17-EE40-91E1-5B9E1D18F612}">
          <x14:formula1>
            <xm:f>'Ondal Booms'!$B$64:$B$74</xm:f>
          </x14:formula1>
          <xm:sqref>B8 B32</xm:sqref>
        </x14:dataValidation>
        <x14:dataValidation type="list" allowBlank="1" showInputMessage="1" showErrorMessage="1" xr:uid="{807EF577-77E3-5F44-8BE2-4588C8C9D8D1}">
          <x14:formula1>
            <xm:f>'Ondal Booms'!$B$55:$B$61</xm:f>
          </x14:formula1>
          <xm:sqref>B7 B31</xm:sqref>
        </x14:dataValidation>
        <x14:dataValidation type="list" allowBlank="1" showInputMessage="1" showErrorMessage="1" xr:uid="{BF6AEFF4-7B4C-B745-B1AC-C53E0A12A0D1}">
          <x14:formula1>
            <xm:f>'Ondal Booms'!$B$152:$B$157</xm:f>
          </x14:formula1>
          <xm:sqref>B16 B40</xm:sqref>
        </x14:dataValidation>
        <x14:dataValidation type="list" allowBlank="1" showInputMessage="1" showErrorMessage="1" xr:uid="{0DFACC9A-933D-D846-B907-BF961B259262}">
          <x14:formula1>
            <xm:f>'Simeon Lights'!$C$86:$C$93</xm:f>
          </x14:formula1>
          <xm:sqref>B63</xm:sqref>
        </x14:dataValidation>
        <x14:dataValidation type="list" allowBlank="1" showInputMessage="1" showErrorMessage="1" xr:uid="{1150364D-F6C6-EF4C-9EDD-78494D2D5519}">
          <x14:formula1>
            <xm:f>'Simeon Lights'!$C$74:$C$76</xm:f>
          </x14:formula1>
          <xm:sqref>B61</xm:sqref>
        </x14:dataValidation>
        <x14:dataValidation type="list" allowBlank="1" showInputMessage="1" showErrorMessage="1" xr:uid="{359886EF-8AF7-A646-8C4D-3E202382EA58}">
          <x14:formula1>
            <xm:f>'Simeon Lights'!$C$62:$C$71</xm:f>
          </x14:formula1>
          <xm:sqref>B60</xm:sqref>
        </x14:dataValidation>
        <x14:dataValidation type="list" allowBlank="1" showInputMessage="1" showErrorMessage="1" xr:uid="{8F1B8408-AFE3-BF4C-81EE-8C88017D4BD5}">
          <x14:formula1>
            <xm:f>'Simeon Lights'!$C$79:$C$83</xm:f>
          </x14:formula1>
          <xm:sqref>B62</xm:sqref>
        </x14:dataValidation>
        <x14:dataValidation type="list" allowBlank="1" showInputMessage="1" showErrorMessage="1" xr:uid="{90CA51D5-AEA2-CC4F-9387-F3D7250A5368}">
          <x14:formula1>
            <xm:f>'Ondal Booms'!$B$48:$B$51</xm:f>
          </x14:formula1>
          <xm:sqref>B6</xm:sqref>
        </x14:dataValidation>
        <x14:dataValidation type="list" allowBlank="1" showInputMessage="1" showErrorMessage="1" xr:uid="{7B8B5651-F10B-E648-807D-5B75A5CAD95F}">
          <x14:formula1>
            <xm:f>'Ondal Booms'!$B$100:$B$106</xm:f>
          </x14:formula1>
          <xm:sqref>B11 B35</xm:sqref>
        </x14:dataValidation>
        <x14:dataValidation type="list" allowBlank="1" showInputMessage="1" showErrorMessage="1" xr:uid="{5F90F49D-F24A-2C48-9E7D-881CBBF4B490}">
          <x14:formula1>
            <xm:f>'Ondal Booms'!$B$90:$B$96</xm:f>
          </x14:formula1>
          <xm:sqref>B10 B34</xm:sqref>
        </x14:dataValidation>
        <x14:dataValidation type="list" allowBlank="1" showInputMessage="1" showErrorMessage="1" xr:uid="{C2A9522A-5397-7144-BA6C-20482A379AD5}">
          <x14:formula1>
            <xm:f>'Ondal Booms'!$B$3:$B$10</xm:f>
          </x14:formula1>
          <xm:sqref>B6:B9 B31:B33</xm:sqref>
        </x14:dataValidation>
        <x14:dataValidation type="list" allowBlank="1" showDropDown="1" showInputMessage="1" showErrorMessage="1" xr:uid="{40E2CA24-4A8A-BB40-8542-B64FA3CD0504}">
          <x14:formula1>
            <xm:f>'Ondal Booms'!$B$3:$B$10</xm:f>
          </x14:formula1>
          <xm:sqref>B5:B7 B30:B31</xm:sqref>
        </x14:dataValidation>
        <x14:dataValidation type="list" allowBlank="1" showInputMessage="1" showErrorMessage="1" xr:uid="{6F8957E3-5FF9-2143-A5C7-F6987C9545E1}">
          <x14:formula1>
            <xm:f>'Ondal Booms'!$B$169:$B$181</xm:f>
          </x14:formula1>
          <xm:sqref>B17:B23 B41:B47</xm:sqref>
        </x14:dataValidation>
        <x14:dataValidation type="list" allowBlank="1" showInputMessage="1" showErrorMessage="1" xr:uid="{A0362C10-DB7E-CB42-B139-1AA59FB4EE6A}">
          <x14:formula1>
            <xm:f>'Ondal Booms'!$B$145:$B$150</xm:f>
          </x14:formula1>
          <xm:sqref>B15 B39</xm:sqref>
        </x14:dataValidation>
        <x14:dataValidation type="list" allowBlank="1" showInputMessage="1" showErrorMessage="1" xr:uid="{05D3398D-DA01-E94F-86C8-B8D763D8E53D}">
          <x14:formula1>
            <xm:f>'Ondal Booms'!#REF!</xm:f>
          </x14:formula1>
          <xm:sqref>B15:B16 B39:B40</xm:sqref>
        </x14:dataValidation>
        <x14:dataValidation type="list" allowBlank="1" showInputMessage="1" showErrorMessage="1" xr:uid="{9476400C-78EC-D242-A8D8-F6F7C0EDB94F}">
          <x14:formula1>
            <xm:f>'Ondal Booms'!$B$159:$B$166</xm:f>
          </x14:formula1>
          <xm:sqref>B14 B38</xm:sqref>
        </x14:dataValidation>
        <x14:dataValidation type="list" allowBlank="1" showInputMessage="1" showErrorMessage="1" xr:uid="{CC4FF73C-BD99-5F4C-BF13-299C46757A69}">
          <x14:formula1>
            <xm:f>'Simeon Lights'!$C$49:$C$59</xm:f>
          </x14:formula1>
          <xm:sqref>B56</xm:sqref>
        </x14:dataValidation>
        <x14:dataValidation type="list" allowBlank="1" showInputMessage="1" showErrorMessage="1" xr:uid="{75BFFCB1-A4A8-A948-88D0-72A3DBDDE45D}">
          <x14:formula1>
            <xm:f>'Simeon Lights'!$C$103:$C$108</xm:f>
          </x14:formula1>
          <xm:sqref>B55</xm:sqref>
        </x14:dataValidation>
        <x14:dataValidation type="list" allowBlank="1" showInputMessage="1" showErrorMessage="1" xr:uid="{467FDA9A-B1D2-A346-BAE1-0C26118AD802}">
          <x14:formula1>
            <xm:f>'Simeon Lights'!$C$27:$C$45</xm:f>
          </x14:formula1>
          <xm:sqref>B57:B59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9959D-52EB-2045-96E4-A9388FDE1A5D}">
  <dimension ref="A1:AH71"/>
  <sheetViews>
    <sheetView zoomScaleNormal="100" workbookViewId="0">
      <selection activeCell="Y5" sqref="Y5:Y9"/>
    </sheetView>
  </sheetViews>
  <sheetFormatPr defaultColWidth="11" defaultRowHeight="15.95" outlineLevelRow="1" outlineLevelCol="1"/>
  <cols>
    <col min="1" max="1" width="27.875" customWidth="1"/>
    <col min="2" max="2" width="43" customWidth="1"/>
    <col min="3" max="5" width="17.625" customWidth="1" outlineLevel="1"/>
    <col min="6" max="6" width="2.375" customWidth="1"/>
    <col min="7" max="7" width="18.375" hidden="1" customWidth="1" outlineLevel="1"/>
    <col min="8" max="8" width="8.375" hidden="1" customWidth="1" outlineLevel="1"/>
    <col min="9" max="9" width="2.375" customWidth="1" collapsed="1"/>
    <col min="10" max="10" width="7" bestFit="1" customWidth="1"/>
    <col min="11" max="11" width="14" customWidth="1"/>
    <col min="12" max="13" width="3.375" customWidth="1"/>
    <col min="14" max="14" width="16.5" customWidth="1"/>
    <col min="15" max="16" width="3.375" customWidth="1"/>
    <col min="17" max="17" width="13.375" customWidth="1"/>
    <col min="18" max="18" width="3" customWidth="1"/>
    <col min="19" max="19" width="13" customWidth="1"/>
    <col min="20" max="21" width="3.375" customWidth="1"/>
    <col min="22" max="22" width="16.375" customWidth="1"/>
    <col min="23" max="24" width="3.375" customWidth="1"/>
    <col min="25" max="25" width="13.375" customWidth="1"/>
    <col min="26" max="26" width="13.375" style="40" customWidth="1"/>
    <col min="27" max="29" width="13.375" customWidth="1"/>
    <col min="30" max="30" width="13" customWidth="1"/>
    <col min="31" max="31" width="3.5" hidden="1" customWidth="1"/>
    <col min="32" max="33" width="4.375" hidden="1" customWidth="1"/>
    <col min="34" max="34" width="4.5" hidden="1" customWidth="1"/>
  </cols>
  <sheetData>
    <row r="1" spans="1:34">
      <c r="A1" s="46" t="s">
        <v>1097</v>
      </c>
      <c r="B1" s="47" t="s">
        <v>1022</v>
      </c>
    </row>
    <row r="2" spans="1:34">
      <c r="A2" s="48" t="s">
        <v>163</v>
      </c>
      <c r="B2" s="33"/>
    </row>
    <row r="3" spans="1:34">
      <c r="E3" s="37"/>
    </row>
    <row r="4" spans="1:34" ht="18.95">
      <c r="A4" s="46" t="s">
        <v>1024</v>
      </c>
      <c r="B4" s="47" t="s">
        <v>1025</v>
      </c>
      <c r="C4" s="47" t="s">
        <v>1026</v>
      </c>
      <c r="D4" s="47" t="s">
        <v>1027</v>
      </c>
      <c r="E4" s="47" t="s">
        <v>1028</v>
      </c>
      <c r="G4" s="79" t="s">
        <v>1029</v>
      </c>
      <c r="H4" s="80" t="s">
        <v>1030</v>
      </c>
      <c r="J4" s="83" t="s">
        <v>1031</v>
      </c>
      <c r="K4" s="84" t="s">
        <v>1032</v>
      </c>
      <c r="L4" s="282" t="s">
        <v>1033</v>
      </c>
      <c r="M4" s="282"/>
      <c r="N4" s="282"/>
      <c r="O4" s="282"/>
      <c r="P4" s="282"/>
      <c r="Q4" s="80" t="s">
        <v>1032</v>
      </c>
      <c r="R4" s="36"/>
      <c r="S4" s="79" t="s">
        <v>1032</v>
      </c>
      <c r="T4" s="282" t="s">
        <v>1034</v>
      </c>
      <c r="U4" s="282"/>
      <c r="V4" s="282"/>
      <c r="W4" s="282"/>
      <c r="X4" s="282"/>
      <c r="Y4" s="80" t="s">
        <v>1032</v>
      </c>
      <c r="AE4">
        <f>COUNTIF(K5,"(2) Duplexes")+COUNTIF(Y5,"(2) Duplexes")</f>
        <v>0</v>
      </c>
      <c r="AF4">
        <f>COUNTIF(Q5:S5,"(2) Duplexes")</f>
        <v>0</v>
      </c>
      <c r="AG4">
        <f>COUNTIF(K5,"(3) Duplexes")+COUNTIF(Y5,"(3) Duplexes")</f>
        <v>0</v>
      </c>
      <c r="AH4">
        <f>COUNTIF(Q5:S5,"(3) Duplexes")</f>
        <v>0</v>
      </c>
    </row>
    <row r="5" spans="1:34" outlineLevel="1">
      <c r="A5" s="49" t="s">
        <v>1035</v>
      </c>
      <c r="B5" s="50" t="str">
        <f>IF(OR(ISBLANK(B8),ISBLANK(B9)),"",IF(ISBLANK(B9),0,(VLOOKUP(B9,'Ondal Booms'!B:F,5,FALSE)))&amp;IF(ISBLANK(B8),0,(VLOOKUP(B8,'Ondal Booms'!B:F,5,FALSE))))</f>
        <v/>
      </c>
      <c r="C5" s="4">
        <f>IF(OR(ISBLANK(B5),B5=""),0,VLOOKUP(B5,'Ondal Booms'!B:G,4,FALSE))</f>
        <v>0</v>
      </c>
      <c r="D5" s="37">
        <f>IF(OR(ISBLANK(B5),B5=""),0,VLOOKUP(B5,'Ondal Booms'!B:G,2,FALSE))</f>
        <v>0</v>
      </c>
      <c r="E5" s="35">
        <f>IF(OR(ISBLANK(B5),B5=""),0,VLOOKUP(B5,'Ondal Booms'!B:G,3,FALSE))</f>
        <v>0</v>
      </c>
      <c r="G5" s="48" t="s">
        <v>1036</v>
      </c>
      <c r="H5" s="77">
        <f>COUNTIF(K5:Y14,"(2) Duplexes")*2+COUNTIF(K5:Y14,"(3) Duplexes")*3</f>
        <v>0</v>
      </c>
      <c r="J5" s="67" t="s">
        <v>1037</v>
      </c>
      <c r="K5" s="82"/>
      <c r="L5" s="56"/>
      <c r="M5" s="57"/>
      <c r="N5" s="58"/>
      <c r="O5" s="59"/>
      <c r="P5" s="57"/>
      <c r="Q5" s="82"/>
      <c r="S5" s="82"/>
      <c r="T5" s="59"/>
      <c r="U5" s="57"/>
      <c r="V5" s="58"/>
      <c r="W5" s="59"/>
      <c r="X5" s="57"/>
      <c r="Y5" s="82"/>
      <c r="Z5" s="40">
        <f>15-COUNTIFS(K5:Y5,"")</f>
        <v>0</v>
      </c>
    </row>
    <row r="6" spans="1:34" ht="17.100000000000001" outlineLevel="1" thickBot="1">
      <c r="A6" s="55" t="s">
        <v>310</v>
      </c>
      <c r="B6" s="7"/>
      <c r="C6" s="4">
        <f>IF(OR(ISBLANK(B6),B6=""),0,VLOOKUP(B6,'Ondal Booms'!B:G,4,FALSE))</f>
        <v>0</v>
      </c>
      <c r="D6" s="37">
        <f>IF(OR(ISBLANK(B6),B6=""),0,VLOOKUP(B6,'Ondal Booms'!B:G,2,FALSE))</f>
        <v>0</v>
      </c>
      <c r="E6" s="35">
        <f>IF(OR(ISBLANK(B6),B6=""),0,VLOOKUP(B6,'Ondal Booms'!B:G,3,FALSE))</f>
        <v>0</v>
      </c>
      <c r="J6" s="55" t="s">
        <v>1038</v>
      </c>
      <c r="K6" s="33"/>
      <c r="L6" s="56"/>
      <c r="M6" s="57"/>
      <c r="N6" s="58"/>
      <c r="O6" s="59"/>
      <c r="P6" s="57"/>
      <c r="Q6" s="33"/>
      <c r="S6" s="33"/>
      <c r="T6" s="59"/>
      <c r="U6" s="57"/>
      <c r="V6" s="58"/>
      <c r="W6" s="59"/>
      <c r="X6" s="57"/>
      <c r="Y6" s="33"/>
      <c r="Z6" s="40">
        <f t="shared" ref="Z6:Z14" si="0">15-COUNTIFS(K6:Y6,"")</f>
        <v>0</v>
      </c>
      <c r="AE6">
        <f>COUNTIF(K7,"(2) Duplexes")+COUNTIF(Y7,"(2) Duplexes")</f>
        <v>0</v>
      </c>
      <c r="AF6">
        <f>COUNTIF(Q7:S7,"(2) Duplexes")</f>
        <v>0</v>
      </c>
      <c r="AG6">
        <f>COUNTIF(K7,"(3) Duplexes")+COUNTIF(Y7,"(3) Duplexes")</f>
        <v>0</v>
      </c>
      <c r="AH6">
        <f>COUNTIF(Q7:S7,"(3) Duplexes")</f>
        <v>0</v>
      </c>
    </row>
    <row r="7" spans="1:34" outlineLevel="1">
      <c r="A7" s="55" t="s">
        <v>354</v>
      </c>
      <c r="B7" s="45"/>
      <c r="C7" s="4">
        <f>IF(OR(ISBLANK(B7),B7=""),0,VLOOKUP(B7,'Ondal Booms'!B:G,4,FALSE))</f>
        <v>0</v>
      </c>
      <c r="D7" s="37">
        <f>IF(OR(ISBLANK(B7),B7=""),0,VLOOKUP(B7,'Ondal Booms'!B:G,2,FALSE))</f>
        <v>0</v>
      </c>
      <c r="E7" s="35">
        <f>IF(OR(ISBLANK(B7),B7=""),0,VLOOKUP(B7,'Ondal Booms'!B:G,3,FALSE))</f>
        <v>0</v>
      </c>
      <c r="G7" s="79" t="s">
        <v>1039</v>
      </c>
      <c r="H7" s="80" t="s">
        <v>1030</v>
      </c>
      <c r="J7" s="55" t="s">
        <v>1040</v>
      </c>
      <c r="K7" s="33"/>
      <c r="L7" s="52"/>
      <c r="M7" s="53"/>
      <c r="N7" s="58"/>
      <c r="O7" s="54"/>
      <c r="P7" s="53"/>
      <c r="Q7" s="33"/>
      <c r="S7" s="33"/>
      <c r="T7" s="54"/>
      <c r="U7" s="53"/>
      <c r="V7" s="58"/>
      <c r="W7" s="54"/>
      <c r="X7" s="53"/>
      <c r="Y7" s="33"/>
      <c r="Z7" s="40">
        <f t="shared" si="0"/>
        <v>0</v>
      </c>
    </row>
    <row r="8" spans="1:34" ht="17.100000000000001" outlineLevel="1" thickBot="1">
      <c r="A8" s="55" t="s">
        <v>355</v>
      </c>
      <c r="B8" s="8"/>
      <c r="C8" s="4">
        <f>IF(OR(ISBLANK(B8),B8=""),0,VLOOKUP(B8,'Ondal Booms'!B:G,4,FALSE))</f>
        <v>0</v>
      </c>
      <c r="D8" s="37">
        <f>IF(OR(ISBLANK(B8),B8=""),0,VLOOKUP(B8,'Ondal Booms'!B:G,2,FALSE))</f>
        <v>0</v>
      </c>
      <c r="E8" s="35">
        <f>IF(OR(ISBLANK(B8),B8=""),0,VLOOKUP(B8,'Ondal Booms'!B:G,3,FALSE))</f>
        <v>0</v>
      </c>
      <c r="G8" s="55" t="s">
        <v>1041</v>
      </c>
      <c r="H8" s="78">
        <f>(COUNTIF(K5:Y14,"Data"))</f>
        <v>0</v>
      </c>
      <c r="J8" s="55" t="s">
        <v>1042</v>
      </c>
      <c r="K8" s="33"/>
      <c r="L8" s="56"/>
      <c r="M8" s="57"/>
      <c r="N8" s="58"/>
      <c r="O8" s="59"/>
      <c r="P8" s="57"/>
      <c r="Q8" s="33"/>
      <c r="S8" s="33"/>
      <c r="T8" s="59"/>
      <c r="U8" s="57"/>
      <c r="V8" s="58"/>
      <c r="W8" s="59"/>
      <c r="X8" s="57"/>
      <c r="Y8" s="33"/>
      <c r="Z8" s="40">
        <f t="shared" si="0"/>
        <v>0</v>
      </c>
      <c r="AE8">
        <f>COUNTIF(K9,"(2) Duplexes")+COUNTIF(Y9,"(2) Duplexes")</f>
        <v>0</v>
      </c>
      <c r="AF8">
        <f>COUNTIF(Q9:S9,"(2) Duplexes")</f>
        <v>0</v>
      </c>
      <c r="AG8">
        <f>COUNTIF(K9,"(3) Duplexes")+COUNTIF(Y9,"(3) Duplexes")</f>
        <v>0</v>
      </c>
      <c r="AH8">
        <f>COUNTIF(Q9:S9,"(3) Duplexes")</f>
        <v>0</v>
      </c>
    </row>
    <row r="9" spans="1:34" outlineLevel="1">
      <c r="A9" s="55" t="s">
        <v>356</v>
      </c>
      <c r="B9" s="7"/>
      <c r="C9" s="4">
        <f>IF(OR(ISBLANK(B9),B9=""),0,VLOOKUP(B9,'Ondal Booms'!B:G,4,FALSE))</f>
        <v>0</v>
      </c>
      <c r="D9" s="37">
        <f>IF(OR(ISBLANK(B9),B9=""),0,VLOOKUP(B9,'Ondal Booms'!B:G,2,FALSE))</f>
        <v>0</v>
      </c>
      <c r="E9" s="35">
        <f>IF(OR(ISBLANK(B9),B9=""),0,VLOOKUP(B9,'Ondal Booms'!B:G,3,FALSE))</f>
        <v>0</v>
      </c>
      <c r="G9" s="64" t="s">
        <v>1043</v>
      </c>
      <c r="H9" s="77">
        <f>(COUNTIF(K5:Y14,"Storz 4in1"))</f>
        <v>0</v>
      </c>
      <c r="J9" s="55" t="s">
        <v>1044</v>
      </c>
      <c r="K9" s="33"/>
      <c r="L9" s="52"/>
      <c r="M9" s="53"/>
      <c r="N9" s="58"/>
      <c r="O9" s="54"/>
      <c r="P9" s="53"/>
      <c r="Q9" s="33"/>
      <c r="S9" s="33"/>
      <c r="T9" s="54"/>
      <c r="U9" s="53"/>
      <c r="V9" s="58"/>
      <c r="W9" s="54"/>
      <c r="X9" s="53"/>
      <c r="Y9" s="33"/>
      <c r="Z9" s="40">
        <f t="shared" si="0"/>
        <v>0</v>
      </c>
    </row>
    <row r="10" spans="1:34" ht="17.100000000000001" outlineLevel="1" thickBot="1">
      <c r="A10" s="55" t="s">
        <v>418</v>
      </c>
      <c r="B10" s="7"/>
      <c r="C10" s="4">
        <f>IF(OR(ISBLANK(B10),B10=""),0,VLOOKUP(B10,'Ondal Booms'!B:G,4,FALSE))</f>
        <v>0</v>
      </c>
      <c r="D10" s="37">
        <f>IF(OR(ISBLANK(B10),B10=""),0,VLOOKUP(B10,'Ondal Booms'!B:G,2,FALSE))</f>
        <v>0</v>
      </c>
      <c r="E10" s="35">
        <f>IF(OR(ISBLANK(B10),B10=""),0,VLOOKUP(B10,'Ondal Booms'!B:G,3,FALSE))</f>
        <v>0</v>
      </c>
      <c r="J10" s="55" t="s">
        <v>1045</v>
      </c>
      <c r="K10" s="33"/>
      <c r="L10" s="60"/>
      <c r="M10" s="61"/>
      <c r="N10" s="58"/>
      <c r="O10" s="62"/>
      <c r="P10" s="61"/>
      <c r="Q10" s="33"/>
      <c r="S10" s="33"/>
      <c r="T10" s="62"/>
      <c r="U10" s="61"/>
      <c r="V10" s="58"/>
      <c r="W10" s="62"/>
      <c r="X10" s="61"/>
      <c r="Y10" s="33"/>
      <c r="Z10" s="40">
        <f>15-COUNTIFS(K10:Y10,"")</f>
        <v>0</v>
      </c>
      <c r="AE10">
        <f>COUNTIF(K11,"(2) Duplexes")+COUNTIF(Y11,"(2) Duplexes")</f>
        <v>0</v>
      </c>
      <c r="AF10">
        <f>COUNTIF(Q11:S11,"(2) Duplexes")</f>
        <v>0</v>
      </c>
      <c r="AG10">
        <f>COUNTIF(K11,"(3) Duplexes")+COUNTIF(Y11,"(3) Duplexes")</f>
        <v>0</v>
      </c>
      <c r="AH10">
        <f>COUNTIF(Q11:S11,"(3) Duplexes")</f>
        <v>0</v>
      </c>
    </row>
    <row r="11" spans="1:34" outlineLevel="1">
      <c r="A11" s="55" t="s">
        <v>357</v>
      </c>
      <c r="B11" s="7"/>
      <c r="C11" s="4">
        <f>IF(OR(ISBLANK(B11),B11=""),0,VLOOKUP(B11,'Ondal Booms'!B:G,4,FALSE))</f>
        <v>0</v>
      </c>
      <c r="D11" s="37">
        <f>IF(OR(ISBLANK(B11),B11=""),0,VLOOKUP(B11,'Ondal Booms'!B:G,2,FALSE))</f>
        <v>0</v>
      </c>
      <c r="E11" s="35">
        <f>IF(OR(ISBLANK(B11),B11=""),0,VLOOKUP(B11,'Ondal Booms'!B:G,3,FALSE))</f>
        <v>0</v>
      </c>
      <c r="G11" s="79" t="s">
        <v>1046</v>
      </c>
      <c r="H11" s="80" t="s">
        <v>1030</v>
      </c>
      <c r="J11" s="55" t="s">
        <v>1047</v>
      </c>
      <c r="K11" s="33"/>
      <c r="L11" s="56"/>
      <c r="M11" s="57"/>
      <c r="N11" s="58"/>
      <c r="O11" s="59"/>
      <c r="P11" s="57"/>
      <c r="Q11" s="33"/>
      <c r="S11" s="33"/>
      <c r="T11" s="59"/>
      <c r="U11" s="57"/>
      <c r="V11" s="58"/>
      <c r="W11" s="59"/>
      <c r="X11" s="57"/>
      <c r="Y11" s="33"/>
      <c r="Z11" s="40">
        <f t="shared" si="0"/>
        <v>0</v>
      </c>
    </row>
    <row r="12" spans="1:34" ht="17.100000000000001" outlineLevel="1" thickBot="1">
      <c r="A12" s="49" t="s">
        <v>99</v>
      </c>
      <c r="B12" s="50" t="str">
        <f>IF(OR(H5=0,ISBLANK(H5)),"",H5&amp;" Duplexes")</f>
        <v/>
      </c>
      <c r="C12" s="4">
        <f>IF(OR(ISBLANK(B12),B12=""),0,VLOOKUP(B12,'Ondal Booms'!B:G,4,FALSE))</f>
        <v>0</v>
      </c>
      <c r="D12" s="37">
        <f>IF(OR(ISBLANK(B12),B12=""),0,VLOOKUP(B12,'Ondal Booms'!B:G,2,FALSE))</f>
        <v>0</v>
      </c>
      <c r="E12" s="35">
        <f>IF(OR(ISBLANK(B12),B12=""),0,VLOOKUP(B12,'Ondal Booms'!B:G,3,FALSE))</f>
        <v>0</v>
      </c>
      <c r="G12" s="55" t="s">
        <v>1048</v>
      </c>
      <c r="H12" s="78">
        <f>(COUNTIF(K5:Y14,"Oxygen"))</f>
        <v>0</v>
      </c>
      <c r="J12" s="55" t="s">
        <v>1049</v>
      </c>
      <c r="K12" s="33"/>
      <c r="L12" s="60"/>
      <c r="M12" s="61"/>
      <c r="N12" s="58"/>
      <c r="O12" s="62"/>
      <c r="P12" s="61"/>
      <c r="Q12" s="33"/>
      <c r="S12" s="33"/>
      <c r="T12" s="62"/>
      <c r="U12" s="61"/>
      <c r="V12" s="58"/>
      <c r="W12" s="62"/>
      <c r="X12" s="61"/>
      <c r="Y12" s="33"/>
      <c r="Z12" s="40">
        <f t="shared" si="0"/>
        <v>0</v>
      </c>
      <c r="AE12">
        <f>COUNTIF(K13,"(2) Duplexes")+COUNTIF(Y13,"(2) Duplexes")</f>
        <v>0</v>
      </c>
      <c r="AF12">
        <f>COUNTIF(Q13:S13,"(2) Duplexes")</f>
        <v>0</v>
      </c>
      <c r="AG12">
        <f>COUNTIF(K13,"(3) Duplexes")+COUNTIF(Y13,"(3) Duplexes")</f>
        <v>0</v>
      </c>
      <c r="AH12">
        <f>COUNTIF(Q13:S13,"(3) Duplexes")</f>
        <v>0</v>
      </c>
    </row>
    <row r="13" spans="1:34" outlineLevel="1">
      <c r="A13" s="49" t="s">
        <v>95</v>
      </c>
      <c r="B13" s="50" t="str">
        <f>IF(OR(SUM(H12:H18)=0,ISBLANK(SUM(H12:H18))),"",SUM(H12:H18)&amp;" Outlets")</f>
        <v/>
      </c>
      <c r="C13" s="4">
        <f>IF(OR(ISBLANK(B13),B13=""),0,VLOOKUP(B13,'Ondal Booms'!B:G,4,FALSE))</f>
        <v>0</v>
      </c>
      <c r="D13" s="37">
        <f>IF(OR(ISBLANK(B13),B13=""),0,VLOOKUP(B13,'Ondal Booms'!B:G,2,FALSE))</f>
        <v>0</v>
      </c>
      <c r="E13" s="35">
        <f>IF(OR(ISBLANK(B13),B13=""),0,VLOOKUP(B13,'Ondal Booms'!B:G,3,FALSE))</f>
        <v>0</v>
      </c>
      <c r="G13" s="55" t="s">
        <v>1050</v>
      </c>
      <c r="H13" s="77">
        <f>COUNTIF(K5:Y14,"Medical Air")</f>
        <v>0</v>
      </c>
      <c r="J13" s="55" t="s">
        <v>1051</v>
      </c>
      <c r="K13" s="33"/>
      <c r="L13" s="56"/>
      <c r="M13" s="57"/>
      <c r="N13" s="58"/>
      <c r="O13" s="59"/>
      <c r="P13" s="57"/>
      <c r="Q13" s="33"/>
      <c r="S13" s="33"/>
      <c r="T13" s="59"/>
      <c r="U13" s="57"/>
      <c r="V13" s="58"/>
      <c r="W13" s="59"/>
      <c r="X13" s="57"/>
      <c r="Y13" s="33"/>
      <c r="Z13" s="40">
        <f t="shared" si="0"/>
        <v>0</v>
      </c>
    </row>
    <row r="14" spans="1:34" ht="17.100000000000001" outlineLevel="1" thickBot="1">
      <c r="A14" s="55" t="s">
        <v>1052</v>
      </c>
      <c r="B14" s="45"/>
      <c r="C14" s="4">
        <f>IF(OR(ISBLANK(B14),B14=""),0,VLOOKUP(B14,'Ondal Booms'!B:G,4,FALSE))</f>
        <v>0</v>
      </c>
      <c r="D14" s="37">
        <f>IF(OR(ISBLANK(B14),B14=""),0,VLOOKUP(B14,'Ondal Booms'!B:G,2,FALSE))</f>
        <v>0</v>
      </c>
      <c r="E14" s="35">
        <f>IF(OR(ISBLANK(B14),B14=""),0,VLOOKUP(B14,'Ondal Booms'!B:G,3,FALSE))</f>
        <v>0</v>
      </c>
      <c r="G14" s="55" t="s">
        <v>1053</v>
      </c>
      <c r="H14" s="77">
        <f>COUNTIF(K5:Y14,"Nitrous Oxide")</f>
        <v>0</v>
      </c>
      <c r="J14" s="64" t="s">
        <v>1054</v>
      </c>
      <c r="K14" s="33"/>
      <c r="L14" s="60"/>
      <c r="M14" s="61"/>
      <c r="N14" s="63"/>
      <c r="O14" s="62"/>
      <c r="P14" s="61"/>
      <c r="Q14" s="33"/>
      <c r="S14" s="33"/>
      <c r="T14" s="62"/>
      <c r="U14" s="61"/>
      <c r="V14" s="63"/>
      <c r="W14" s="62"/>
      <c r="X14" s="61"/>
      <c r="Y14" s="33"/>
      <c r="Z14" s="40">
        <f t="shared" si="0"/>
        <v>0</v>
      </c>
    </row>
    <row r="15" spans="1:34" outlineLevel="1">
      <c r="A15" s="55" t="s">
        <v>454</v>
      </c>
      <c r="B15" s="45"/>
      <c r="C15" s="4">
        <f>IF(OR(ISBLANK(B15),B15=""),0,VLOOKUP(B15,'Ondal Booms'!B:G,4,FALSE))</f>
        <v>0</v>
      </c>
      <c r="D15" s="37">
        <f>IF(OR(ISBLANK(B15),B15=""),0,VLOOKUP(B15,'Ondal Booms'!B:G,2,FALSE))</f>
        <v>0</v>
      </c>
      <c r="E15" s="35">
        <f>IF(OR(ISBLANK(B15),B15=""),0,VLOOKUP(B15,'Ondal Booms'!B:G,3,FALSE))</f>
        <v>0</v>
      </c>
      <c r="G15" s="55" t="s">
        <v>1055</v>
      </c>
      <c r="H15" s="77">
        <f>COUNTIF(K5:Y14,"WAGD")</f>
        <v>0</v>
      </c>
    </row>
    <row r="16" spans="1:34" outlineLevel="1">
      <c r="A16" s="55" t="s">
        <v>455</v>
      </c>
      <c r="B16" s="45"/>
      <c r="C16" s="4">
        <f>IF(OR(ISBLANK(B16),B16=""),0,VLOOKUP(B16,'Ondal Booms'!B:G,4,FALSE))</f>
        <v>0</v>
      </c>
      <c r="D16" s="37">
        <f>IF(OR(ISBLANK(B16),B16=""),0,VLOOKUP(B16,'Ondal Booms'!B:G,2,FALSE))</f>
        <v>0</v>
      </c>
      <c r="E16" s="35">
        <f>IF(OR(ISBLANK(B16),B16=""),0,VLOOKUP(B16,'Ondal Booms'!B:G,3,FALSE))</f>
        <v>0</v>
      </c>
      <c r="G16" s="55" t="s">
        <v>1056</v>
      </c>
      <c r="H16" s="77">
        <f>COUNTIF(K5:Y14,"Vacuum")</f>
        <v>0</v>
      </c>
    </row>
    <row r="17" spans="1:34" outlineLevel="1">
      <c r="A17" s="55" t="s">
        <v>1057</v>
      </c>
      <c r="B17" s="45"/>
      <c r="C17" s="4">
        <f>IF(OR(ISBLANK(B17),B17=""),0,VLOOKUP(B17,'Ondal Booms'!B:G,4,FALSE))</f>
        <v>0</v>
      </c>
      <c r="D17" s="37">
        <f>IF(OR(ISBLANK(B17),B17=""),0,VLOOKUP(B17,'Ondal Booms'!B:G,2,FALSE))</f>
        <v>0</v>
      </c>
      <c r="E17" s="35">
        <f>IF(OR(ISBLANK(B17),B17=""),0,VLOOKUP(B17,'Ondal Booms'!B:G,3,FALSE))</f>
        <v>0</v>
      </c>
      <c r="G17" s="55" t="s">
        <v>1058</v>
      </c>
      <c r="H17" s="77">
        <f>COUNTIF(K5:Y14,"Nitrogen")</f>
        <v>0</v>
      </c>
    </row>
    <row r="18" spans="1:34" outlineLevel="1">
      <c r="A18" s="55" t="s">
        <v>1059</v>
      </c>
      <c r="B18" s="45"/>
      <c r="C18" s="4">
        <f>IF(OR(ISBLANK(B18),B18=""),0,VLOOKUP(B18,'Ondal Booms'!B:G,4,FALSE))</f>
        <v>0</v>
      </c>
      <c r="D18" s="37">
        <f>IF(OR(ISBLANK(B18),B18=""),0,VLOOKUP(B18,'Ondal Booms'!B:G,2,FALSE))</f>
        <v>0</v>
      </c>
      <c r="E18" s="35">
        <f>IF(OR(ISBLANK(B18),B18=""),0,VLOOKUP(B18,'Ondal Booms'!B:G,3,FALSE))</f>
        <v>0</v>
      </c>
      <c r="G18" s="64" t="s">
        <v>1060</v>
      </c>
      <c r="H18" s="77">
        <f>COUNTIF(K5:Y14,"Carbon Dioxide")</f>
        <v>0</v>
      </c>
    </row>
    <row r="19" spans="1:34" outlineLevel="1">
      <c r="A19" s="55" t="s">
        <v>1061</v>
      </c>
      <c r="B19" s="45"/>
      <c r="C19" s="4">
        <f>IF(OR(ISBLANK(B19),B19=""),0,VLOOKUP(B19,'Ondal Booms'!B:G,4,FALSE))</f>
        <v>0</v>
      </c>
      <c r="D19" s="37">
        <f>IF(OR(ISBLANK(B19),B19=""),0,VLOOKUP(B19,'Ondal Booms'!B:G,2,FALSE))</f>
        <v>0</v>
      </c>
      <c r="E19" s="35">
        <f>IF(OR(ISBLANK(B19),B19=""),0,VLOOKUP(B19,'Ondal Booms'!B:G,3,FALSE))</f>
        <v>0</v>
      </c>
      <c r="H19" s="36"/>
    </row>
    <row r="20" spans="1:34" outlineLevel="1">
      <c r="A20" s="55" t="s">
        <v>1062</v>
      </c>
      <c r="B20" s="45"/>
      <c r="C20" s="4">
        <f>IF(OR(ISBLANK(B20),B20=""),0,VLOOKUP(B20,'Ondal Booms'!B:G,4,FALSE))</f>
        <v>0</v>
      </c>
      <c r="D20" s="37">
        <f>IF(OR(ISBLANK(B20),B20=""),0,VLOOKUP(B20,'Ondal Booms'!B:G,2,FALSE))</f>
        <v>0</v>
      </c>
      <c r="E20" s="35">
        <f>IF(OR(ISBLANK(B20),B20=""),0,VLOOKUP(B20,'Ondal Booms'!B:G,3,FALSE))</f>
        <v>0</v>
      </c>
    </row>
    <row r="21" spans="1:34" outlineLevel="1">
      <c r="A21" s="55" t="s">
        <v>1063</v>
      </c>
      <c r="B21" s="45"/>
      <c r="C21" s="4">
        <f>IF(OR(ISBLANK(B21),B21=""),0,VLOOKUP(B21,'Ondal Booms'!B:G,4,FALSE))</f>
        <v>0</v>
      </c>
      <c r="D21" s="37">
        <f>IF(OR(ISBLANK(B21),B21=""),0,VLOOKUP(B21,'Ondal Booms'!B:G,2,FALSE))</f>
        <v>0</v>
      </c>
      <c r="E21" s="35">
        <f>IF(OR(ISBLANK(B21),B21=""),0,VLOOKUP(B21,'Ondal Booms'!B:G,3,FALSE))</f>
        <v>0</v>
      </c>
      <c r="G21" s="37"/>
    </row>
    <row r="22" spans="1:34" outlineLevel="1">
      <c r="A22" s="55" t="s">
        <v>1064</v>
      </c>
      <c r="B22" s="45"/>
      <c r="C22" s="4">
        <f>IF(OR(ISBLANK(B22),B22=""),0,VLOOKUP(B22,'Ondal Booms'!B:G,4,FALSE))</f>
        <v>0</v>
      </c>
      <c r="D22" s="37">
        <f>IF(OR(ISBLANK(B22),B22=""),0,VLOOKUP(B22,'Ondal Booms'!B:G,2,FALSE))</f>
        <v>0</v>
      </c>
      <c r="E22" s="35">
        <f>IF(OR(ISBLANK(B22),B22=""),0,VLOOKUP(B22,'Ondal Booms'!B:G,3,FALSE))</f>
        <v>0</v>
      </c>
      <c r="G22" s="37"/>
    </row>
    <row r="23" spans="1:34" outlineLevel="1">
      <c r="A23" s="64" t="s">
        <v>1065</v>
      </c>
      <c r="B23" s="45"/>
      <c r="C23" s="4">
        <f>IF(OR(ISBLANK(B23),B23=""),0,VLOOKUP(B23,'Ondal Booms'!B:G,4,FALSE))</f>
        <v>0</v>
      </c>
      <c r="D23" s="37">
        <f>IF(OR(ISBLANK(B23),B23=""),0,VLOOKUP(B23,'Ondal Booms'!B:G,2,FALSE))</f>
        <v>0</v>
      </c>
      <c r="E23" s="35">
        <f>IF(OR(ISBLANK(B23),B23=""),0,VLOOKUP(B23,'Ondal Booms'!B:G,3,FALSE))</f>
        <v>0</v>
      </c>
    </row>
    <row r="24" spans="1:34" outlineLevel="1">
      <c r="C24" s="4"/>
      <c r="E24" s="37"/>
    </row>
    <row r="25" spans="1:34" outlineLevel="1">
      <c r="A25" s="49" t="s">
        <v>1066</v>
      </c>
      <c r="B25" s="70" t="str">
        <f>IF(OR(ISBLANK(B5),B5=""),"",
IF(OR(AND(B11="200mm Service Head",SUM(Z7:Z14)&gt;0),AND(B11="400mm Service Head",SUM(Z9:Z14)&gt;0),AND(B11="600mm Service Head",SUM(Z11:Z14)&gt;0),AND(B11="800mm Service Head",SUM(Z13:Z14)&gt;0)),"Select Longer Service Head or Remove Services",
IF(AND(RIGHT(B9,2)="XL",RIGHT(B8,2)&lt;&gt;"XL"),"BOTTOM XL ARM REQUIRES TOP XL ARM",
IF(OR(ISBLANK(B6),ISBLANK(B7),ISBLANK(B8),ISBLANK(B9),ISBLANK(B10),ISBLANK(B11),ISBLANK(B15),ISBLANK(B16),ISBLANK(B14)),"Missing Selections for Configuration",
IF(AND(B11="Large Monitor Carrier",B9&lt;&gt;"Spring Articulating"),"Large Monitor Requires Spring Bottom Arm",
IF(OR(AND(RIGHT(B7,2)="XL",RIGHT(B8,2)&lt;&gt;"XL"),AND(RIGHT(B8,2)="XL",RIGHT(B7,2)&lt;&gt;"XL")),"Both Top Arm and Ceiling Flange Must Be XL",
IF(COUNTIF(AE4:AH12,1)&gt;1,"Mismatch Electrical Configuration",
""))))))
)</f>
        <v/>
      </c>
      <c r="C25" s="4"/>
      <c r="D25" s="4"/>
      <c r="E25" s="35"/>
    </row>
    <row r="26" spans="1:34" outlineLevel="1">
      <c r="B26" s="1"/>
      <c r="C26" s="47" t="s">
        <v>1026</v>
      </c>
      <c r="D26" s="47" t="s">
        <v>1027</v>
      </c>
      <c r="E26" s="47" t="s">
        <v>1067</v>
      </c>
      <c r="F26" s="35"/>
      <c r="I26" s="35"/>
    </row>
    <row r="27" spans="1:34" ht="17.100000000000001" thickBot="1">
      <c r="A27" s="69" t="s">
        <v>1068</v>
      </c>
      <c r="B27" s="72" t="str">
        <f>IF(OR(B6="",ISBLANK(B6)),"NO CONFIGURATION SELECTED",C27)</f>
        <v>NO CONFIGURATION SELECTED</v>
      </c>
      <c r="C27" s="65">
        <f>SUM(C5:C23)</f>
        <v>0</v>
      </c>
      <c r="D27" s="65">
        <f t="shared" ref="D27:E27" si="1">SUM(D5:D23)</f>
        <v>0</v>
      </c>
      <c r="E27" s="65">
        <f t="shared" si="1"/>
        <v>0</v>
      </c>
      <c r="F27" s="1"/>
      <c r="I27" s="1"/>
      <c r="J27" t="str">
        <f>"&lt;-- EXPAND TO SHOW OPTIONS / SERVICE HEAD"</f>
        <v>&lt;-- EXPAND TO SHOW OPTIONS / SERVICE HEAD</v>
      </c>
      <c r="AC27" s="285"/>
      <c r="AD27" s="285"/>
      <c r="AE27" s="285"/>
      <c r="AF27" s="285"/>
    </row>
    <row r="28" spans="1:34" ht="17.100000000000001" thickTop="1">
      <c r="C28" s="66"/>
      <c r="D28" s="66"/>
      <c r="E28" s="66"/>
      <c r="F28" s="1"/>
      <c r="I28" s="1"/>
      <c r="AE28">
        <f>COUNTIF(K30,"(2) Duplexes")+COUNTIF(Y30,"(2) Duplexes")</f>
        <v>0</v>
      </c>
      <c r="AF28">
        <f>COUNTIF(Q30:S30,"(2) Duplexes")</f>
        <v>0</v>
      </c>
      <c r="AG28">
        <f>COUNTIF(K30,"(3) Duplexes")+COUNTIF(Y30,"(3) Duplexes")</f>
        <v>0</v>
      </c>
      <c r="AH28">
        <f>COUNTIF(Q30:S30,"(3) Duplexes")</f>
        <v>0</v>
      </c>
    </row>
    <row r="29" spans="1:34" ht="18.95">
      <c r="A29" s="46" t="s">
        <v>1069</v>
      </c>
      <c r="B29" s="47" t="s">
        <v>1025</v>
      </c>
      <c r="C29" s="47" t="s">
        <v>1026</v>
      </c>
      <c r="D29" s="47" t="s">
        <v>1027</v>
      </c>
      <c r="E29" s="47" t="s">
        <v>1028</v>
      </c>
      <c r="G29" s="79" t="s">
        <v>1029</v>
      </c>
      <c r="H29" s="80" t="s">
        <v>1030</v>
      </c>
      <c r="J29" s="83" t="s">
        <v>1031</v>
      </c>
      <c r="K29" s="84" t="s">
        <v>1032</v>
      </c>
      <c r="L29" s="282" t="s">
        <v>1033</v>
      </c>
      <c r="M29" s="282"/>
      <c r="N29" s="282"/>
      <c r="O29" s="282"/>
      <c r="P29" s="282"/>
      <c r="Q29" s="80" t="s">
        <v>1032</v>
      </c>
      <c r="R29" s="36"/>
      <c r="S29" s="79" t="s">
        <v>1032</v>
      </c>
      <c r="T29" s="282" t="s">
        <v>1034</v>
      </c>
      <c r="U29" s="282"/>
      <c r="V29" s="282"/>
      <c r="W29" s="282"/>
      <c r="X29" s="282"/>
      <c r="Y29" s="80" t="s">
        <v>1032</v>
      </c>
    </row>
    <row r="30" spans="1:34" hidden="1" outlineLevel="1">
      <c r="A30" s="49" t="s">
        <v>1035</v>
      </c>
      <c r="B30" s="50" t="str">
        <f>IF(OR(ISBLANK(B32),ISBLANK(B33)),"",IF(ISBLANK(B33),0,(VLOOKUP(B33,'Ondal Booms'!B:F,5,FALSE)))&amp;IF(ISBLANK(B32),0,(VLOOKUP(B32,'Ondal Booms'!B:F,5,FALSE))))</f>
        <v/>
      </c>
      <c r="C30" s="4">
        <f>IF(OR(ISBLANK(B30),B30=""),0,VLOOKUP(B30,'Ondal Booms'!B:G,4,FALSE))</f>
        <v>0</v>
      </c>
      <c r="D30" s="37">
        <f>IF(OR(ISBLANK(B30),B30=""),0,VLOOKUP(B30,'Ondal Booms'!B:G,2,FALSE))</f>
        <v>0</v>
      </c>
      <c r="E30" s="35">
        <f>IF(OR(ISBLANK(B30),B30=""),0,VLOOKUP(B30,'Ondal Booms'!B:G,3,FALSE))</f>
        <v>0</v>
      </c>
      <c r="G30" s="48" t="s">
        <v>1036</v>
      </c>
      <c r="H30" s="77">
        <f>COUNTIF(K30:Y39,"(2) Duplexes")*2+COUNTIF(K30:Y39,"(3) Duplexes")*3</f>
        <v>0</v>
      </c>
      <c r="J30" s="51" t="s">
        <v>1037</v>
      </c>
      <c r="K30" s="82"/>
      <c r="L30" s="56"/>
      <c r="M30" s="57"/>
      <c r="N30" s="58"/>
      <c r="O30" s="59"/>
      <c r="P30" s="57"/>
      <c r="Q30" s="82"/>
      <c r="S30" s="82"/>
      <c r="T30" s="59"/>
      <c r="U30" s="57"/>
      <c r="V30" s="58"/>
      <c r="W30" s="59"/>
      <c r="X30" s="57"/>
      <c r="Y30" s="82"/>
      <c r="Z30" s="40">
        <f>15-COUNTIFS(K30:Y30,"")</f>
        <v>0</v>
      </c>
    </row>
    <row r="31" spans="1:34" hidden="1" outlineLevel="1">
      <c r="A31" s="55" t="s">
        <v>354</v>
      </c>
      <c r="B31" s="45"/>
      <c r="C31" s="4">
        <f>IF(OR(ISBLANK(B31),B31=""),0,VLOOKUP(B31,'Ondal Booms'!B:G,4,FALSE))</f>
        <v>0</v>
      </c>
      <c r="D31" s="37">
        <f>IF(OR(ISBLANK(B31),B31=""),0,VLOOKUP(B31,'Ondal Booms'!B:G,2,FALSE))</f>
        <v>0</v>
      </c>
      <c r="E31" s="35">
        <f>IF(OR(ISBLANK(B31),B31=""),0,VLOOKUP(B31,'Ondal Booms'!B:G,3,FALSE))</f>
        <v>0</v>
      </c>
      <c r="G31" s="79" t="s">
        <v>1039</v>
      </c>
      <c r="H31" s="80" t="s">
        <v>1030</v>
      </c>
      <c r="J31" s="51" t="s">
        <v>1038</v>
      </c>
      <c r="K31" s="33"/>
      <c r="L31" s="56"/>
      <c r="M31" s="57"/>
      <c r="N31" s="58"/>
      <c r="O31" s="59"/>
      <c r="P31" s="57"/>
      <c r="Q31" s="33"/>
      <c r="S31" s="33"/>
      <c r="T31" s="59"/>
      <c r="U31" s="57"/>
      <c r="V31" s="58"/>
      <c r="W31" s="59"/>
      <c r="X31" s="57"/>
      <c r="Y31" s="33"/>
      <c r="Z31" s="40">
        <f t="shared" ref="Z31:Z34" si="2">15-COUNTIFS(K31:Y31,"")</f>
        <v>0</v>
      </c>
      <c r="AE31">
        <f>COUNTIF(K32,"(2) Duplexes")+COUNTIF(Y32,"(2) Duplexes")</f>
        <v>0</v>
      </c>
      <c r="AF31">
        <f>COUNTIF(Q32:S32,"(2) Duplexes")</f>
        <v>0</v>
      </c>
      <c r="AG31">
        <f>COUNTIF(K32,"(3) Duplexes")+COUNTIF(Y32,"(3) Duplexes")</f>
        <v>0</v>
      </c>
      <c r="AH31">
        <f>COUNTIF(Q32:S32,"(3) Duplexes")</f>
        <v>0</v>
      </c>
    </row>
    <row r="32" spans="1:34" hidden="1" outlineLevel="1">
      <c r="A32" s="55" t="s">
        <v>355</v>
      </c>
      <c r="B32" s="8"/>
      <c r="C32" s="4">
        <f>IF(OR(ISBLANK(B32),B32=""),0,VLOOKUP(B32,'Ondal Booms'!B:G,4,FALSE))</f>
        <v>0</v>
      </c>
      <c r="D32" s="37">
        <f>IF(OR(ISBLANK(B32),B32=""),0,VLOOKUP(B32,'Ondal Booms'!B:G,2,FALSE))</f>
        <v>0</v>
      </c>
      <c r="E32" s="35">
        <f>IF(OR(ISBLANK(B32),B32=""),0,VLOOKUP(B32,'Ondal Booms'!B:G,3,FALSE))</f>
        <v>0</v>
      </c>
      <c r="G32" s="55" t="s">
        <v>1041</v>
      </c>
      <c r="H32" s="78">
        <f>(COUNTIF(K30:Y39,"Data"))</f>
        <v>0</v>
      </c>
      <c r="J32" s="51" t="s">
        <v>1040</v>
      </c>
      <c r="K32" s="33"/>
      <c r="L32" s="52"/>
      <c r="M32" s="53"/>
      <c r="N32" s="58"/>
      <c r="O32" s="54"/>
      <c r="P32" s="53"/>
      <c r="Q32" s="33"/>
      <c r="S32" s="33"/>
      <c r="T32" s="54"/>
      <c r="U32" s="53"/>
      <c r="V32" s="58"/>
      <c r="W32" s="54"/>
      <c r="X32" s="53"/>
      <c r="Y32" s="33"/>
      <c r="Z32" s="40">
        <f t="shared" si="2"/>
        <v>0</v>
      </c>
    </row>
    <row r="33" spans="1:34" hidden="1" outlineLevel="1">
      <c r="A33" s="55" t="s">
        <v>356</v>
      </c>
      <c r="B33" s="7"/>
      <c r="C33" s="4">
        <f>IF(OR(ISBLANK(B33),B33=""),0,VLOOKUP(B33,'Ondal Booms'!B:G,4,FALSE))</f>
        <v>0</v>
      </c>
      <c r="D33" s="37">
        <f>IF(OR(ISBLANK(B33),B33=""),0,VLOOKUP(B33,'Ondal Booms'!B:G,2,FALSE))</f>
        <v>0</v>
      </c>
      <c r="E33" s="35">
        <f>IF(OR(ISBLANK(B33),B33=""),0,VLOOKUP(B33,'Ondal Booms'!B:G,3,FALSE))</f>
        <v>0</v>
      </c>
      <c r="G33" s="64" t="s">
        <v>1043</v>
      </c>
      <c r="H33" s="77">
        <f>(COUNTIF(K30:Y39,"Storz 4in1"))</f>
        <v>0</v>
      </c>
      <c r="J33" s="51" t="s">
        <v>1042</v>
      </c>
      <c r="K33" s="33"/>
      <c r="L33" s="56"/>
      <c r="M33" s="57"/>
      <c r="N33" s="58"/>
      <c r="O33" s="59"/>
      <c r="P33" s="57"/>
      <c r="Q33" s="33"/>
      <c r="S33" s="33"/>
      <c r="T33" s="59"/>
      <c r="U33" s="57"/>
      <c r="V33" s="58"/>
      <c r="W33" s="59"/>
      <c r="X33" s="57"/>
      <c r="Y33" s="33"/>
      <c r="Z33" s="40">
        <f t="shared" si="2"/>
        <v>0</v>
      </c>
      <c r="AE33">
        <f>COUNTIF(K34,"(2) Duplexes")+COUNTIF(Y34,"(2) Duplexes")</f>
        <v>0</v>
      </c>
      <c r="AF33">
        <f>COUNTIF(Q34:S34,"(2) Duplexes")</f>
        <v>0</v>
      </c>
      <c r="AG33">
        <f>COUNTIF(K34,"(3) Duplexes")+COUNTIF(Y34,"(3) Duplexes")</f>
        <v>0</v>
      </c>
      <c r="AH33">
        <f>COUNTIF(Q34:S34,"(3) Duplexes")</f>
        <v>0</v>
      </c>
    </row>
    <row r="34" spans="1:34" hidden="1" outlineLevel="1">
      <c r="A34" s="55" t="s">
        <v>418</v>
      </c>
      <c r="B34" s="7"/>
      <c r="C34" s="4">
        <f>IF(OR(ISBLANK(B34),B34=""),0,VLOOKUP(B34,'Ondal Booms'!B:G,4,FALSE))</f>
        <v>0</v>
      </c>
      <c r="D34" s="37">
        <f>IF(OR(ISBLANK(B34),B34=""),0,VLOOKUP(B34,'Ondal Booms'!B:G,2,FALSE))</f>
        <v>0</v>
      </c>
      <c r="E34" s="35">
        <f>IF(OR(ISBLANK(B34),B34=""),0,VLOOKUP(B34,'Ondal Booms'!B:G,3,FALSE))</f>
        <v>0</v>
      </c>
      <c r="J34" s="51" t="s">
        <v>1044</v>
      </c>
      <c r="K34" s="33"/>
      <c r="L34" s="52"/>
      <c r="M34" s="53"/>
      <c r="N34" s="58"/>
      <c r="O34" s="54"/>
      <c r="P34" s="53"/>
      <c r="Q34" s="33"/>
      <c r="S34" s="33"/>
      <c r="T34" s="54"/>
      <c r="U34" s="53"/>
      <c r="V34" s="58"/>
      <c r="W34" s="54"/>
      <c r="X34" s="53"/>
      <c r="Y34" s="33"/>
      <c r="Z34" s="40">
        <f t="shared" si="2"/>
        <v>0</v>
      </c>
    </row>
    <row r="35" spans="1:34" ht="17.100000000000001" hidden="1" outlineLevel="1" thickBot="1">
      <c r="A35" s="55" t="s">
        <v>357</v>
      </c>
      <c r="B35" s="7"/>
      <c r="C35" s="4">
        <f>IF(OR(ISBLANK(B35),B35=""),0,VLOOKUP(B35,'Ondal Booms'!B:G,4,FALSE))</f>
        <v>0</v>
      </c>
      <c r="D35" s="37">
        <f>IF(OR(ISBLANK(B35),B35=""),0,VLOOKUP(B35,'Ondal Booms'!B:G,2,FALSE))</f>
        <v>0</v>
      </c>
      <c r="E35" s="35">
        <f>IF(OR(ISBLANK(B35),B35=""),0,VLOOKUP(B35,'Ondal Booms'!B:G,3,FALSE))</f>
        <v>0</v>
      </c>
      <c r="G35" s="79" t="s">
        <v>1046</v>
      </c>
      <c r="H35" s="80" t="s">
        <v>1030</v>
      </c>
      <c r="J35" s="51" t="s">
        <v>1045</v>
      </c>
      <c r="K35" s="33"/>
      <c r="L35" s="60"/>
      <c r="M35" s="61"/>
      <c r="N35" s="58"/>
      <c r="O35" s="62"/>
      <c r="P35" s="61"/>
      <c r="Q35" s="33"/>
      <c r="S35" s="33"/>
      <c r="T35" s="62"/>
      <c r="U35" s="61"/>
      <c r="V35" s="58"/>
      <c r="W35" s="62"/>
      <c r="X35" s="61"/>
      <c r="Y35" s="33"/>
      <c r="Z35" s="40">
        <f>15-COUNTIFS(K35:Y35,"")</f>
        <v>0</v>
      </c>
      <c r="AE35">
        <f>COUNTIF(K36,"(2) Duplexes")+COUNTIF(Y36,"(2) Duplexes")</f>
        <v>0</v>
      </c>
      <c r="AF35">
        <f>COUNTIF(Q36:S36,"(2) Duplexes")</f>
        <v>0</v>
      </c>
      <c r="AG35">
        <f>COUNTIF(K36,"(3) Duplexes")+COUNTIF(Y36,"(3) Duplexes")</f>
        <v>0</v>
      </c>
      <c r="AH35">
        <f>COUNTIF(Q36:S36,"(3) Duplexes")</f>
        <v>0</v>
      </c>
    </row>
    <row r="36" spans="1:34" hidden="1" outlineLevel="1">
      <c r="A36" s="49" t="s">
        <v>99</v>
      </c>
      <c r="B36" s="50" t="str">
        <f>IF(OR(H30=0,ISBLANK(H30)),"",H30&amp;" Duplexes")</f>
        <v/>
      </c>
      <c r="C36" s="4">
        <f>IF(OR(ISBLANK(B36),B36=""),0,VLOOKUP(B36,'Ondal Booms'!B:G,4,FALSE))</f>
        <v>0</v>
      </c>
      <c r="D36" s="37">
        <f>IF(OR(ISBLANK(B36),B36=""),0,VLOOKUP(B36,'Ondal Booms'!B:G,2,FALSE))</f>
        <v>0</v>
      </c>
      <c r="E36" s="35">
        <f>IF(OR(ISBLANK(B36),B36=""),0,VLOOKUP(B36,'Ondal Booms'!B:G,3,FALSE))</f>
        <v>0</v>
      </c>
      <c r="G36" s="55" t="s">
        <v>1048</v>
      </c>
      <c r="H36" s="78">
        <f>(COUNTIF(K30:Y39,"Oxygen"))</f>
        <v>0</v>
      </c>
      <c r="J36" s="51" t="s">
        <v>1047</v>
      </c>
      <c r="K36" s="33"/>
      <c r="L36" s="56"/>
      <c r="M36" s="57"/>
      <c r="N36" s="58"/>
      <c r="O36" s="59"/>
      <c r="P36" s="57"/>
      <c r="Q36" s="33"/>
      <c r="S36" s="33"/>
      <c r="T36" s="59"/>
      <c r="U36" s="57"/>
      <c r="V36" s="58"/>
      <c r="W36" s="59"/>
      <c r="X36" s="57"/>
      <c r="Y36" s="33"/>
      <c r="Z36" s="40">
        <f t="shared" ref="Z36:Z39" si="3">15-COUNTIFS(K36:Y36,"")</f>
        <v>0</v>
      </c>
    </row>
    <row r="37" spans="1:34" ht="17.100000000000001" hidden="1" outlineLevel="1" thickBot="1">
      <c r="A37" s="49" t="s">
        <v>95</v>
      </c>
      <c r="B37" s="50" t="str">
        <f>IF(OR(SUM(H36:H42)=0,ISBLANK(SUM(H36:H42))),"",SUM(H36:H42)&amp;" Outlets")</f>
        <v/>
      </c>
      <c r="C37" s="4">
        <f>IF(OR(ISBLANK(B37),B37=""),0,VLOOKUP(B37,'Ondal Booms'!B:G,4,FALSE))</f>
        <v>0</v>
      </c>
      <c r="D37" s="37">
        <f>IF(OR(ISBLANK(B37),B37=""),0,VLOOKUP(B37,'Ondal Booms'!B:G,2,FALSE))</f>
        <v>0</v>
      </c>
      <c r="E37" s="35">
        <f>IF(OR(ISBLANK(B37),B37=""),0,VLOOKUP(B37,'Ondal Booms'!B:G,3,FALSE))</f>
        <v>0</v>
      </c>
      <c r="G37" s="55" t="s">
        <v>1050</v>
      </c>
      <c r="H37" s="77">
        <f>COUNTIF(K30:Y39,"Medical Air")</f>
        <v>0</v>
      </c>
      <c r="J37" s="51" t="s">
        <v>1049</v>
      </c>
      <c r="K37" s="33"/>
      <c r="L37" s="60"/>
      <c r="M37" s="61"/>
      <c r="N37" s="58"/>
      <c r="O37" s="62"/>
      <c r="P37" s="61"/>
      <c r="Q37" s="33"/>
      <c r="S37" s="33"/>
      <c r="T37" s="62"/>
      <c r="U37" s="61"/>
      <c r="V37" s="58"/>
      <c r="W37" s="62"/>
      <c r="X37" s="61"/>
      <c r="Y37" s="33"/>
      <c r="Z37" s="40">
        <f t="shared" si="3"/>
        <v>0</v>
      </c>
      <c r="AE37">
        <f>COUNTIF(K38,"(2) Duplexes")+COUNTIF(Y38,"(2) Duplexes")</f>
        <v>0</v>
      </c>
      <c r="AF37">
        <f>COUNTIF(Q38:S38,"(2) Duplexes")</f>
        <v>0</v>
      </c>
      <c r="AG37">
        <f>COUNTIF(K38,"(3) Duplexes")+COUNTIF(Y38,"(3) Duplexes")</f>
        <v>0</v>
      </c>
      <c r="AH37">
        <f>COUNTIF(Q38:S38,"(3) Duplexes")</f>
        <v>0</v>
      </c>
    </row>
    <row r="38" spans="1:34" hidden="1" outlineLevel="1">
      <c r="A38" s="55" t="s">
        <v>1052</v>
      </c>
      <c r="B38" s="45"/>
      <c r="C38" s="4">
        <f>IF(OR(ISBLANK(B38),B38=""),0,VLOOKUP(B38,'Ondal Booms'!B:G,4,FALSE))</f>
        <v>0</v>
      </c>
      <c r="D38" s="37">
        <f>IF(OR(ISBLANK(B38),B38=""),0,VLOOKUP(B38,'Ondal Booms'!B:G,2,FALSE))</f>
        <v>0</v>
      </c>
      <c r="E38" s="35">
        <f>IF(OR(ISBLANK(B38),B38=""),0,VLOOKUP(B38,'Ondal Booms'!B:G,3,FALSE))</f>
        <v>0</v>
      </c>
      <c r="G38" s="55" t="s">
        <v>1053</v>
      </c>
      <c r="H38" s="77">
        <f>COUNTIF(K30:Y39,"Nitrous Oxide")</f>
        <v>0</v>
      </c>
      <c r="J38" s="51" t="s">
        <v>1051</v>
      </c>
      <c r="K38" s="33"/>
      <c r="L38" s="56"/>
      <c r="M38" s="57"/>
      <c r="N38" s="58"/>
      <c r="O38" s="59"/>
      <c r="P38" s="57"/>
      <c r="Q38" s="33"/>
      <c r="S38" s="33"/>
      <c r="T38" s="59"/>
      <c r="U38" s="57"/>
      <c r="V38" s="58"/>
      <c r="W38" s="59"/>
      <c r="X38" s="57"/>
      <c r="Y38" s="33"/>
      <c r="Z38" s="40">
        <f t="shared" si="3"/>
        <v>0</v>
      </c>
    </row>
    <row r="39" spans="1:34" ht="17.100000000000001" hidden="1" outlineLevel="1" thickBot="1">
      <c r="A39" s="55" t="s">
        <v>454</v>
      </c>
      <c r="B39" s="45"/>
      <c r="C39" s="4">
        <f>IF(OR(ISBLANK(B39),B39=""),0,VLOOKUP(B39,'Ondal Booms'!B:G,4,FALSE))</f>
        <v>0</v>
      </c>
      <c r="D39" s="37">
        <f>IF(OR(ISBLANK(B39),B39=""),0,VLOOKUP(B39,'Ondal Booms'!B:G,2,FALSE))</f>
        <v>0</v>
      </c>
      <c r="E39" s="35">
        <f>IF(OR(ISBLANK(B39),B39=""),0,VLOOKUP(B39,'Ondal Booms'!B:G,3,FALSE))</f>
        <v>0</v>
      </c>
      <c r="G39" s="55" t="s">
        <v>1055</v>
      </c>
      <c r="H39" s="77">
        <f>COUNTIF(K30:Y39,"WAGD")</f>
        <v>0</v>
      </c>
      <c r="J39" s="51" t="s">
        <v>1054</v>
      </c>
      <c r="K39" s="33"/>
      <c r="L39" s="60"/>
      <c r="M39" s="61"/>
      <c r="N39" s="63"/>
      <c r="O39" s="62"/>
      <c r="P39" s="61"/>
      <c r="Q39" s="33"/>
      <c r="S39" s="33"/>
      <c r="T39" s="62"/>
      <c r="U39" s="61"/>
      <c r="V39" s="63"/>
      <c r="W39" s="62"/>
      <c r="X39" s="61"/>
      <c r="Y39" s="33"/>
      <c r="Z39" s="40">
        <f t="shared" si="3"/>
        <v>0</v>
      </c>
    </row>
    <row r="40" spans="1:34" hidden="1" outlineLevel="1">
      <c r="A40" s="55" t="s">
        <v>455</v>
      </c>
      <c r="B40" s="45"/>
      <c r="C40" s="4">
        <f>IF(OR(ISBLANK(B40),B40=""),0,VLOOKUP(B40,'Ondal Booms'!B:G,4,FALSE))</f>
        <v>0</v>
      </c>
      <c r="D40" s="37">
        <f>IF(OR(ISBLANK(B40),B40=""),0,VLOOKUP(B40,'Ondal Booms'!B:G,2,FALSE))</f>
        <v>0</v>
      </c>
      <c r="E40" s="35">
        <f>IF(OR(ISBLANK(B40),B40=""),0,VLOOKUP(B40,'Ondal Booms'!B:G,3,FALSE))</f>
        <v>0</v>
      </c>
      <c r="G40" s="55" t="s">
        <v>1056</v>
      </c>
      <c r="H40" s="77">
        <f>COUNTIF(K30:Y39,"Vacuum")</f>
        <v>0</v>
      </c>
    </row>
    <row r="41" spans="1:34" hidden="1" outlineLevel="1">
      <c r="A41" s="55" t="s">
        <v>1057</v>
      </c>
      <c r="B41" s="45"/>
      <c r="C41" s="4">
        <f>IF(OR(ISBLANK(B41),B41=""),0,VLOOKUP(B41,'Ondal Booms'!B:G,4,FALSE))</f>
        <v>0</v>
      </c>
      <c r="D41" s="37">
        <f>IF(OR(ISBLANK(B41),B41=""),0,VLOOKUP(B41,'Ondal Booms'!B:G,2,FALSE))</f>
        <v>0</v>
      </c>
      <c r="E41" s="35">
        <f>IF(OR(ISBLANK(B41),B41=""),0,VLOOKUP(B41,'Ondal Booms'!B:G,3,FALSE))</f>
        <v>0</v>
      </c>
      <c r="G41" s="55" t="s">
        <v>1058</v>
      </c>
      <c r="H41" s="77">
        <f>COUNTIF(K30:Y39,"Nitrogen")</f>
        <v>0</v>
      </c>
    </row>
    <row r="42" spans="1:34" hidden="1" outlineLevel="1">
      <c r="A42" s="55" t="s">
        <v>1059</v>
      </c>
      <c r="B42" s="45"/>
      <c r="C42" s="4">
        <f>IF(OR(ISBLANK(B42),B42=""),0,VLOOKUP(B42,'Ondal Booms'!B:G,4,FALSE))</f>
        <v>0</v>
      </c>
      <c r="D42" s="37">
        <f>IF(OR(ISBLANK(B42),B42=""),0,VLOOKUP(B42,'Ondal Booms'!B:G,2,FALSE))</f>
        <v>0</v>
      </c>
      <c r="E42" s="35">
        <f>IF(OR(ISBLANK(B42),B42=""),0,VLOOKUP(B42,'Ondal Booms'!B:G,3,FALSE))</f>
        <v>0</v>
      </c>
      <c r="G42" s="64" t="s">
        <v>1060</v>
      </c>
      <c r="H42" s="77">
        <f>COUNTIF(K30:Y39,"Carbon Dioxide")</f>
        <v>0</v>
      </c>
    </row>
    <row r="43" spans="1:34" hidden="1" outlineLevel="1">
      <c r="A43" s="55" t="s">
        <v>1061</v>
      </c>
      <c r="B43" s="45"/>
      <c r="C43" s="4">
        <f>IF(OR(ISBLANK(B43),B43=""),0,VLOOKUP(B43,'Ondal Booms'!B:G,4,FALSE))</f>
        <v>0</v>
      </c>
      <c r="D43" s="37">
        <f>IF(OR(ISBLANK(B43),B43=""),0,VLOOKUP(B43,'Ondal Booms'!B:G,2,FALSE))</f>
        <v>0</v>
      </c>
      <c r="E43" s="35">
        <f>IF(OR(ISBLANK(B43),B43=""),0,VLOOKUP(B43,'Ondal Booms'!B:G,3,FALSE))</f>
        <v>0</v>
      </c>
      <c r="H43" s="36"/>
    </row>
    <row r="44" spans="1:34" hidden="1" outlineLevel="1">
      <c r="A44" s="55" t="s">
        <v>1062</v>
      </c>
      <c r="B44" s="45"/>
      <c r="C44" s="4">
        <f>IF(OR(ISBLANK(B44),B44=""),0,VLOOKUP(B44,'Ondal Booms'!B:G,4,FALSE))</f>
        <v>0</v>
      </c>
      <c r="D44" s="37">
        <f>IF(OR(ISBLANK(B44),B44=""),0,VLOOKUP(B44,'Ondal Booms'!B:G,2,FALSE))</f>
        <v>0</v>
      </c>
      <c r="E44" s="35">
        <f>IF(OR(ISBLANK(B44),B44=""),0,VLOOKUP(B44,'Ondal Booms'!B:G,3,FALSE))</f>
        <v>0</v>
      </c>
    </row>
    <row r="45" spans="1:34" hidden="1" outlineLevel="1">
      <c r="A45" s="55" t="s">
        <v>1063</v>
      </c>
      <c r="B45" s="45"/>
      <c r="C45" s="4">
        <f>IF(OR(ISBLANK(B45),B45=""),0,VLOOKUP(B45,'Ondal Booms'!B:G,4,FALSE))</f>
        <v>0</v>
      </c>
      <c r="D45" s="37">
        <f>IF(OR(ISBLANK(B45),B45=""),0,VLOOKUP(B45,'Ondal Booms'!B:G,2,FALSE))</f>
        <v>0</v>
      </c>
      <c r="E45" s="35">
        <f>IF(OR(ISBLANK(B45),B45=""),0,VLOOKUP(B45,'Ondal Booms'!B:G,3,FALSE))</f>
        <v>0</v>
      </c>
      <c r="G45" s="37"/>
    </row>
    <row r="46" spans="1:34" hidden="1" outlineLevel="1">
      <c r="A46" s="55" t="s">
        <v>1064</v>
      </c>
      <c r="B46" s="45"/>
      <c r="C46" s="4">
        <f>IF(OR(ISBLANK(B46),B46=""),0,VLOOKUP(B46,'Ondal Booms'!B:G,4,FALSE))</f>
        <v>0</v>
      </c>
      <c r="D46" s="37">
        <f>IF(OR(ISBLANK(B46),B46=""),0,VLOOKUP(B46,'Ondal Booms'!B:G,2,FALSE))</f>
        <v>0</v>
      </c>
      <c r="E46" s="35">
        <f>IF(OR(ISBLANK(B46),B46=""),0,VLOOKUP(B46,'Ondal Booms'!B:G,3,FALSE))</f>
        <v>0</v>
      </c>
      <c r="G46" s="37"/>
    </row>
    <row r="47" spans="1:34" hidden="1" outlineLevel="1">
      <c r="A47" s="64" t="s">
        <v>1065</v>
      </c>
      <c r="B47" s="45"/>
      <c r="C47" s="4">
        <f>IF(OR(ISBLANK(B47),B47=""),0,VLOOKUP(B47,'Ondal Booms'!B:G,4,FALSE))</f>
        <v>0</v>
      </c>
      <c r="D47" s="37">
        <f>IF(OR(ISBLANK(B47),B47=""),0,VLOOKUP(B47,'Ondal Booms'!B:G,2,FALSE))</f>
        <v>0</v>
      </c>
      <c r="E47" s="35">
        <f>IF(OR(ISBLANK(B47),B47=""),0,VLOOKUP(B47,'Ondal Booms'!B:G,3,FALSE))</f>
        <v>0</v>
      </c>
    </row>
    <row r="48" spans="1:34" hidden="1" outlineLevel="1">
      <c r="C48" s="4"/>
      <c r="E48" s="37"/>
    </row>
    <row r="49" spans="1:32" hidden="1" outlineLevel="1">
      <c r="A49" s="49" t="s">
        <v>1066</v>
      </c>
      <c r="B49" s="70" t="str">
        <f>IF(OR(ISBLANK(B30),B30=""),"",
IF(OR(AND(B35="200mm Service Head",SUM(Z32:Z39)&gt;0),AND(B35="400mm Service Head",SUM(Z34:Z39)&gt;0),AND(B35="600mm Service Head",SUM(Z36:Z39)&gt;0),AND(B35="800mm Service Head",SUM(Z38:Z39)&gt;0)),"Select Longer Service Head or Remove Services",
IF(AND(RIGHT(B33,2)="XL",RIGHT(B32,2)&lt;&gt;"XL"),"BOTTOM XL ARM REQUIRES TOP XL ARM",
IF(OR(ISBLANK(#REF!),ISBLANK(B31),ISBLANK(B32),ISBLANK(B33),ISBLANK(B34),ISBLANK(B35),ISBLANK(B39),ISBLANK(B40),ISBLANK(B38)),"Missing Selections for Configuration",
IF(AND(B35="Large Monitor Carrier",B33&lt;&gt;"Spring Articulating"),"Large Monitor Requires Spring Bottom Arm",
IF(OR(AND(RIGHT(B31,2)="XL",RIGHT(B32,2)&lt;&gt;"XL"),AND(RIGHT(B32,2)="XL",RIGHT(B31,2)&lt;&gt;"XL")),"Both Top Arm and Ceiling Flange Must Be XL",
IF(COUNTIF(AE29:AH37,1)&gt;1,"Mismatch Electrical Configuration",
""))))))
)</f>
        <v/>
      </c>
      <c r="C49" s="4"/>
      <c r="D49" s="4"/>
      <c r="E49" s="35"/>
    </row>
    <row r="50" spans="1:32" hidden="1" outlineLevel="1">
      <c r="B50" s="1"/>
      <c r="C50" s="47" t="s">
        <v>1026</v>
      </c>
      <c r="D50" s="47" t="s">
        <v>1027</v>
      </c>
      <c r="E50" s="47" t="s">
        <v>1067</v>
      </c>
      <c r="F50" s="35"/>
      <c r="I50" s="35"/>
    </row>
    <row r="51" spans="1:32" ht="17.100000000000001" collapsed="1" thickBot="1">
      <c r="A51" s="69" t="s">
        <v>1068</v>
      </c>
      <c r="B51" s="72" t="str">
        <f>IF(OR(B30="",ISBLANK(B30)),"NO CONFIGURATION SELECTED",C51)</f>
        <v>NO CONFIGURATION SELECTED</v>
      </c>
      <c r="C51" s="65">
        <f>SUM(C30:C47)</f>
        <v>0</v>
      </c>
      <c r="D51" s="65">
        <f t="shared" ref="D51:E51" si="4">SUM(D30:D47)</f>
        <v>0</v>
      </c>
      <c r="E51" s="65">
        <f t="shared" si="4"/>
        <v>0</v>
      </c>
      <c r="F51" s="1"/>
      <c r="I51" s="1"/>
      <c r="J51" t="str">
        <f>"&lt;-- EXPAND TO SHOW OPTIONS / SERVICE HEAD"</f>
        <v>&lt;-- EXPAND TO SHOW OPTIONS / SERVICE HEAD</v>
      </c>
    </row>
    <row r="52" spans="1:32" ht="17.100000000000001" thickTop="1">
      <c r="AC52" s="285"/>
      <c r="AD52" s="285"/>
      <c r="AE52" s="285"/>
      <c r="AF52" s="285"/>
    </row>
    <row r="53" spans="1:32">
      <c r="A53" s="46" t="s">
        <v>1070</v>
      </c>
      <c r="B53" s="47" t="s">
        <v>1025</v>
      </c>
      <c r="C53" s="47" t="s">
        <v>1026</v>
      </c>
      <c r="D53" s="47" t="s">
        <v>1071</v>
      </c>
      <c r="E53" s="47" t="s">
        <v>1072</v>
      </c>
    </row>
    <row r="54" spans="1:32" outlineLevel="1">
      <c r="A54" s="49" t="s">
        <v>1035</v>
      </c>
      <c r="B54" s="50" t="str">
        <f>IF(AND(ISBLANK(B57),ISBLANK(B58),ISBLANK(B59)),"",
IF(B55="Upgrade Only","UPGRADE",
IF(RIGHT(B57,4)="(3P)","(3P) ","")&amp;
IF(ISBLANK(B57),"",VLOOKUP(B57,'Simeon Lights'!C:H,2,FALSE))&amp;
IF(ISBLANK(B58),""," / "&amp;VLOOKUP(B58,'Simeon Lights'!C:H,2,FALSE))&amp;
IF(ISBLANK(B59),""," / "&amp;VLOOKUP(B59,'Simeon Lights'!C:H,2,FALSE))))</f>
        <v/>
      </c>
      <c r="C54" s="4">
        <f>IF(ISBLANK(B57),0,(VLOOKUP(B54,'Simeon Lights'!C:J,6,FALSE)))</f>
        <v>0</v>
      </c>
      <c r="D54" s="37">
        <f>IF(ISBLANK(B57),0,(VLOOKUP(B54,'Simeon Lights'!C:J,4,FALSE)))</f>
        <v>0</v>
      </c>
      <c r="E54" s="37">
        <f>IF(ISBLANK(B57),0,(VLOOKUP(B54,'Simeon Lights'!C:J,5,FALSE)))</f>
        <v>0</v>
      </c>
      <c r="G54" s="1"/>
      <c r="H54" s="1"/>
    </row>
    <row r="55" spans="1:32" outlineLevel="1">
      <c r="A55" s="55" t="s">
        <v>310</v>
      </c>
      <c r="B55" s="33"/>
      <c r="C55" s="4">
        <f>IF(ISBLANK(B55),0,VLOOKUP(B55,'Simeon Lights'!C:J,6,FALSE))</f>
        <v>0</v>
      </c>
      <c r="D55" s="37">
        <f>IF(ISBLANK(B55),0,VLOOKUP(B55,'Simeon Lights'!C:J,4,FALSE))</f>
        <v>0</v>
      </c>
      <c r="E55" s="37">
        <f>IF(ISBLANK(B55),0,VLOOKUP(B55,'Simeon Lights'!C:J,5,FALSE))</f>
        <v>0</v>
      </c>
    </row>
    <row r="56" spans="1:32" outlineLevel="1">
      <c r="A56" s="55" t="s">
        <v>1073</v>
      </c>
      <c r="B56" s="33"/>
      <c r="C56" s="4">
        <f>IF(ISBLANK(B56),0,VLOOKUP(B56,'Simeon Lights'!C:J,6,FALSE))</f>
        <v>0</v>
      </c>
      <c r="D56" s="37">
        <f>IF(ISBLANK(B56),0,VLOOKUP(B56,'Simeon Lights'!C:J,4,FALSE))</f>
        <v>0</v>
      </c>
      <c r="E56" s="37">
        <f>IF(ISBLANK(B56),0,VLOOKUP(B56,'Simeon Lights'!C:J,5,FALSE))</f>
        <v>0</v>
      </c>
    </row>
    <row r="57" spans="1:32" outlineLevel="1">
      <c r="A57" s="55" t="s">
        <v>1074</v>
      </c>
      <c r="B57" s="33"/>
      <c r="C57" s="4">
        <f>IF(ISBLANK(B57),0,VLOOKUP(B57,'Simeon Lights'!C:J,6,FALSE))</f>
        <v>0</v>
      </c>
      <c r="D57" s="37">
        <f>IF(ISBLANK(B57),0,VLOOKUP(B57,'Simeon Lights'!C:J,4,FALSE))</f>
        <v>0</v>
      </c>
      <c r="E57" s="37">
        <f>IF(ISBLANK(B57),0,VLOOKUP(B57,'Simeon Lights'!C:J,5,FALSE))</f>
        <v>0</v>
      </c>
    </row>
    <row r="58" spans="1:32" outlineLevel="1">
      <c r="A58" s="55" t="s">
        <v>1075</v>
      </c>
      <c r="B58" s="33"/>
      <c r="C58" s="4">
        <f>IF(ISBLANK(B58),0,VLOOKUP(B58,'Simeon Lights'!C:J,6,FALSE))</f>
        <v>0</v>
      </c>
      <c r="D58" s="37">
        <f>IF(ISBLANK(B58),0,VLOOKUP(B58,'Simeon Lights'!C:J,4,FALSE))</f>
        <v>0</v>
      </c>
      <c r="E58" s="37">
        <f>IF(ISBLANK(B58),0,VLOOKUP(B58,'Simeon Lights'!C:J,5,FALSE))</f>
        <v>0</v>
      </c>
    </row>
    <row r="59" spans="1:32" outlineLevel="1">
      <c r="A59" s="55" t="s">
        <v>1077</v>
      </c>
      <c r="B59" s="33"/>
      <c r="C59" s="4">
        <f>IF(ISBLANK(B59),0,VLOOKUP(B59,'Simeon Lights'!C:J,6,FALSE))</f>
        <v>0</v>
      </c>
      <c r="D59" s="37">
        <f>IF(ISBLANK(B59),0,VLOOKUP(B59,'Simeon Lights'!C:J,4,FALSE))</f>
        <v>0</v>
      </c>
      <c r="E59" s="37">
        <f>IF(ISBLANK(B59),0,VLOOKUP(B59,'Simeon Lights'!C:J,5,FALSE))</f>
        <v>0</v>
      </c>
    </row>
    <row r="60" spans="1:32" outlineLevel="1">
      <c r="A60" s="55" t="s">
        <v>589</v>
      </c>
      <c r="B60" s="34"/>
      <c r="C60" s="4">
        <f>IF(ISBLANK(B60),0,VLOOKUP(B60,'Simeon Lights'!C:J,6,FALSE))</f>
        <v>0</v>
      </c>
      <c r="D60" s="37">
        <f>IF(ISBLANK(B60),0,VLOOKUP(B60,'Simeon Lights'!C:J,4,FALSE))</f>
        <v>0</v>
      </c>
      <c r="E60" s="37">
        <f>IF(ISBLANK(B60),0,VLOOKUP(B60,'Simeon Lights'!C:J,5,FALSE))</f>
        <v>0</v>
      </c>
    </row>
    <row r="61" spans="1:32" outlineLevel="1">
      <c r="A61" s="55" t="s">
        <v>1078</v>
      </c>
      <c r="B61" s="34"/>
      <c r="C61" s="4">
        <f>IF(ISBLANK(B61),0,VLOOKUP(B61,'Simeon Lights'!C:J,6,FALSE))</f>
        <v>0</v>
      </c>
      <c r="D61" s="37">
        <f>IF(ISBLANK(B61),0,VLOOKUP(B61,'Simeon Lights'!C:J,4,FALSE))</f>
        <v>0</v>
      </c>
      <c r="E61" s="37">
        <f>IF(ISBLANK(B61),0,VLOOKUP(B61,'Simeon Lights'!C:J,5,FALSE))</f>
        <v>0</v>
      </c>
    </row>
    <row r="62" spans="1:32" outlineLevel="1">
      <c r="A62" s="55" t="s">
        <v>615</v>
      </c>
      <c r="B62" s="34"/>
      <c r="C62" s="4">
        <f>IF(ISBLANK(B62),0,VLOOKUP(B62,'Simeon Lights'!C:J,6,FALSE))</f>
        <v>0</v>
      </c>
      <c r="D62" s="37">
        <f>IF(ISBLANK(B62),0,VLOOKUP(B62,'Simeon Lights'!C:J,4,FALSE))</f>
        <v>0</v>
      </c>
      <c r="E62" s="37">
        <f>IF(ISBLANK(B62),0,VLOOKUP(B62,'Simeon Lights'!C:J,5,FALSE))</f>
        <v>0</v>
      </c>
    </row>
    <row r="63" spans="1:32" outlineLevel="1">
      <c r="A63" s="64" t="s">
        <v>1079</v>
      </c>
      <c r="B63" s="34"/>
      <c r="C63" s="4">
        <f>IF(ISBLANK(B63),0,VLOOKUP(B63,'Simeon Lights'!C:J,6,FALSE))</f>
        <v>0</v>
      </c>
      <c r="D63" s="37">
        <f>IF(ISBLANK(B63),0,VLOOKUP(B63,'Simeon Lights'!C:J,4,FALSE))</f>
        <v>0</v>
      </c>
      <c r="E63" s="37">
        <f>IF(ISBLANK(B63),0,VLOOKUP(B63,'Simeon Lights'!C:J,5,FALSE))</f>
        <v>0</v>
      </c>
    </row>
    <row r="64" spans="1:32" outlineLevel="1">
      <c r="C64" s="4"/>
      <c r="D64" s="4"/>
      <c r="E64" s="44"/>
    </row>
    <row r="65" spans="1:10" outlineLevel="1">
      <c r="A65" s="49" t="s">
        <v>1066</v>
      </c>
      <c r="B65" s="70" t="str">
        <f xml:space="preserve">
IF(AND(ISBLANK(B57),ISBLANK(B58),ISBLANK(B59)),"",
IF(AND(ISBLANK(B57),B58&lt;&gt;""),"ARM 1 MISSING",
IF(AND(ISBLANK(B57),B59&lt;&gt;""),"ARM 1 MISSING",
IF(ISBLANK(B58)&amp;ISBLANK(B59)="TRUEFALSE","ARM 2 MISSING",
IF(AND(B57&lt;&gt;"",B58="32in Flat Panel",B59&lt;&gt;""),"FP CANNOT BE MIDDLE ARM",
IF(OR(ISBLANK(B55),ISBLANK(B56),ISBLANK(B60),ISBLANK(B61),ISBLANK(B62),ISBLANK(B63)),"Missing Selections",""))))))</f>
        <v/>
      </c>
      <c r="C65" s="4"/>
      <c r="D65" s="4"/>
      <c r="E65" s="35"/>
    </row>
    <row r="66" spans="1:10" outlineLevel="1">
      <c r="B66" s="71"/>
      <c r="C66" s="47" t="s">
        <v>1026</v>
      </c>
      <c r="D66" s="47" t="s">
        <v>1071</v>
      </c>
      <c r="E66" s="47" t="s">
        <v>1072</v>
      </c>
      <c r="F66" s="1"/>
      <c r="I66" s="1"/>
    </row>
    <row r="67" spans="1:10" ht="17.100000000000001" thickBot="1">
      <c r="A67" s="69" t="s">
        <v>1068</v>
      </c>
      <c r="B67" s="72" t="str">
        <f>IF(OR(ISBLANK(B57),ISBLANK(B58)&amp;ISBLANK(B59)="TRUEFALSE"),"NO CONFIGURATION SELECTED",IF(B65&lt;&gt;"","ERROR IN CONFIGURATION",IF(B57="",0,SUM(C54:C63))))</f>
        <v>NO CONFIGURATION SELECTED</v>
      </c>
      <c r="C67" s="65">
        <f>SUM(C54:C65)</f>
        <v>0</v>
      </c>
      <c r="D67" s="65">
        <f t="shared" ref="D67:E67" si="5">SUM(D54:D65)</f>
        <v>0</v>
      </c>
      <c r="E67" s="65">
        <f t="shared" si="5"/>
        <v>0</v>
      </c>
      <c r="J67" t="str">
        <f>"&lt;-- EXPAND TO SHOW OPTIONS"</f>
        <v>&lt;-- EXPAND TO SHOW OPTIONS</v>
      </c>
    </row>
    <row r="68" spans="1:10" ht="17.100000000000001" thickTop="1">
      <c r="E68" s="1"/>
    </row>
    <row r="69" spans="1:10">
      <c r="A69" s="46"/>
      <c r="B69" s="47" t="s">
        <v>1080</v>
      </c>
      <c r="E69" s="47" t="s">
        <v>1085</v>
      </c>
    </row>
    <row r="70" spans="1:10" ht="17.100000000000001" thickBot="1">
      <c r="A70" s="69" t="s">
        <v>1082</v>
      </c>
      <c r="B70" s="72">
        <f>IF(OR(B27="Error in Configuration",B27="No Configuration Selected"),0,B27)+IF(OR(B51="Error in Configuration",B51="No Configuration Selected"),0,B51)+IF(OR(B67="Error in Configuration",B67="No Configuration Selected"),0,B67)</f>
        <v>0</v>
      </c>
      <c r="E70" s="65">
        <f>SUM(E67,E51,E27)</f>
        <v>0</v>
      </c>
      <c r="G70" s="1"/>
      <c r="H70" s="1"/>
    </row>
    <row r="71" spans="1:10" ht="17.100000000000001" thickTop="1"/>
  </sheetData>
  <sheetProtection sheet="1" formatColumns="0" formatRows="0" selectLockedCells="1"/>
  <mergeCells count="6">
    <mergeCell ref="AC52:AF52"/>
    <mergeCell ref="AC27:AF27"/>
    <mergeCell ref="L29:P29"/>
    <mergeCell ref="T29:X29"/>
    <mergeCell ref="L4:P4"/>
    <mergeCell ref="T4:X4"/>
  </mergeCells>
  <conditionalFormatting sqref="B25">
    <cfRule type="expression" dxfId="11" priority="2">
      <formula>$B$25&lt;&gt;""</formula>
    </cfRule>
  </conditionalFormatting>
  <conditionalFormatting sqref="B49">
    <cfRule type="expression" dxfId="10" priority="1">
      <formula>$B$25&lt;&gt;""</formula>
    </cfRule>
  </conditionalFormatting>
  <conditionalFormatting sqref="B65">
    <cfRule type="expression" dxfId="9" priority="3" stopIfTrue="1">
      <formula>$B$65&lt;&gt;""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 xr:uid="{0529F5B7-C2BA-B643-A8B0-6036202DDE41}">
          <x14:formula1>
            <xm:f>'BnL Drop Downs'!$A$2:$A$11</xm:f>
          </x14:formula1>
          <xm:sqref>R5:R16 R30:R41</xm:sqref>
        </x14:dataValidation>
        <x14:dataValidation type="list" allowBlank="1" showInputMessage="1" showErrorMessage="1" xr:uid="{3B6AF158-7966-B046-832D-FE8D8FB37824}">
          <x14:formula1>
            <xm:f>'BnL Drop Downs'!$A$2:$A$14</xm:f>
          </x14:formula1>
          <xm:sqref>K5:K16 Q5:Q16 S5:S16 Y5:Y16 K30:K41 Q30:Q41 S30:S41 Y30:Y41</xm:sqref>
        </x14:dataValidation>
        <x14:dataValidation type="list" allowBlank="1" showInputMessage="1" showErrorMessage="1" xr:uid="{88807E76-5C56-AD4A-8F16-2E0397CD4116}">
          <x14:formula1>
            <xm:f>'Ondal Booms'!$B$77:$B$87</xm:f>
          </x14:formula1>
          <xm:sqref>B9 B33</xm:sqref>
        </x14:dataValidation>
        <x14:dataValidation type="list" allowBlank="1" showInputMessage="1" showErrorMessage="1" xr:uid="{022DCEE1-FA2A-0D41-B4C1-03FC0CDF5D8A}">
          <x14:formula1>
            <xm:f>'Ondal Booms'!$B$64:$B$74</xm:f>
          </x14:formula1>
          <xm:sqref>B8 B32</xm:sqref>
        </x14:dataValidation>
        <x14:dataValidation type="list" allowBlank="1" showInputMessage="1" showErrorMessage="1" xr:uid="{CCBBD979-DEAC-F94E-AF31-A6C2DC4A6F0B}">
          <x14:formula1>
            <xm:f>'Ondal Booms'!$B$55:$B$61</xm:f>
          </x14:formula1>
          <xm:sqref>B7 B31</xm:sqref>
        </x14:dataValidation>
        <x14:dataValidation type="list" allowBlank="1" showInputMessage="1" showErrorMessage="1" xr:uid="{980AF148-F579-9F45-A543-23436B1BD08F}">
          <x14:formula1>
            <xm:f>'Ondal Booms'!$B$152:$B$157</xm:f>
          </x14:formula1>
          <xm:sqref>B16 B40</xm:sqref>
        </x14:dataValidation>
        <x14:dataValidation type="list" allowBlank="1" showInputMessage="1" showErrorMessage="1" xr:uid="{9503955C-CFA3-7C4B-9EAB-5155F8B336E4}">
          <x14:formula1>
            <xm:f>'Simeon Lights'!$C$86:$C$93</xm:f>
          </x14:formula1>
          <xm:sqref>B63</xm:sqref>
        </x14:dataValidation>
        <x14:dataValidation type="list" allowBlank="1" showInputMessage="1" showErrorMessage="1" xr:uid="{CDDF7776-E909-F844-AC82-00F79F24D1C1}">
          <x14:formula1>
            <xm:f>'Simeon Lights'!$C$74:$C$76</xm:f>
          </x14:formula1>
          <xm:sqref>B61</xm:sqref>
        </x14:dataValidation>
        <x14:dataValidation type="list" allowBlank="1" showInputMessage="1" showErrorMessage="1" xr:uid="{8BBD8F2E-CE49-E34C-83D4-8E01B04A0B79}">
          <x14:formula1>
            <xm:f>'Simeon Lights'!$C$62:$C$71</xm:f>
          </x14:formula1>
          <xm:sqref>B60</xm:sqref>
        </x14:dataValidation>
        <x14:dataValidation type="list" allowBlank="1" showInputMessage="1" showErrorMessage="1" xr:uid="{33D8226E-026D-F64C-891C-E884067CE89F}">
          <x14:formula1>
            <xm:f>'Simeon Lights'!$C$79:$C$83</xm:f>
          </x14:formula1>
          <xm:sqref>B62</xm:sqref>
        </x14:dataValidation>
        <x14:dataValidation type="list" allowBlank="1" showInputMessage="1" showErrorMessage="1" xr:uid="{B6F31ABE-C11B-E64A-A9E6-2FAE450B7811}">
          <x14:formula1>
            <xm:f>'Ondal Booms'!$B$48:$B$51</xm:f>
          </x14:formula1>
          <xm:sqref>B6</xm:sqref>
        </x14:dataValidation>
        <x14:dataValidation type="list" allowBlank="1" showInputMessage="1" showErrorMessage="1" xr:uid="{A7A5F11F-D243-1847-81D3-E908415BDF9A}">
          <x14:formula1>
            <xm:f>'Ondal Booms'!$B$100:$B$106</xm:f>
          </x14:formula1>
          <xm:sqref>B11 B35</xm:sqref>
        </x14:dataValidation>
        <x14:dataValidation type="list" allowBlank="1" showInputMessage="1" showErrorMessage="1" xr:uid="{90BDEA76-0690-C442-996B-46E4110217FD}">
          <x14:formula1>
            <xm:f>'Ondal Booms'!$B$90:$B$96</xm:f>
          </x14:formula1>
          <xm:sqref>B10 B34</xm:sqref>
        </x14:dataValidation>
        <x14:dataValidation type="list" allowBlank="1" showInputMessage="1" showErrorMessage="1" xr:uid="{BBC8FF0A-1C0F-1A45-8F24-CC8BEE7B251B}">
          <x14:formula1>
            <xm:f>'Ondal Booms'!$B$3:$B$10</xm:f>
          </x14:formula1>
          <xm:sqref>B6:B9 B31:B33</xm:sqref>
        </x14:dataValidation>
        <x14:dataValidation type="list" allowBlank="1" showDropDown="1" showInputMessage="1" showErrorMessage="1" xr:uid="{30B2DD00-E4B1-DC4F-9A53-3FCCDE8DD80F}">
          <x14:formula1>
            <xm:f>'Ondal Booms'!$B$3:$B$10</xm:f>
          </x14:formula1>
          <xm:sqref>B5:B7 B30:B31</xm:sqref>
        </x14:dataValidation>
        <x14:dataValidation type="list" allowBlank="1" showInputMessage="1" showErrorMessage="1" xr:uid="{82840875-FD08-8D49-9466-5C662C40FE49}">
          <x14:formula1>
            <xm:f>'Ondal Booms'!$B$169:$B$181</xm:f>
          </x14:formula1>
          <xm:sqref>B17:B23 B41:B47</xm:sqref>
        </x14:dataValidation>
        <x14:dataValidation type="list" allowBlank="1" showInputMessage="1" showErrorMessage="1" xr:uid="{0EDEF6CC-CA0E-834C-9067-943BFC932E43}">
          <x14:formula1>
            <xm:f>'Ondal Booms'!$B$145:$B$150</xm:f>
          </x14:formula1>
          <xm:sqref>B15 B39</xm:sqref>
        </x14:dataValidation>
        <x14:dataValidation type="list" allowBlank="1" showInputMessage="1" showErrorMessage="1" xr:uid="{529422A2-60CE-4147-AE1B-3FCFB31F742B}">
          <x14:formula1>
            <xm:f>'Ondal Booms'!#REF!</xm:f>
          </x14:formula1>
          <xm:sqref>B15:B16 B39:B40</xm:sqref>
        </x14:dataValidation>
        <x14:dataValidation type="list" allowBlank="1" showInputMessage="1" showErrorMessage="1" xr:uid="{FED37294-F3F8-1A4C-B984-667436F867F5}">
          <x14:formula1>
            <xm:f>'Ondal Booms'!$B$159:$B$166</xm:f>
          </x14:formula1>
          <xm:sqref>B14 B38</xm:sqref>
        </x14:dataValidation>
        <x14:dataValidation type="list" allowBlank="1" showInputMessage="1" showErrorMessage="1" xr:uid="{F058491B-50D7-2643-B7B7-2996567F653A}">
          <x14:formula1>
            <xm:f>'Simeon Lights'!$C$49:$C$59</xm:f>
          </x14:formula1>
          <xm:sqref>B56</xm:sqref>
        </x14:dataValidation>
        <x14:dataValidation type="list" allowBlank="1" showInputMessage="1" showErrorMessage="1" xr:uid="{9C19BFAE-6172-3A41-A969-5EF5ED9E059C}">
          <x14:formula1>
            <xm:f>'Simeon Lights'!$C$103:$C$108</xm:f>
          </x14:formula1>
          <xm:sqref>B55</xm:sqref>
        </x14:dataValidation>
        <x14:dataValidation type="list" allowBlank="1" showInputMessage="1" showErrorMessage="1" xr:uid="{A74DDFFA-87B8-6146-910A-B29B53478156}">
          <x14:formula1>
            <xm:f>'Simeon Lights'!$C$27:$C$45</xm:f>
          </x14:formula1>
          <xm:sqref>B57:B59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E0003-3629-A740-91EC-AFF2B13EA80C}">
  <dimension ref="A1:AH71"/>
  <sheetViews>
    <sheetView zoomScaleNormal="100" workbookViewId="0">
      <selection activeCell="Y5" sqref="Y5:Y10"/>
    </sheetView>
  </sheetViews>
  <sheetFormatPr defaultColWidth="11" defaultRowHeight="15.95" outlineLevelRow="1" outlineLevelCol="1"/>
  <cols>
    <col min="1" max="1" width="27.875" customWidth="1"/>
    <col min="2" max="2" width="43" customWidth="1"/>
    <col min="3" max="5" width="17.625" customWidth="1" outlineLevel="1"/>
    <col min="6" max="6" width="2.375" customWidth="1"/>
    <col min="7" max="7" width="18.375" hidden="1" customWidth="1" outlineLevel="1"/>
    <col min="8" max="8" width="8.375" hidden="1" customWidth="1" outlineLevel="1"/>
    <col min="9" max="9" width="2.375" customWidth="1" collapsed="1"/>
    <col min="10" max="10" width="7" bestFit="1" customWidth="1"/>
    <col min="11" max="11" width="14" customWidth="1"/>
    <col min="12" max="13" width="3.375" customWidth="1"/>
    <col min="14" max="14" width="16.5" customWidth="1"/>
    <col min="15" max="16" width="3.375" customWidth="1"/>
    <col min="17" max="17" width="13.375" customWidth="1"/>
    <col min="18" max="18" width="3" customWidth="1"/>
    <col min="19" max="19" width="13" customWidth="1"/>
    <col min="20" max="21" width="3.375" customWidth="1"/>
    <col min="22" max="22" width="16.375" customWidth="1"/>
    <col min="23" max="24" width="3.375" customWidth="1"/>
    <col min="25" max="25" width="13.375" customWidth="1"/>
    <col min="26" max="26" width="13.375" style="40" customWidth="1"/>
    <col min="27" max="29" width="13.375" customWidth="1"/>
    <col min="30" max="30" width="13" customWidth="1"/>
    <col min="31" max="31" width="3.5" hidden="1" customWidth="1"/>
    <col min="32" max="33" width="4.375" hidden="1" customWidth="1"/>
    <col min="34" max="34" width="4.5" hidden="1" customWidth="1"/>
  </cols>
  <sheetData>
    <row r="1" spans="1:34">
      <c r="A1" s="46" t="s">
        <v>1098</v>
      </c>
      <c r="B1" s="47" t="s">
        <v>1022</v>
      </c>
    </row>
    <row r="2" spans="1:34">
      <c r="A2" s="48" t="s">
        <v>163</v>
      </c>
      <c r="B2" s="33"/>
    </row>
    <row r="3" spans="1:34">
      <c r="E3" s="37"/>
    </row>
    <row r="4" spans="1:34" ht="18.95">
      <c r="A4" s="46" t="s">
        <v>1024</v>
      </c>
      <c r="B4" s="47" t="s">
        <v>1025</v>
      </c>
      <c r="C4" s="47" t="s">
        <v>1026</v>
      </c>
      <c r="D4" s="47" t="s">
        <v>1027</v>
      </c>
      <c r="E4" s="47" t="s">
        <v>1028</v>
      </c>
      <c r="G4" s="79" t="s">
        <v>1029</v>
      </c>
      <c r="H4" s="80" t="s">
        <v>1030</v>
      </c>
      <c r="J4" s="83" t="s">
        <v>1031</v>
      </c>
      <c r="K4" s="84" t="s">
        <v>1032</v>
      </c>
      <c r="L4" s="282" t="s">
        <v>1033</v>
      </c>
      <c r="M4" s="282"/>
      <c r="N4" s="282"/>
      <c r="O4" s="282"/>
      <c r="P4" s="282"/>
      <c r="Q4" s="80" t="s">
        <v>1032</v>
      </c>
      <c r="R4" s="36"/>
      <c r="S4" s="79" t="s">
        <v>1032</v>
      </c>
      <c r="T4" s="282" t="s">
        <v>1034</v>
      </c>
      <c r="U4" s="282"/>
      <c r="V4" s="282"/>
      <c r="W4" s="282"/>
      <c r="X4" s="282"/>
      <c r="Y4" s="80" t="s">
        <v>1032</v>
      </c>
      <c r="AE4">
        <f>COUNTIF(K5,"(2) Duplexes")+COUNTIF(Y5,"(2) Duplexes")</f>
        <v>0</v>
      </c>
      <c r="AF4">
        <f>COUNTIF(Q5:S5,"(2) Duplexes")</f>
        <v>0</v>
      </c>
      <c r="AG4">
        <f>COUNTIF(K5,"(3) Duplexes")+COUNTIF(Y5,"(3) Duplexes")</f>
        <v>0</v>
      </c>
      <c r="AH4">
        <f>COUNTIF(Q5:S5,"(3) Duplexes")</f>
        <v>0</v>
      </c>
    </row>
    <row r="5" spans="1:34" outlineLevel="1">
      <c r="A5" s="49" t="s">
        <v>1035</v>
      </c>
      <c r="B5" s="50" t="str">
        <f>IF(OR(ISBLANK(B8),ISBLANK(B9)),"",IF(ISBLANK(B9),0,(VLOOKUP(B9,'Ondal Booms'!B:F,5,FALSE)))&amp;IF(ISBLANK(B8),0,(VLOOKUP(B8,'Ondal Booms'!B:F,5,FALSE))))</f>
        <v/>
      </c>
      <c r="C5" s="4">
        <f>IF(OR(ISBLANK(B5),B5=""),0,VLOOKUP(B5,'Ondal Booms'!B:G,4,FALSE))</f>
        <v>0</v>
      </c>
      <c r="D5" s="37">
        <f>IF(OR(ISBLANK(B5),B5=""),0,VLOOKUP(B5,'Ondal Booms'!B:G,2,FALSE))</f>
        <v>0</v>
      </c>
      <c r="E5" s="35">
        <f>IF(OR(ISBLANK(B5),B5=""),0,VLOOKUP(B5,'Ondal Booms'!B:G,3,FALSE))</f>
        <v>0</v>
      </c>
      <c r="G5" s="48" t="s">
        <v>1036</v>
      </c>
      <c r="H5" s="77">
        <f>COUNTIF(K5:Y14,"(2) Duplexes")*2+COUNTIF(K5:Y14,"(3) Duplexes")*3</f>
        <v>0</v>
      </c>
      <c r="J5" s="67" t="s">
        <v>1037</v>
      </c>
      <c r="K5" s="82"/>
      <c r="L5" s="56"/>
      <c r="M5" s="57"/>
      <c r="N5" s="58"/>
      <c r="O5" s="59"/>
      <c r="P5" s="57"/>
      <c r="Q5" s="82"/>
      <c r="S5" s="82"/>
      <c r="T5" s="59"/>
      <c r="U5" s="57"/>
      <c r="V5" s="58"/>
      <c r="W5" s="59"/>
      <c r="X5" s="57"/>
      <c r="Y5" s="82"/>
      <c r="Z5" s="40">
        <f>15-COUNTIFS(K5:Y5,"")</f>
        <v>0</v>
      </c>
    </row>
    <row r="6" spans="1:34" ht="17.100000000000001" outlineLevel="1" thickBot="1">
      <c r="A6" s="55" t="s">
        <v>310</v>
      </c>
      <c r="B6" s="7"/>
      <c r="C6" s="4">
        <f>IF(OR(ISBLANK(B6),B6=""),0,VLOOKUP(B6,'Ondal Booms'!B:G,4,FALSE))</f>
        <v>0</v>
      </c>
      <c r="D6" s="37">
        <f>IF(OR(ISBLANK(B6),B6=""),0,VLOOKUP(B6,'Ondal Booms'!B:G,2,FALSE))</f>
        <v>0</v>
      </c>
      <c r="E6" s="35">
        <f>IF(OR(ISBLANK(B6),B6=""),0,VLOOKUP(B6,'Ondal Booms'!B:G,3,FALSE))</f>
        <v>0</v>
      </c>
      <c r="J6" s="55" t="s">
        <v>1038</v>
      </c>
      <c r="K6" s="33"/>
      <c r="L6" s="56"/>
      <c r="M6" s="57"/>
      <c r="N6" s="58"/>
      <c r="O6" s="59"/>
      <c r="P6" s="57"/>
      <c r="Q6" s="33"/>
      <c r="S6" s="33"/>
      <c r="T6" s="59"/>
      <c r="U6" s="57"/>
      <c r="V6" s="58"/>
      <c r="W6" s="59"/>
      <c r="X6" s="57"/>
      <c r="Y6" s="33"/>
      <c r="Z6" s="40">
        <f t="shared" ref="Z6:Z14" si="0">15-COUNTIFS(K6:Y6,"")</f>
        <v>0</v>
      </c>
      <c r="AE6">
        <f>COUNTIF(K7,"(2) Duplexes")+COUNTIF(Y7,"(2) Duplexes")</f>
        <v>0</v>
      </c>
      <c r="AF6">
        <f>COUNTIF(Q7:S7,"(2) Duplexes")</f>
        <v>0</v>
      </c>
      <c r="AG6">
        <f>COUNTIF(K7,"(3) Duplexes")+COUNTIF(Y7,"(3) Duplexes")</f>
        <v>0</v>
      </c>
      <c r="AH6">
        <f>COUNTIF(Q7:S7,"(3) Duplexes")</f>
        <v>0</v>
      </c>
    </row>
    <row r="7" spans="1:34" outlineLevel="1">
      <c r="A7" s="55" t="s">
        <v>354</v>
      </c>
      <c r="B7" s="45"/>
      <c r="C7" s="4">
        <f>IF(OR(ISBLANK(B7),B7=""),0,VLOOKUP(B7,'Ondal Booms'!B:G,4,FALSE))</f>
        <v>0</v>
      </c>
      <c r="D7" s="37">
        <f>IF(OR(ISBLANK(B7),B7=""),0,VLOOKUP(B7,'Ondal Booms'!B:G,2,FALSE))</f>
        <v>0</v>
      </c>
      <c r="E7" s="35">
        <f>IF(OR(ISBLANK(B7),B7=""),0,VLOOKUP(B7,'Ondal Booms'!B:G,3,FALSE))</f>
        <v>0</v>
      </c>
      <c r="G7" s="79" t="s">
        <v>1039</v>
      </c>
      <c r="H7" s="80" t="s">
        <v>1030</v>
      </c>
      <c r="J7" s="55" t="s">
        <v>1040</v>
      </c>
      <c r="K7" s="33"/>
      <c r="L7" s="52"/>
      <c r="M7" s="53"/>
      <c r="N7" s="58"/>
      <c r="O7" s="54"/>
      <c r="P7" s="53"/>
      <c r="Q7" s="33"/>
      <c r="S7" s="33"/>
      <c r="T7" s="54"/>
      <c r="U7" s="53"/>
      <c r="V7" s="58"/>
      <c r="W7" s="54"/>
      <c r="X7" s="53"/>
      <c r="Y7" s="33"/>
      <c r="Z7" s="40">
        <f t="shared" si="0"/>
        <v>0</v>
      </c>
    </row>
    <row r="8" spans="1:34" ht="17.100000000000001" outlineLevel="1" thickBot="1">
      <c r="A8" s="55" t="s">
        <v>355</v>
      </c>
      <c r="B8" s="8"/>
      <c r="C8" s="4">
        <f>IF(OR(ISBLANK(B8),B8=""),0,VLOOKUP(B8,'Ondal Booms'!B:G,4,FALSE))</f>
        <v>0</v>
      </c>
      <c r="D8" s="37">
        <f>IF(OR(ISBLANK(B8),B8=""),0,VLOOKUP(B8,'Ondal Booms'!B:G,2,FALSE))</f>
        <v>0</v>
      </c>
      <c r="E8" s="35">
        <f>IF(OR(ISBLANK(B8),B8=""),0,VLOOKUP(B8,'Ondal Booms'!B:G,3,FALSE))</f>
        <v>0</v>
      </c>
      <c r="G8" s="55" t="s">
        <v>1041</v>
      </c>
      <c r="H8" s="78">
        <f>(COUNTIF(K5:Y14,"Data"))</f>
        <v>0</v>
      </c>
      <c r="J8" s="55" t="s">
        <v>1042</v>
      </c>
      <c r="K8" s="33"/>
      <c r="L8" s="56"/>
      <c r="M8" s="57"/>
      <c r="N8" s="58"/>
      <c r="O8" s="59"/>
      <c r="P8" s="57"/>
      <c r="Q8" s="33"/>
      <c r="S8" s="33"/>
      <c r="T8" s="59"/>
      <c r="U8" s="57"/>
      <c r="V8" s="58"/>
      <c r="W8" s="59"/>
      <c r="X8" s="57"/>
      <c r="Y8" s="33"/>
      <c r="Z8" s="40">
        <f t="shared" si="0"/>
        <v>0</v>
      </c>
      <c r="AE8">
        <f>COUNTIF(K9,"(2) Duplexes")+COUNTIF(Y9,"(2) Duplexes")</f>
        <v>0</v>
      </c>
      <c r="AF8">
        <f>COUNTIF(Q9:S9,"(2) Duplexes")</f>
        <v>0</v>
      </c>
      <c r="AG8">
        <f>COUNTIF(K9,"(3) Duplexes")+COUNTIF(Y9,"(3) Duplexes")</f>
        <v>0</v>
      </c>
      <c r="AH8">
        <f>COUNTIF(Q9:S9,"(3) Duplexes")</f>
        <v>0</v>
      </c>
    </row>
    <row r="9" spans="1:34" outlineLevel="1">
      <c r="A9" s="55" t="s">
        <v>356</v>
      </c>
      <c r="B9" s="7"/>
      <c r="C9" s="4">
        <f>IF(OR(ISBLANK(B9),B9=""),0,VLOOKUP(B9,'Ondal Booms'!B:G,4,FALSE))</f>
        <v>0</v>
      </c>
      <c r="D9" s="37">
        <f>IF(OR(ISBLANK(B9),B9=""),0,VLOOKUP(B9,'Ondal Booms'!B:G,2,FALSE))</f>
        <v>0</v>
      </c>
      <c r="E9" s="35">
        <f>IF(OR(ISBLANK(B9),B9=""),0,VLOOKUP(B9,'Ondal Booms'!B:G,3,FALSE))</f>
        <v>0</v>
      </c>
      <c r="G9" s="64" t="s">
        <v>1043</v>
      </c>
      <c r="H9" s="77">
        <f>(COUNTIF(K5:Y14,"Storz 4in1"))</f>
        <v>0</v>
      </c>
      <c r="J9" s="55" t="s">
        <v>1044</v>
      </c>
      <c r="K9" s="33"/>
      <c r="L9" s="52"/>
      <c r="M9" s="53"/>
      <c r="N9" s="58"/>
      <c r="O9" s="54"/>
      <c r="P9" s="53"/>
      <c r="Q9" s="33"/>
      <c r="S9" s="33"/>
      <c r="T9" s="54"/>
      <c r="U9" s="53"/>
      <c r="V9" s="58"/>
      <c r="W9" s="54"/>
      <c r="X9" s="53"/>
      <c r="Y9" s="33"/>
      <c r="Z9" s="40">
        <f t="shared" si="0"/>
        <v>0</v>
      </c>
    </row>
    <row r="10" spans="1:34" ht="17.100000000000001" outlineLevel="1" thickBot="1">
      <c r="A10" s="55" t="s">
        <v>418</v>
      </c>
      <c r="B10" s="7"/>
      <c r="C10" s="4">
        <f>IF(OR(ISBLANK(B10),B10=""),0,VLOOKUP(B10,'Ondal Booms'!B:G,4,FALSE))</f>
        <v>0</v>
      </c>
      <c r="D10" s="37">
        <f>IF(OR(ISBLANK(B10),B10=""),0,VLOOKUP(B10,'Ondal Booms'!B:G,2,FALSE))</f>
        <v>0</v>
      </c>
      <c r="E10" s="35">
        <f>IF(OR(ISBLANK(B10),B10=""),0,VLOOKUP(B10,'Ondal Booms'!B:G,3,FALSE))</f>
        <v>0</v>
      </c>
      <c r="J10" s="55" t="s">
        <v>1045</v>
      </c>
      <c r="K10" s="33"/>
      <c r="L10" s="60"/>
      <c r="M10" s="61"/>
      <c r="N10" s="58"/>
      <c r="O10" s="62"/>
      <c r="P10" s="61"/>
      <c r="Q10" s="33"/>
      <c r="S10" s="33"/>
      <c r="T10" s="62"/>
      <c r="U10" s="61"/>
      <c r="V10" s="58"/>
      <c r="W10" s="62"/>
      <c r="X10" s="61"/>
      <c r="Y10" s="33"/>
      <c r="Z10" s="40">
        <f>15-COUNTIFS(K10:Y10,"")</f>
        <v>0</v>
      </c>
      <c r="AE10">
        <f>COUNTIF(K11,"(2) Duplexes")+COUNTIF(Y11,"(2) Duplexes")</f>
        <v>0</v>
      </c>
      <c r="AF10">
        <f>COUNTIF(Q11:S11,"(2) Duplexes")</f>
        <v>0</v>
      </c>
      <c r="AG10">
        <f>COUNTIF(K11,"(3) Duplexes")+COUNTIF(Y11,"(3) Duplexes")</f>
        <v>0</v>
      </c>
      <c r="AH10">
        <f>COUNTIF(Q11:S11,"(3) Duplexes")</f>
        <v>0</v>
      </c>
    </row>
    <row r="11" spans="1:34" outlineLevel="1">
      <c r="A11" s="55" t="s">
        <v>357</v>
      </c>
      <c r="B11" s="7"/>
      <c r="C11" s="4">
        <f>IF(OR(ISBLANK(B11),B11=""),0,VLOOKUP(B11,'Ondal Booms'!B:G,4,FALSE))</f>
        <v>0</v>
      </c>
      <c r="D11" s="37">
        <f>IF(OR(ISBLANK(B11),B11=""),0,VLOOKUP(B11,'Ondal Booms'!B:G,2,FALSE))</f>
        <v>0</v>
      </c>
      <c r="E11" s="35">
        <f>IF(OR(ISBLANK(B11),B11=""),0,VLOOKUP(B11,'Ondal Booms'!B:G,3,FALSE))</f>
        <v>0</v>
      </c>
      <c r="G11" s="79" t="s">
        <v>1046</v>
      </c>
      <c r="H11" s="80" t="s">
        <v>1030</v>
      </c>
      <c r="J11" s="55" t="s">
        <v>1047</v>
      </c>
      <c r="K11" s="33"/>
      <c r="L11" s="56"/>
      <c r="M11" s="57"/>
      <c r="N11" s="58"/>
      <c r="O11" s="59"/>
      <c r="P11" s="57"/>
      <c r="Q11" s="33"/>
      <c r="S11" s="33"/>
      <c r="T11" s="59"/>
      <c r="U11" s="57"/>
      <c r="V11" s="58"/>
      <c r="W11" s="59"/>
      <c r="X11" s="57"/>
      <c r="Y11" s="33"/>
      <c r="Z11" s="40">
        <f t="shared" si="0"/>
        <v>0</v>
      </c>
    </row>
    <row r="12" spans="1:34" ht="17.100000000000001" outlineLevel="1" thickBot="1">
      <c r="A12" s="49" t="s">
        <v>99</v>
      </c>
      <c r="B12" s="50" t="str">
        <f>IF(OR(H5=0,ISBLANK(H5)),"",H5&amp;" Duplexes")</f>
        <v/>
      </c>
      <c r="C12" s="4">
        <f>IF(OR(ISBLANK(B12),B12=""),0,VLOOKUP(B12,'Ondal Booms'!B:G,4,FALSE))</f>
        <v>0</v>
      </c>
      <c r="D12" s="37">
        <f>IF(OR(ISBLANK(B12),B12=""),0,VLOOKUP(B12,'Ondal Booms'!B:G,2,FALSE))</f>
        <v>0</v>
      </c>
      <c r="E12" s="35">
        <f>IF(OR(ISBLANK(B12),B12=""),0,VLOOKUP(B12,'Ondal Booms'!B:G,3,FALSE))</f>
        <v>0</v>
      </c>
      <c r="G12" s="55" t="s">
        <v>1048</v>
      </c>
      <c r="H12" s="78">
        <f>(COUNTIF(K5:Y14,"Oxygen"))</f>
        <v>0</v>
      </c>
      <c r="J12" s="55" t="s">
        <v>1049</v>
      </c>
      <c r="K12" s="33"/>
      <c r="L12" s="60"/>
      <c r="M12" s="61"/>
      <c r="N12" s="58"/>
      <c r="O12" s="62"/>
      <c r="P12" s="61"/>
      <c r="Q12" s="33"/>
      <c r="S12" s="33"/>
      <c r="T12" s="62"/>
      <c r="U12" s="61"/>
      <c r="V12" s="58"/>
      <c r="W12" s="62"/>
      <c r="X12" s="61"/>
      <c r="Y12" s="33"/>
      <c r="Z12" s="40">
        <f t="shared" si="0"/>
        <v>0</v>
      </c>
      <c r="AE12">
        <f>COUNTIF(K13,"(2) Duplexes")+COUNTIF(Y13,"(2) Duplexes")</f>
        <v>0</v>
      </c>
      <c r="AF12">
        <f>COUNTIF(Q13:S13,"(2) Duplexes")</f>
        <v>0</v>
      </c>
      <c r="AG12">
        <f>COUNTIF(K13,"(3) Duplexes")+COUNTIF(Y13,"(3) Duplexes")</f>
        <v>0</v>
      </c>
      <c r="AH12">
        <f>COUNTIF(Q13:S13,"(3) Duplexes")</f>
        <v>0</v>
      </c>
    </row>
    <row r="13" spans="1:34" outlineLevel="1">
      <c r="A13" s="49" t="s">
        <v>95</v>
      </c>
      <c r="B13" s="50" t="str">
        <f>IF(OR(SUM(H12:H18)=0,ISBLANK(SUM(H12:H18))),"",SUM(H12:H18)&amp;" Outlets")</f>
        <v/>
      </c>
      <c r="C13" s="4">
        <f>IF(OR(ISBLANK(B13),B13=""),0,VLOOKUP(B13,'Ondal Booms'!B:G,4,FALSE))</f>
        <v>0</v>
      </c>
      <c r="D13" s="37">
        <f>IF(OR(ISBLANK(B13),B13=""),0,VLOOKUP(B13,'Ondal Booms'!B:G,2,FALSE))</f>
        <v>0</v>
      </c>
      <c r="E13" s="35">
        <f>IF(OR(ISBLANK(B13),B13=""),0,VLOOKUP(B13,'Ondal Booms'!B:G,3,FALSE))</f>
        <v>0</v>
      </c>
      <c r="G13" s="55" t="s">
        <v>1050</v>
      </c>
      <c r="H13" s="77">
        <f>COUNTIF(K5:Y14,"Medical Air")</f>
        <v>0</v>
      </c>
      <c r="J13" s="55" t="s">
        <v>1051</v>
      </c>
      <c r="K13" s="33"/>
      <c r="L13" s="56"/>
      <c r="M13" s="57"/>
      <c r="N13" s="58"/>
      <c r="O13" s="59"/>
      <c r="P13" s="57"/>
      <c r="Q13" s="33"/>
      <c r="S13" s="33"/>
      <c r="T13" s="59"/>
      <c r="U13" s="57"/>
      <c r="V13" s="58"/>
      <c r="W13" s="59"/>
      <c r="X13" s="57"/>
      <c r="Y13" s="33"/>
      <c r="Z13" s="40">
        <f t="shared" si="0"/>
        <v>0</v>
      </c>
    </row>
    <row r="14" spans="1:34" ht="17.100000000000001" outlineLevel="1" thickBot="1">
      <c r="A14" s="55" t="s">
        <v>1052</v>
      </c>
      <c r="B14" s="45"/>
      <c r="C14" s="4">
        <f>IF(OR(ISBLANK(B14),B14=""),0,VLOOKUP(B14,'Ondal Booms'!B:G,4,FALSE))</f>
        <v>0</v>
      </c>
      <c r="D14" s="37">
        <f>IF(OR(ISBLANK(B14),B14=""),0,VLOOKUP(B14,'Ondal Booms'!B:G,2,FALSE))</f>
        <v>0</v>
      </c>
      <c r="E14" s="35">
        <f>IF(OR(ISBLANK(B14),B14=""),0,VLOOKUP(B14,'Ondal Booms'!B:G,3,FALSE))</f>
        <v>0</v>
      </c>
      <c r="G14" s="55" t="s">
        <v>1053</v>
      </c>
      <c r="H14" s="77">
        <f>COUNTIF(K5:Y14,"Nitrous Oxide")</f>
        <v>0</v>
      </c>
      <c r="J14" s="64" t="s">
        <v>1054</v>
      </c>
      <c r="K14" s="33"/>
      <c r="L14" s="60"/>
      <c r="M14" s="61"/>
      <c r="N14" s="63"/>
      <c r="O14" s="62"/>
      <c r="P14" s="61"/>
      <c r="Q14" s="33"/>
      <c r="S14" s="33"/>
      <c r="T14" s="62"/>
      <c r="U14" s="61"/>
      <c r="V14" s="63"/>
      <c r="W14" s="62"/>
      <c r="X14" s="61"/>
      <c r="Y14" s="33"/>
      <c r="Z14" s="40">
        <f t="shared" si="0"/>
        <v>0</v>
      </c>
    </row>
    <row r="15" spans="1:34" outlineLevel="1">
      <c r="A15" s="55" t="s">
        <v>454</v>
      </c>
      <c r="B15" s="45"/>
      <c r="C15" s="4">
        <f>IF(OR(ISBLANK(B15),B15=""),0,VLOOKUP(B15,'Ondal Booms'!B:G,4,FALSE))</f>
        <v>0</v>
      </c>
      <c r="D15" s="37">
        <f>IF(OR(ISBLANK(B15),B15=""),0,VLOOKUP(B15,'Ondal Booms'!B:G,2,FALSE))</f>
        <v>0</v>
      </c>
      <c r="E15" s="35">
        <f>IF(OR(ISBLANK(B15),B15=""),0,VLOOKUP(B15,'Ondal Booms'!B:G,3,FALSE))</f>
        <v>0</v>
      </c>
      <c r="G15" s="55" t="s">
        <v>1055</v>
      </c>
      <c r="H15" s="77">
        <f>COUNTIF(K5:Y14,"WAGD")</f>
        <v>0</v>
      </c>
    </row>
    <row r="16" spans="1:34" outlineLevel="1">
      <c r="A16" s="55" t="s">
        <v>455</v>
      </c>
      <c r="B16" s="45"/>
      <c r="C16" s="4">
        <f>IF(OR(ISBLANK(B16),B16=""),0,VLOOKUP(B16,'Ondal Booms'!B:G,4,FALSE))</f>
        <v>0</v>
      </c>
      <c r="D16" s="37">
        <f>IF(OR(ISBLANK(B16),B16=""),0,VLOOKUP(B16,'Ondal Booms'!B:G,2,FALSE))</f>
        <v>0</v>
      </c>
      <c r="E16" s="35">
        <f>IF(OR(ISBLANK(B16),B16=""),0,VLOOKUP(B16,'Ondal Booms'!B:G,3,FALSE))</f>
        <v>0</v>
      </c>
      <c r="G16" s="55" t="s">
        <v>1056</v>
      </c>
      <c r="H16" s="77">
        <f>COUNTIF(K5:Y14,"Vacuum")</f>
        <v>0</v>
      </c>
    </row>
    <row r="17" spans="1:34" outlineLevel="1">
      <c r="A17" s="55" t="s">
        <v>1057</v>
      </c>
      <c r="B17" s="45"/>
      <c r="C17" s="4">
        <f>IF(OR(ISBLANK(B17),B17=""),0,VLOOKUP(B17,'Ondal Booms'!B:G,4,FALSE))</f>
        <v>0</v>
      </c>
      <c r="D17" s="37">
        <f>IF(OR(ISBLANK(B17),B17=""),0,VLOOKUP(B17,'Ondal Booms'!B:G,2,FALSE))</f>
        <v>0</v>
      </c>
      <c r="E17" s="35">
        <f>IF(OR(ISBLANK(B17),B17=""),0,VLOOKUP(B17,'Ondal Booms'!B:G,3,FALSE))</f>
        <v>0</v>
      </c>
      <c r="G17" s="55" t="s">
        <v>1058</v>
      </c>
      <c r="H17" s="77">
        <f>COUNTIF(K5:Y14,"Nitrogen")</f>
        <v>0</v>
      </c>
    </row>
    <row r="18" spans="1:34" outlineLevel="1">
      <c r="A18" s="55" t="s">
        <v>1059</v>
      </c>
      <c r="B18" s="45"/>
      <c r="C18" s="4">
        <f>IF(OR(ISBLANK(B18),B18=""),0,VLOOKUP(B18,'Ondal Booms'!B:G,4,FALSE))</f>
        <v>0</v>
      </c>
      <c r="D18" s="37">
        <f>IF(OR(ISBLANK(B18),B18=""),0,VLOOKUP(B18,'Ondal Booms'!B:G,2,FALSE))</f>
        <v>0</v>
      </c>
      <c r="E18" s="35">
        <f>IF(OR(ISBLANK(B18),B18=""),0,VLOOKUP(B18,'Ondal Booms'!B:G,3,FALSE))</f>
        <v>0</v>
      </c>
      <c r="G18" s="64" t="s">
        <v>1060</v>
      </c>
      <c r="H18" s="77">
        <f>COUNTIF(K5:Y14,"Carbon Dioxide")</f>
        <v>0</v>
      </c>
    </row>
    <row r="19" spans="1:34" outlineLevel="1">
      <c r="A19" s="55" t="s">
        <v>1061</v>
      </c>
      <c r="B19" s="45"/>
      <c r="C19" s="4">
        <f>IF(OR(ISBLANK(B19),B19=""),0,VLOOKUP(B19,'Ondal Booms'!B:G,4,FALSE))</f>
        <v>0</v>
      </c>
      <c r="D19" s="37">
        <f>IF(OR(ISBLANK(B19),B19=""),0,VLOOKUP(B19,'Ondal Booms'!B:G,2,FALSE))</f>
        <v>0</v>
      </c>
      <c r="E19" s="35">
        <f>IF(OR(ISBLANK(B19),B19=""),0,VLOOKUP(B19,'Ondal Booms'!B:G,3,FALSE))</f>
        <v>0</v>
      </c>
      <c r="H19" s="36"/>
    </row>
    <row r="20" spans="1:34" outlineLevel="1">
      <c r="A20" s="55" t="s">
        <v>1062</v>
      </c>
      <c r="B20" s="45"/>
      <c r="C20" s="4">
        <f>IF(OR(ISBLANK(B20),B20=""),0,VLOOKUP(B20,'Ondal Booms'!B:G,4,FALSE))</f>
        <v>0</v>
      </c>
      <c r="D20" s="37">
        <f>IF(OR(ISBLANK(B20),B20=""),0,VLOOKUP(B20,'Ondal Booms'!B:G,2,FALSE))</f>
        <v>0</v>
      </c>
      <c r="E20" s="35">
        <f>IF(OR(ISBLANK(B20),B20=""),0,VLOOKUP(B20,'Ondal Booms'!B:G,3,FALSE))</f>
        <v>0</v>
      </c>
    </row>
    <row r="21" spans="1:34" outlineLevel="1">
      <c r="A21" s="55" t="s">
        <v>1063</v>
      </c>
      <c r="B21" s="45"/>
      <c r="C21" s="4">
        <f>IF(OR(ISBLANK(B21),B21=""),0,VLOOKUP(B21,'Ondal Booms'!B:G,4,FALSE))</f>
        <v>0</v>
      </c>
      <c r="D21" s="37">
        <f>IF(OR(ISBLANK(B21),B21=""),0,VLOOKUP(B21,'Ondal Booms'!B:G,2,FALSE))</f>
        <v>0</v>
      </c>
      <c r="E21" s="35">
        <f>IF(OR(ISBLANK(B21),B21=""),0,VLOOKUP(B21,'Ondal Booms'!B:G,3,FALSE))</f>
        <v>0</v>
      </c>
      <c r="G21" s="37"/>
    </row>
    <row r="22" spans="1:34" outlineLevel="1">
      <c r="A22" s="55" t="s">
        <v>1064</v>
      </c>
      <c r="B22" s="45"/>
      <c r="C22" s="4">
        <f>IF(OR(ISBLANK(B22),B22=""),0,VLOOKUP(B22,'Ondal Booms'!B:G,4,FALSE))</f>
        <v>0</v>
      </c>
      <c r="D22" s="37">
        <f>IF(OR(ISBLANK(B22),B22=""),0,VLOOKUP(B22,'Ondal Booms'!B:G,2,FALSE))</f>
        <v>0</v>
      </c>
      <c r="E22" s="35">
        <f>IF(OR(ISBLANK(B22),B22=""),0,VLOOKUP(B22,'Ondal Booms'!B:G,3,FALSE))</f>
        <v>0</v>
      </c>
      <c r="G22" s="37"/>
    </row>
    <row r="23" spans="1:34" outlineLevel="1">
      <c r="A23" s="64" t="s">
        <v>1065</v>
      </c>
      <c r="B23" s="45"/>
      <c r="C23" s="4">
        <f>IF(OR(ISBLANK(B23),B23=""),0,VLOOKUP(B23,'Ondal Booms'!B:G,4,FALSE))</f>
        <v>0</v>
      </c>
      <c r="D23" s="37">
        <f>IF(OR(ISBLANK(B23),B23=""),0,VLOOKUP(B23,'Ondal Booms'!B:G,2,FALSE))</f>
        <v>0</v>
      </c>
      <c r="E23" s="35">
        <f>IF(OR(ISBLANK(B23),B23=""),0,VLOOKUP(B23,'Ondal Booms'!B:G,3,FALSE))</f>
        <v>0</v>
      </c>
    </row>
    <row r="24" spans="1:34" outlineLevel="1">
      <c r="C24" s="4"/>
      <c r="E24" s="37"/>
    </row>
    <row r="25" spans="1:34" outlineLevel="1">
      <c r="A25" s="49" t="s">
        <v>1066</v>
      </c>
      <c r="B25" s="70" t="str">
        <f>IF(OR(ISBLANK(B5),B5=""),"",
IF(OR(AND(B11="200mm Service Head",SUM(Z7:Z14)&gt;0),AND(B11="400mm Service Head",SUM(Z9:Z14)&gt;0),AND(B11="600mm Service Head",SUM(Z11:Z14)&gt;0),AND(B11="800mm Service Head",SUM(Z13:Z14)&gt;0)),"Select Longer Service Head or Remove Services",
IF(AND(RIGHT(B9,2)="XL",RIGHT(B8,2)&lt;&gt;"XL"),"BOTTOM XL ARM REQUIRES TOP XL ARM",
IF(OR(ISBLANK(B6),ISBLANK(B7),ISBLANK(B8),ISBLANK(B9),ISBLANK(B10),ISBLANK(B11),ISBLANK(B15),ISBLANK(B16),ISBLANK(B14)),"Missing Selections for Configuration",
IF(AND(B11="Large Monitor Carrier",B9&lt;&gt;"Spring Articulating"),"Large Monitor Requires Spring Bottom Arm",
IF(OR(AND(RIGHT(B7,2)="XL",RIGHT(B8,2)&lt;&gt;"XL"),AND(RIGHT(B8,2)="XL",RIGHT(B7,2)&lt;&gt;"XL")),"Both Top Arm and Ceiling Flange Must Be XL",
IF(COUNTIF(AE4:AH12,1)&gt;1,"Mismatch Electrical Configuration",
""))))))
)</f>
        <v/>
      </c>
      <c r="C25" s="4"/>
      <c r="D25" s="4"/>
      <c r="E25" s="35"/>
    </row>
    <row r="26" spans="1:34" outlineLevel="1">
      <c r="B26" s="1"/>
      <c r="C26" s="47" t="s">
        <v>1026</v>
      </c>
      <c r="D26" s="47" t="s">
        <v>1027</v>
      </c>
      <c r="E26" s="47" t="s">
        <v>1067</v>
      </c>
      <c r="F26" s="35"/>
      <c r="I26" s="35"/>
    </row>
    <row r="27" spans="1:34" ht="17.100000000000001" thickBot="1">
      <c r="A27" s="69" t="s">
        <v>1068</v>
      </c>
      <c r="B27" s="72" t="str">
        <f>IF(OR(B6="",ISBLANK(B6)),"NO CONFIGURATION SELECTED",C27)</f>
        <v>NO CONFIGURATION SELECTED</v>
      </c>
      <c r="C27" s="65">
        <f>SUM(C5:C23)</f>
        <v>0</v>
      </c>
      <c r="D27" s="65">
        <f t="shared" ref="D27:E27" si="1">SUM(D5:D23)</f>
        <v>0</v>
      </c>
      <c r="E27" s="65">
        <f t="shared" si="1"/>
        <v>0</v>
      </c>
      <c r="F27" s="1"/>
      <c r="I27" s="1"/>
      <c r="J27" t="str">
        <f>"&lt;-- EXPAND TO SHOW OPTIONS / SERVICE HEAD"</f>
        <v>&lt;-- EXPAND TO SHOW OPTIONS / SERVICE HEAD</v>
      </c>
      <c r="AC27" s="285"/>
      <c r="AD27" s="285"/>
      <c r="AE27" s="285"/>
      <c r="AF27" s="285"/>
    </row>
    <row r="28" spans="1:34" ht="17.100000000000001" thickTop="1">
      <c r="C28" s="66"/>
      <c r="D28" s="66"/>
      <c r="E28" s="66"/>
      <c r="F28" s="1"/>
      <c r="I28" s="1"/>
      <c r="AE28">
        <f>COUNTIF(K30,"(2) Duplexes")+COUNTIF(Y30,"(2) Duplexes")</f>
        <v>0</v>
      </c>
      <c r="AF28">
        <f>COUNTIF(Q30:S30,"(2) Duplexes")</f>
        <v>0</v>
      </c>
      <c r="AG28">
        <f>COUNTIF(K30,"(3) Duplexes")+COUNTIF(Y30,"(3) Duplexes")</f>
        <v>0</v>
      </c>
      <c r="AH28">
        <f>COUNTIF(Q30:S30,"(3) Duplexes")</f>
        <v>0</v>
      </c>
    </row>
    <row r="29" spans="1:34" ht="18.95">
      <c r="A29" s="46" t="s">
        <v>1069</v>
      </c>
      <c r="B29" s="47" t="s">
        <v>1025</v>
      </c>
      <c r="C29" s="47" t="s">
        <v>1026</v>
      </c>
      <c r="D29" s="47" t="s">
        <v>1027</v>
      </c>
      <c r="E29" s="47" t="s">
        <v>1028</v>
      </c>
      <c r="G29" s="79" t="s">
        <v>1029</v>
      </c>
      <c r="H29" s="80" t="s">
        <v>1030</v>
      </c>
      <c r="J29" s="83" t="s">
        <v>1031</v>
      </c>
      <c r="K29" s="84" t="s">
        <v>1032</v>
      </c>
      <c r="L29" s="282" t="s">
        <v>1033</v>
      </c>
      <c r="M29" s="282"/>
      <c r="N29" s="282"/>
      <c r="O29" s="282"/>
      <c r="P29" s="282"/>
      <c r="Q29" s="80" t="s">
        <v>1032</v>
      </c>
      <c r="R29" s="36"/>
      <c r="S29" s="79" t="s">
        <v>1032</v>
      </c>
      <c r="T29" s="282" t="s">
        <v>1034</v>
      </c>
      <c r="U29" s="282"/>
      <c r="V29" s="282"/>
      <c r="W29" s="282"/>
      <c r="X29" s="282"/>
      <c r="Y29" s="80" t="s">
        <v>1032</v>
      </c>
    </row>
    <row r="30" spans="1:34" outlineLevel="1">
      <c r="A30" s="49" t="s">
        <v>1035</v>
      </c>
      <c r="B30" s="50" t="str">
        <f>IF(OR(ISBLANK(B32),ISBLANK(B33)),"",IF(ISBLANK(B33),0,(VLOOKUP(B33,'Ondal Booms'!B:F,5,FALSE)))&amp;IF(ISBLANK(B32),0,(VLOOKUP(B32,'Ondal Booms'!B:F,5,FALSE))))</f>
        <v/>
      </c>
      <c r="C30" s="4">
        <f>IF(OR(ISBLANK(B30),B30=""),0,VLOOKUP(B30,'Ondal Booms'!B:G,4,FALSE))</f>
        <v>0</v>
      </c>
      <c r="D30" s="37">
        <f>IF(OR(ISBLANK(B30),B30=""),0,VLOOKUP(B30,'Ondal Booms'!B:G,2,FALSE))</f>
        <v>0</v>
      </c>
      <c r="E30" s="35">
        <f>IF(OR(ISBLANK(B30),B30=""),0,VLOOKUP(B30,'Ondal Booms'!B:G,3,FALSE))</f>
        <v>0</v>
      </c>
      <c r="G30" s="48" t="s">
        <v>1036</v>
      </c>
      <c r="H30" s="77">
        <f>COUNTIF(K30:Y39,"(2) Duplexes")*2+COUNTIF(K30:Y39,"(3) Duplexes")*3</f>
        <v>0</v>
      </c>
      <c r="J30" s="51" t="s">
        <v>1037</v>
      </c>
      <c r="K30" s="82"/>
      <c r="L30" s="56"/>
      <c r="M30" s="57"/>
      <c r="N30" s="58"/>
      <c r="O30" s="59"/>
      <c r="P30" s="57"/>
      <c r="Q30" s="82"/>
      <c r="S30" s="82"/>
      <c r="T30" s="59"/>
      <c r="U30" s="57"/>
      <c r="V30" s="58"/>
      <c r="W30" s="59"/>
      <c r="X30" s="57"/>
      <c r="Y30" s="82"/>
      <c r="Z30" s="40">
        <f>15-COUNTIFS(K30:Y30,"")</f>
        <v>0</v>
      </c>
    </row>
    <row r="31" spans="1:34" ht="17.100000000000001" outlineLevel="1" thickBot="1">
      <c r="A31" s="55" t="s">
        <v>354</v>
      </c>
      <c r="B31" s="45"/>
      <c r="C31" s="4">
        <f>IF(OR(ISBLANK(B31),B31=""),0,VLOOKUP(B31,'Ondal Booms'!B:G,4,FALSE))</f>
        <v>0</v>
      </c>
      <c r="D31" s="37">
        <f>IF(OR(ISBLANK(B31),B31=""),0,VLOOKUP(B31,'Ondal Booms'!B:G,2,FALSE))</f>
        <v>0</v>
      </c>
      <c r="E31" s="35">
        <f>IF(OR(ISBLANK(B31),B31=""),0,VLOOKUP(B31,'Ondal Booms'!B:G,3,FALSE))</f>
        <v>0</v>
      </c>
      <c r="G31" s="79" t="s">
        <v>1039</v>
      </c>
      <c r="H31" s="80" t="s">
        <v>1030</v>
      </c>
      <c r="J31" s="51" t="s">
        <v>1038</v>
      </c>
      <c r="K31" s="33"/>
      <c r="L31" s="56"/>
      <c r="M31" s="57"/>
      <c r="N31" s="58"/>
      <c r="O31" s="59"/>
      <c r="P31" s="57"/>
      <c r="Q31" s="33"/>
      <c r="S31" s="33"/>
      <c r="T31" s="59"/>
      <c r="U31" s="57"/>
      <c r="V31" s="58"/>
      <c r="W31" s="59"/>
      <c r="X31" s="57"/>
      <c r="Y31" s="33"/>
      <c r="Z31" s="40">
        <f t="shared" ref="Z31:Z34" si="2">15-COUNTIFS(K31:Y31,"")</f>
        <v>0</v>
      </c>
      <c r="AE31">
        <f>COUNTIF(K32,"(2) Duplexes")+COUNTIF(Y32,"(2) Duplexes")</f>
        <v>0</v>
      </c>
      <c r="AF31">
        <f>COUNTIF(Q32:S32,"(2) Duplexes")</f>
        <v>0</v>
      </c>
      <c r="AG31">
        <f>COUNTIF(K32,"(3) Duplexes")+COUNTIF(Y32,"(3) Duplexes")</f>
        <v>0</v>
      </c>
      <c r="AH31">
        <f>COUNTIF(Q32:S32,"(3) Duplexes")</f>
        <v>0</v>
      </c>
    </row>
    <row r="32" spans="1:34" outlineLevel="1">
      <c r="A32" s="55" t="s">
        <v>355</v>
      </c>
      <c r="B32" s="8"/>
      <c r="C32" s="4">
        <f>IF(OR(ISBLANK(B32),B32=""),0,VLOOKUP(B32,'Ondal Booms'!B:G,4,FALSE))</f>
        <v>0</v>
      </c>
      <c r="D32" s="37">
        <f>IF(OR(ISBLANK(B32),B32=""),0,VLOOKUP(B32,'Ondal Booms'!B:G,2,FALSE))</f>
        <v>0</v>
      </c>
      <c r="E32" s="35">
        <f>IF(OR(ISBLANK(B32),B32=""),0,VLOOKUP(B32,'Ondal Booms'!B:G,3,FALSE))</f>
        <v>0</v>
      </c>
      <c r="G32" s="55" t="s">
        <v>1041</v>
      </c>
      <c r="H32" s="78">
        <f>(COUNTIF(K30:Y39,"Data"))</f>
        <v>0</v>
      </c>
      <c r="J32" s="51" t="s">
        <v>1040</v>
      </c>
      <c r="K32" s="33"/>
      <c r="L32" s="52"/>
      <c r="M32" s="53"/>
      <c r="N32" s="58"/>
      <c r="O32" s="54"/>
      <c r="P32" s="53"/>
      <c r="Q32" s="33"/>
      <c r="S32" s="33"/>
      <c r="T32" s="54"/>
      <c r="U32" s="53"/>
      <c r="V32" s="58"/>
      <c r="W32" s="54"/>
      <c r="X32" s="53"/>
      <c r="Y32" s="33"/>
      <c r="Z32" s="40">
        <f t="shared" si="2"/>
        <v>0</v>
      </c>
    </row>
    <row r="33" spans="1:34" ht="17.100000000000001" outlineLevel="1" thickBot="1">
      <c r="A33" s="55" t="s">
        <v>356</v>
      </c>
      <c r="B33" s="7"/>
      <c r="C33" s="4">
        <f>IF(OR(ISBLANK(B33),B33=""),0,VLOOKUP(B33,'Ondal Booms'!B:G,4,FALSE))</f>
        <v>0</v>
      </c>
      <c r="D33" s="37">
        <f>IF(OR(ISBLANK(B33),B33=""),0,VLOOKUP(B33,'Ondal Booms'!B:G,2,FALSE))</f>
        <v>0</v>
      </c>
      <c r="E33" s="35">
        <f>IF(OR(ISBLANK(B33),B33=""),0,VLOOKUP(B33,'Ondal Booms'!B:G,3,FALSE))</f>
        <v>0</v>
      </c>
      <c r="G33" s="64" t="s">
        <v>1043</v>
      </c>
      <c r="H33" s="77">
        <f>(COUNTIF(K30:Y39,"Storz 4in1"))</f>
        <v>0</v>
      </c>
      <c r="J33" s="51" t="s">
        <v>1042</v>
      </c>
      <c r="K33" s="33"/>
      <c r="L33" s="56"/>
      <c r="M33" s="57"/>
      <c r="N33" s="58"/>
      <c r="O33" s="59"/>
      <c r="P33" s="57"/>
      <c r="Q33" s="33"/>
      <c r="S33" s="33"/>
      <c r="T33" s="59"/>
      <c r="U33" s="57"/>
      <c r="V33" s="58"/>
      <c r="W33" s="59"/>
      <c r="X33" s="57"/>
      <c r="Y33" s="33"/>
      <c r="Z33" s="40">
        <f t="shared" si="2"/>
        <v>0</v>
      </c>
      <c r="AE33">
        <f>COUNTIF(K34,"(2) Duplexes")+COUNTIF(Y34,"(2) Duplexes")</f>
        <v>0</v>
      </c>
      <c r="AF33">
        <f>COUNTIF(Q34:S34,"(2) Duplexes")</f>
        <v>0</v>
      </c>
      <c r="AG33">
        <f>COUNTIF(K34,"(3) Duplexes")+COUNTIF(Y34,"(3) Duplexes")</f>
        <v>0</v>
      </c>
      <c r="AH33">
        <f>COUNTIF(Q34:S34,"(3) Duplexes")</f>
        <v>0</v>
      </c>
    </row>
    <row r="34" spans="1:34" outlineLevel="1">
      <c r="A34" s="55" t="s">
        <v>418</v>
      </c>
      <c r="B34" s="7"/>
      <c r="C34" s="4">
        <f>IF(OR(ISBLANK(B34),B34=""),0,VLOOKUP(B34,'Ondal Booms'!B:G,4,FALSE))</f>
        <v>0</v>
      </c>
      <c r="D34" s="37">
        <f>IF(OR(ISBLANK(B34),B34=""),0,VLOOKUP(B34,'Ondal Booms'!B:G,2,FALSE))</f>
        <v>0</v>
      </c>
      <c r="E34" s="35">
        <f>IF(OR(ISBLANK(B34),B34=""),0,VLOOKUP(B34,'Ondal Booms'!B:G,3,FALSE))</f>
        <v>0</v>
      </c>
      <c r="J34" s="51" t="s">
        <v>1044</v>
      </c>
      <c r="K34" s="33"/>
      <c r="L34" s="52"/>
      <c r="M34" s="53"/>
      <c r="N34" s="58"/>
      <c r="O34" s="54"/>
      <c r="P34" s="53"/>
      <c r="Q34" s="33"/>
      <c r="S34" s="33"/>
      <c r="T34" s="54"/>
      <c r="U34" s="53"/>
      <c r="V34" s="58"/>
      <c r="W34" s="54"/>
      <c r="X34" s="53"/>
      <c r="Y34" s="33"/>
      <c r="Z34" s="40">
        <f t="shared" si="2"/>
        <v>0</v>
      </c>
    </row>
    <row r="35" spans="1:34" ht="17.100000000000001" outlineLevel="1" thickBot="1">
      <c r="A35" s="55" t="s">
        <v>357</v>
      </c>
      <c r="B35" s="7"/>
      <c r="C35" s="4">
        <f>IF(OR(ISBLANK(B35),B35=""),0,VLOOKUP(B35,'Ondal Booms'!B:G,4,FALSE))</f>
        <v>0</v>
      </c>
      <c r="D35" s="37">
        <f>IF(OR(ISBLANK(B35),B35=""),0,VLOOKUP(B35,'Ondal Booms'!B:G,2,FALSE))</f>
        <v>0</v>
      </c>
      <c r="E35" s="35">
        <f>IF(OR(ISBLANK(B35),B35=""),0,VLOOKUP(B35,'Ondal Booms'!B:G,3,FALSE))</f>
        <v>0</v>
      </c>
      <c r="G35" s="79" t="s">
        <v>1046</v>
      </c>
      <c r="H35" s="80" t="s">
        <v>1030</v>
      </c>
      <c r="J35" s="51" t="s">
        <v>1045</v>
      </c>
      <c r="K35" s="33"/>
      <c r="L35" s="60"/>
      <c r="M35" s="61"/>
      <c r="N35" s="58"/>
      <c r="O35" s="62"/>
      <c r="P35" s="61"/>
      <c r="Q35" s="33"/>
      <c r="S35" s="33"/>
      <c r="T35" s="62"/>
      <c r="U35" s="61"/>
      <c r="V35" s="58"/>
      <c r="W35" s="62"/>
      <c r="X35" s="61"/>
      <c r="Y35" s="33"/>
      <c r="Z35" s="40">
        <f>15-COUNTIFS(K35:Y35,"")</f>
        <v>0</v>
      </c>
      <c r="AE35">
        <f>COUNTIF(K36,"(2) Duplexes")+COUNTIF(Y36,"(2) Duplexes")</f>
        <v>0</v>
      </c>
      <c r="AF35">
        <f>COUNTIF(Q36:S36,"(2) Duplexes")</f>
        <v>0</v>
      </c>
      <c r="AG35">
        <f>COUNTIF(K36,"(3) Duplexes")+COUNTIF(Y36,"(3) Duplexes")</f>
        <v>0</v>
      </c>
      <c r="AH35">
        <f>COUNTIF(Q36:S36,"(3) Duplexes")</f>
        <v>0</v>
      </c>
    </row>
    <row r="36" spans="1:34" outlineLevel="1">
      <c r="A36" s="49" t="s">
        <v>99</v>
      </c>
      <c r="B36" s="50" t="str">
        <f>IF(OR(H30=0,ISBLANK(H30)),"",H30&amp;" Duplexes")</f>
        <v/>
      </c>
      <c r="C36" s="4">
        <f>IF(OR(ISBLANK(B36),B36=""),0,VLOOKUP(B36,'Ondal Booms'!B:G,4,FALSE))</f>
        <v>0</v>
      </c>
      <c r="D36" s="37">
        <f>IF(OR(ISBLANK(B36),B36=""),0,VLOOKUP(B36,'Ondal Booms'!B:G,2,FALSE))</f>
        <v>0</v>
      </c>
      <c r="E36" s="35">
        <f>IF(OR(ISBLANK(B36),B36=""),0,VLOOKUP(B36,'Ondal Booms'!B:G,3,FALSE))</f>
        <v>0</v>
      </c>
      <c r="G36" s="55" t="s">
        <v>1048</v>
      </c>
      <c r="H36" s="78">
        <f>(COUNTIF(K30:Y39,"Oxygen"))</f>
        <v>0</v>
      </c>
      <c r="J36" s="51" t="s">
        <v>1047</v>
      </c>
      <c r="K36" s="33"/>
      <c r="L36" s="56"/>
      <c r="M36" s="57"/>
      <c r="N36" s="58"/>
      <c r="O36" s="59"/>
      <c r="P36" s="57"/>
      <c r="Q36" s="33"/>
      <c r="S36" s="33"/>
      <c r="T36" s="59"/>
      <c r="U36" s="57"/>
      <c r="V36" s="58"/>
      <c r="W36" s="59"/>
      <c r="X36" s="57"/>
      <c r="Y36" s="33"/>
      <c r="Z36" s="40">
        <f t="shared" ref="Z36:Z39" si="3">15-COUNTIFS(K36:Y36,"")</f>
        <v>0</v>
      </c>
    </row>
    <row r="37" spans="1:34" ht="17.100000000000001" outlineLevel="1" thickBot="1">
      <c r="A37" s="49" t="s">
        <v>95</v>
      </c>
      <c r="B37" s="50" t="str">
        <f>IF(OR(SUM(H36:H42)=0,ISBLANK(SUM(H36:H42))),"",SUM(H36:H42)&amp;" Outlets")</f>
        <v/>
      </c>
      <c r="C37" s="4">
        <f>IF(OR(ISBLANK(B37),B37=""),0,VLOOKUP(B37,'Ondal Booms'!B:G,4,FALSE))</f>
        <v>0</v>
      </c>
      <c r="D37" s="37">
        <f>IF(OR(ISBLANK(B37),B37=""),0,VLOOKUP(B37,'Ondal Booms'!B:G,2,FALSE))</f>
        <v>0</v>
      </c>
      <c r="E37" s="35">
        <f>IF(OR(ISBLANK(B37),B37=""),0,VLOOKUP(B37,'Ondal Booms'!B:G,3,FALSE))</f>
        <v>0</v>
      </c>
      <c r="G37" s="55" t="s">
        <v>1050</v>
      </c>
      <c r="H37" s="77">
        <f>COUNTIF(K30:Y39,"Medical Air")</f>
        <v>0</v>
      </c>
      <c r="J37" s="51" t="s">
        <v>1049</v>
      </c>
      <c r="K37" s="33"/>
      <c r="L37" s="60"/>
      <c r="M37" s="61"/>
      <c r="N37" s="58"/>
      <c r="O37" s="62"/>
      <c r="P37" s="61"/>
      <c r="Q37" s="33"/>
      <c r="S37" s="33"/>
      <c r="T37" s="62"/>
      <c r="U37" s="61"/>
      <c r="V37" s="58"/>
      <c r="W37" s="62"/>
      <c r="X37" s="61"/>
      <c r="Y37" s="33"/>
      <c r="Z37" s="40">
        <f t="shared" si="3"/>
        <v>0</v>
      </c>
      <c r="AE37">
        <f>COUNTIF(K38,"(2) Duplexes")+COUNTIF(Y38,"(2) Duplexes")</f>
        <v>0</v>
      </c>
      <c r="AF37">
        <f>COUNTIF(Q38:S38,"(2) Duplexes")</f>
        <v>0</v>
      </c>
      <c r="AG37">
        <f>COUNTIF(K38,"(3) Duplexes")+COUNTIF(Y38,"(3) Duplexes")</f>
        <v>0</v>
      </c>
      <c r="AH37">
        <f>COUNTIF(Q38:S38,"(3) Duplexes")</f>
        <v>0</v>
      </c>
    </row>
    <row r="38" spans="1:34" outlineLevel="1">
      <c r="A38" s="55" t="s">
        <v>1052</v>
      </c>
      <c r="B38" s="45"/>
      <c r="C38" s="4">
        <f>IF(OR(ISBLANK(B38),B38=""),0,VLOOKUP(B38,'Ondal Booms'!B:G,4,FALSE))</f>
        <v>0</v>
      </c>
      <c r="D38" s="37">
        <f>IF(OR(ISBLANK(B38),B38=""),0,VLOOKUP(B38,'Ondal Booms'!B:G,2,FALSE))</f>
        <v>0</v>
      </c>
      <c r="E38" s="35">
        <f>IF(OR(ISBLANK(B38),B38=""),0,VLOOKUP(B38,'Ondal Booms'!B:G,3,FALSE))</f>
        <v>0</v>
      </c>
      <c r="G38" s="55" t="s">
        <v>1053</v>
      </c>
      <c r="H38" s="77">
        <f>COUNTIF(K30:Y39,"Nitrous Oxide")</f>
        <v>0</v>
      </c>
      <c r="J38" s="51" t="s">
        <v>1051</v>
      </c>
      <c r="K38" s="33"/>
      <c r="L38" s="56"/>
      <c r="M38" s="57"/>
      <c r="N38" s="58"/>
      <c r="O38" s="59"/>
      <c r="P38" s="57"/>
      <c r="Q38" s="33"/>
      <c r="S38" s="33"/>
      <c r="T38" s="59"/>
      <c r="U38" s="57"/>
      <c r="V38" s="58"/>
      <c r="W38" s="59"/>
      <c r="X38" s="57"/>
      <c r="Y38" s="33"/>
      <c r="Z38" s="40">
        <f t="shared" si="3"/>
        <v>0</v>
      </c>
    </row>
    <row r="39" spans="1:34" ht="17.100000000000001" outlineLevel="1" thickBot="1">
      <c r="A39" s="55" t="s">
        <v>454</v>
      </c>
      <c r="B39" s="45"/>
      <c r="C39" s="4">
        <f>IF(OR(ISBLANK(B39),B39=""),0,VLOOKUP(B39,'Ondal Booms'!B:G,4,FALSE))</f>
        <v>0</v>
      </c>
      <c r="D39" s="37">
        <f>IF(OR(ISBLANK(B39),B39=""),0,VLOOKUP(B39,'Ondal Booms'!B:G,2,FALSE))</f>
        <v>0</v>
      </c>
      <c r="E39" s="35">
        <f>IF(OR(ISBLANK(B39),B39=""),0,VLOOKUP(B39,'Ondal Booms'!B:G,3,FALSE))</f>
        <v>0</v>
      </c>
      <c r="G39" s="55" t="s">
        <v>1055</v>
      </c>
      <c r="H39" s="77">
        <f>COUNTIF(K30:Y39,"WAGD")</f>
        <v>0</v>
      </c>
      <c r="J39" s="51" t="s">
        <v>1054</v>
      </c>
      <c r="K39" s="33"/>
      <c r="L39" s="60"/>
      <c r="M39" s="61"/>
      <c r="N39" s="63"/>
      <c r="O39" s="62"/>
      <c r="P39" s="61"/>
      <c r="Q39" s="33"/>
      <c r="S39" s="33"/>
      <c r="T39" s="62"/>
      <c r="U39" s="61"/>
      <c r="V39" s="63"/>
      <c r="W39" s="62"/>
      <c r="X39" s="61"/>
      <c r="Y39" s="33"/>
      <c r="Z39" s="40">
        <f t="shared" si="3"/>
        <v>0</v>
      </c>
    </row>
    <row r="40" spans="1:34" outlineLevel="1">
      <c r="A40" s="55" t="s">
        <v>455</v>
      </c>
      <c r="B40" s="45"/>
      <c r="C40" s="4">
        <f>IF(OR(ISBLANK(B40),B40=""),0,VLOOKUP(B40,'Ondal Booms'!B:G,4,FALSE))</f>
        <v>0</v>
      </c>
      <c r="D40" s="37">
        <f>IF(OR(ISBLANK(B40),B40=""),0,VLOOKUP(B40,'Ondal Booms'!B:G,2,FALSE))</f>
        <v>0</v>
      </c>
      <c r="E40" s="35">
        <f>IF(OR(ISBLANK(B40),B40=""),0,VLOOKUP(B40,'Ondal Booms'!B:G,3,FALSE))</f>
        <v>0</v>
      </c>
      <c r="G40" s="55" t="s">
        <v>1056</v>
      </c>
      <c r="H40" s="77">
        <f>COUNTIF(K30:Y39,"Vacuum")</f>
        <v>0</v>
      </c>
    </row>
    <row r="41" spans="1:34" outlineLevel="1">
      <c r="A41" s="55" t="s">
        <v>1057</v>
      </c>
      <c r="B41" s="45"/>
      <c r="C41" s="4">
        <f>IF(OR(ISBLANK(B41),B41=""),0,VLOOKUP(B41,'Ondal Booms'!B:G,4,FALSE))</f>
        <v>0</v>
      </c>
      <c r="D41" s="37">
        <f>IF(OR(ISBLANK(B41),B41=""),0,VLOOKUP(B41,'Ondal Booms'!B:G,2,FALSE))</f>
        <v>0</v>
      </c>
      <c r="E41" s="35">
        <f>IF(OR(ISBLANK(B41),B41=""),0,VLOOKUP(B41,'Ondal Booms'!B:G,3,FALSE))</f>
        <v>0</v>
      </c>
      <c r="G41" s="55" t="s">
        <v>1058</v>
      </c>
      <c r="H41" s="77">
        <f>COUNTIF(K30:Y39,"Nitrogen")</f>
        <v>0</v>
      </c>
    </row>
    <row r="42" spans="1:34" outlineLevel="1">
      <c r="A42" s="55" t="s">
        <v>1059</v>
      </c>
      <c r="B42" s="45"/>
      <c r="C42" s="4">
        <f>IF(OR(ISBLANK(B42),B42=""),0,VLOOKUP(B42,'Ondal Booms'!B:G,4,FALSE))</f>
        <v>0</v>
      </c>
      <c r="D42" s="37">
        <f>IF(OR(ISBLANK(B42),B42=""),0,VLOOKUP(B42,'Ondal Booms'!B:G,2,FALSE))</f>
        <v>0</v>
      </c>
      <c r="E42" s="35">
        <f>IF(OR(ISBLANK(B42),B42=""),0,VLOOKUP(B42,'Ondal Booms'!B:G,3,FALSE))</f>
        <v>0</v>
      </c>
      <c r="G42" s="64" t="s">
        <v>1060</v>
      </c>
      <c r="H42" s="77">
        <f>COUNTIF(K30:Y39,"Carbon Dioxide")</f>
        <v>0</v>
      </c>
    </row>
    <row r="43" spans="1:34" outlineLevel="1">
      <c r="A43" s="55" t="s">
        <v>1061</v>
      </c>
      <c r="B43" s="45"/>
      <c r="C43" s="4">
        <f>IF(OR(ISBLANK(B43),B43=""),0,VLOOKUP(B43,'Ondal Booms'!B:G,4,FALSE))</f>
        <v>0</v>
      </c>
      <c r="D43" s="37">
        <f>IF(OR(ISBLANK(B43),B43=""),0,VLOOKUP(B43,'Ondal Booms'!B:G,2,FALSE))</f>
        <v>0</v>
      </c>
      <c r="E43" s="35">
        <f>IF(OR(ISBLANK(B43),B43=""),0,VLOOKUP(B43,'Ondal Booms'!B:G,3,FALSE))</f>
        <v>0</v>
      </c>
      <c r="H43" s="36"/>
    </row>
    <row r="44" spans="1:34" outlineLevel="1">
      <c r="A44" s="55" t="s">
        <v>1062</v>
      </c>
      <c r="B44" s="45"/>
      <c r="C44" s="4">
        <f>IF(OR(ISBLANK(B44),B44=""),0,VLOOKUP(B44,'Ondal Booms'!B:G,4,FALSE))</f>
        <v>0</v>
      </c>
      <c r="D44" s="37">
        <f>IF(OR(ISBLANK(B44),B44=""),0,VLOOKUP(B44,'Ondal Booms'!B:G,2,FALSE))</f>
        <v>0</v>
      </c>
      <c r="E44" s="35">
        <f>IF(OR(ISBLANK(B44),B44=""),0,VLOOKUP(B44,'Ondal Booms'!B:G,3,FALSE))</f>
        <v>0</v>
      </c>
    </row>
    <row r="45" spans="1:34" outlineLevel="1">
      <c r="A45" s="55" t="s">
        <v>1063</v>
      </c>
      <c r="B45" s="45"/>
      <c r="C45" s="4">
        <f>IF(OR(ISBLANK(B45),B45=""),0,VLOOKUP(B45,'Ondal Booms'!B:G,4,FALSE))</f>
        <v>0</v>
      </c>
      <c r="D45" s="37">
        <f>IF(OR(ISBLANK(B45),B45=""),0,VLOOKUP(B45,'Ondal Booms'!B:G,2,FALSE))</f>
        <v>0</v>
      </c>
      <c r="E45" s="35">
        <f>IF(OR(ISBLANK(B45),B45=""),0,VLOOKUP(B45,'Ondal Booms'!B:G,3,FALSE))</f>
        <v>0</v>
      </c>
      <c r="G45" s="37"/>
    </row>
    <row r="46" spans="1:34" outlineLevel="1">
      <c r="A46" s="55" t="s">
        <v>1064</v>
      </c>
      <c r="B46" s="45"/>
      <c r="C46" s="4">
        <f>IF(OR(ISBLANK(B46),B46=""),0,VLOOKUP(B46,'Ondal Booms'!B:G,4,FALSE))</f>
        <v>0</v>
      </c>
      <c r="D46" s="37">
        <f>IF(OR(ISBLANK(B46),B46=""),0,VLOOKUP(B46,'Ondal Booms'!B:G,2,FALSE))</f>
        <v>0</v>
      </c>
      <c r="E46" s="35">
        <f>IF(OR(ISBLANK(B46),B46=""),0,VLOOKUP(B46,'Ondal Booms'!B:G,3,FALSE))</f>
        <v>0</v>
      </c>
      <c r="G46" s="37"/>
    </row>
    <row r="47" spans="1:34" outlineLevel="1">
      <c r="A47" s="64" t="s">
        <v>1065</v>
      </c>
      <c r="B47" s="45"/>
      <c r="C47" s="4">
        <f>IF(OR(ISBLANK(B47),B47=""),0,VLOOKUP(B47,'Ondal Booms'!B:G,4,FALSE))</f>
        <v>0</v>
      </c>
      <c r="D47" s="37">
        <f>IF(OR(ISBLANK(B47),B47=""),0,VLOOKUP(B47,'Ondal Booms'!B:G,2,FALSE))</f>
        <v>0</v>
      </c>
      <c r="E47" s="35">
        <f>IF(OR(ISBLANK(B47),B47=""),0,VLOOKUP(B47,'Ondal Booms'!B:G,3,FALSE))</f>
        <v>0</v>
      </c>
    </row>
    <row r="48" spans="1:34" outlineLevel="1">
      <c r="C48" s="4"/>
      <c r="E48" s="37"/>
    </row>
    <row r="49" spans="1:32" outlineLevel="1">
      <c r="A49" s="49" t="s">
        <v>1066</v>
      </c>
      <c r="B49" s="70" t="str">
        <f>IF(OR(ISBLANK(B30),B30=""),"",
IF(OR(AND(B35="200mm Service Head",SUM(Z32:Z39)&gt;0),AND(B35="400mm Service Head",SUM(Z34:Z39)&gt;0),AND(B35="600mm Service Head",SUM(Z36:Z39)&gt;0),AND(B35="800mm Service Head",SUM(Z38:Z39)&gt;0)),"Select Longer Service Head or Remove Services",
IF(AND(RIGHT(B33,2)="XL",RIGHT(B32,2)&lt;&gt;"XL"),"BOTTOM XL ARM REQUIRES TOP XL ARM",
IF(OR(ISBLANK(#REF!),ISBLANK(B31),ISBLANK(B32),ISBLANK(B33),ISBLANK(B34),ISBLANK(B35),ISBLANK(B39),ISBLANK(B40),ISBLANK(B38)),"Missing Selections for Configuration",
IF(AND(B35="Large Monitor Carrier",B33&lt;&gt;"Spring Articulating"),"Large Monitor Requires Spring Bottom Arm",
IF(OR(AND(RIGHT(B31,2)="XL",RIGHT(B32,2)&lt;&gt;"XL"),AND(RIGHT(B32,2)="XL",RIGHT(B31,2)&lt;&gt;"XL")),"Both Top Arm and Ceiling Flange Must Be XL",
IF(COUNTIF(AE29:AH37,1)&gt;1,"Mismatch Electrical Configuration",
""))))))
)</f>
        <v/>
      </c>
      <c r="C49" s="4"/>
      <c r="D49" s="4"/>
      <c r="E49" s="35"/>
    </row>
    <row r="50" spans="1:32" outlineLevel="1">
      <c r="B50" s="1"/>
      <c r="C50" s="47" t="s">
        <v>1026</v>
      </c>
      <c r="D50" s="47" t="s">
        <v>1027</v>
      </c>
      <c r="E50" s="47" t="s">
        <v>1067</v>
      </c>
      <c r="F50" s="35"/>
      <c r="I50" s="35"/>
    </row>
    <row r="51" spans="1:32" ht="17.100000000000001" thickBot="1">
      <c r="A51" s="69" t="s">
        <v>1068</v>
      </c>
      <c r="B51" s="72" t="str">
        <f>IF(OR(B30="",ISBLANK(B30)),"NO CONFIGURATION SELECTED",C51)</f>
        <v>NO CONFIGURATION SELECTED</v>
      </c>
      <c r="C51" s="65">
        <f>SUM(C30:C47)</f>
        <v>0</v>
      </c>
      <c r="D51" s="65">
        <f t="shared" ref="D51:E51" si="4">SUM(D30:D47)</f>
        <v>0</v>
      </c>
      <c r="E51" s="65">
        <f t="shared" si="4"/>
        <v>0</v>
      </c>
      <c r="F51" s="1"/>
      <c r="I51" s="1"/>
      <c r="J51" t="str">
        <f>"&lt;-- EXPAND TO SHOW OPTIONS / SERVICE HEAD"</f>
        <v>&lt;-- EXPAND TO SHOW OPTIONS / SERVICE HEAD</v>
      </c>
    </row>
    <row r="52" spans="1:32" ht="17.100000000000001" thickTop="1">
      <c r="AC52" s="285"/>
      <c r="AD52" s="285"/>
      <c r="AE52" s="285"/>
      <c r="AF52" s="285"/>
    </row>
    <row r="53" spans="1:32">
      <c r="A53" s="46" t="s">
        <v>1070</v>
      </c>
      <c r="B53" s="47" t="s">
        <v>1025</v>
      </c>
      <c r="C53" s="47" t="s">
        <v>1026</v>
      </c>
      <c r="D53" s="47" t="s">
        <v>1071</v>
      </c>
      <c r="E53" s="47" t="s">
        <v>1072</v>
      </c>
    </row>
    <row r="54" spans="1:32" outlineLevel="1">
      <c r="A54" s="49" t="s">
        <v>1035</v>
      </c>
      <c r="B54" s="50" t="str">
        <f>IF(AND(ISBLANK(B57),ISBLANK(B58),ISBLANK(B59)),"",
IF(B55="Upgrade Only","UPGRADE",
IF(RIGHT(B57,4)="(3P)","(3P) ","")&amp;
IF(ISBLANK(B57),"",VLOOKUP(B57,'Simeon Lights'!C:H,2,FALSE))&amp;
IF(ISBLANK(B58),""," / "&amp;VLOOKUP(B58,'Simeon Lights'!C:H,2,FALSE))&amp;
IF(ISBLANK(B59),""," / "&amp;VLOOKUP(B59,'Simeon Lights'!C:H,2,FALSE))))</f>
        <v>LED / FP</v>
      </c>
      <c r="C54" s="4">
        <f>IF(ISBLANK(B57),0,(VLOOKUP(B54,'Simeon Lights'!C:J,6,FALSE)))</f>
        <v>9790.383333333335</v>
      </c>
      <c r="D54" s="37">
        <f>IF(ISBLANK(B57),0,(VLOOKUP(B54,'Simeon Lights'!C:J,4,FALSE)))</f>
        <v>5874.2300000000005</v>
      </c>
      <c r="E54" s="37">
        <f>IF(ISBLANK(B57),0,(VLOOKUP(B54,'Simeon Lights'!C:J,5,FALSE)))</f>
        <v>2937.1150000000002</v>
      </c>
      <c r="G54" s="1"/>
      <c r="H54" s="1"/>
    </row>
    <row r="55" spans="1:32" outlineLevel="1">
      <c r="A55" s="55" t="s">
        <v>310</v>
      </c>
      <c r="B55" s="33" t="s">
        <v>327</v>
      </c>
      <c r="C55" s="4">
        <f>IF(ISBLANK(B55),0,VLOOKUP(B55,'Simeon Lights'!C:J,6,FALSE))</f>
        <v>0</v>
      </c>
      <c r="D55" s="37">
        <f>IF(ISBLANK(B55),0,VLOOKUP(B55,'Simeon Lights'!C:J,4,FALSE))</f>
        <v>0</v>
      </c>
      <c r="E55" s="37">
        <f>IF(ISBLANK(B55),0,VLOOKUP(B55,'Simeon Lights'!C:J,5,FALSE))</f>
        <v>0</v>
      </c>
    </row>
    <row r="56" spans="1:32" outlineLevel="1">
      <c r="A56" s="55" t="s">
        <v>1073</v>
      </c>
      <c r="B56" s="33" t="s">
        <v>580</v>
      </c>
      <c r="C56" s="4">
        <f>IF(ISBLANK(B56),0,VLOOKUP(B56,'Simeon Lights'!C:J,6,FALSE))</f>
        <v>0</v>
      </c>
      <c r="D56" s="37">
        <f>IF(ISBLANK(B56),0,VLOOKUP(B56,'Simeon Lights'!C:J,4,FALSE))</f>
        <v>0</v>
      </c>
      <c r="E56" s="37">
        <f>IF(ISBLANK(B56),0,VLOOKUP(B56,'Simeon Lights'!C:J,5,FALSE))</f>
        <v>0</v>
      </c>
    </row>
    <row r="57" spans="1:32" outlineLevel="1">
      <c r="A57" s="55" t="s">
        <v>1074</v>
      </c>
      <c r="B57" s="33" t="s">
        <v>546</v>
      </c>
      <c r="C57" s="4">
        <f>IF(ISBLANK(B57),0,VLOOKUP(B57,'Simeon Lights'!C:J,6,FALSE))</f>
        <v>32375.183333333331</v>
      </c>
      <c r="D57" s="37">
        <f>IF(ISBLANK(B57),0,VLOOKUP(B57,'Simeon Lights'!C:J,4,FALSE))</f>
        <v>19425.109999999997</v>
      </c>
      <c r="E57" s="37">
        <f>IF(ISBLANK(B57),0,VLOOKUP(B57,'Simeon Lights'!C:J,5,FALSE))</f>
        <v>9712.5549999999985</v>
      </c>
    </row>
    <row r="58" spans="1:32" outlineLevel="1">
      <c r="A58" s="55" t="s">
        <v>1075</v>
      </c>
      <c r="B58" s="33" t="s">
        <v>548</v>
      </c>
      <c r="C58" s="4">
        <f>IF(ISBLANK(B58),0,VLOOKUP(B58,'Simeon Lights'!C:J,6,FALSE))</f>
        <v>13583.949999999999</v>
      </c>
      <c r="D58" s="37">
        <f>IF(ISBLANK(B58),0,VLOOKUP(B58,'Simeon Lights'!C:J,4,FALSE))</f>
        <v>8150.369999999999</v>
      </c>
      <c r="E58" s="37">
        <f>IF(ISBLANK(B58),0,VLOOKUP(B58,'Simeon Lights'!C:J,5,FALSE))</f>
        <v>4075.1849999999995</v>
      </c>
    </row>
    <row r="59" spans="1:32" outlineLevel="1">
      <c r="A59" s="55" t="s">
        <v>1077</v>
      </c>
      <c r="B59" s="33"/>
      <c r="C59" s="4">
        <f>IF(ISBLANK(B59),0,VLOOKUP(B59,'Simeon Lights'!C:J,6,FALSE))</f>
        <v>0</v>
      </c>
      <c r="D59" s="37">
        <f>IF(ISBLANK(B59),0,VLOOKUP(B59,'Simeon Lights'!C:J,4,FALSE))</f>
        <v>0</v>
      </c>
      <c r="E59" s="37">
        <f>IF(ISBLANK(B59),0,VLOOKUP(B59,'Simeon Lights'!C:J,5,FALSE))</f>
        <v>0</v>
      </c>
    </row>
    <row r="60" spans="1:32" outlineLevel="1">
      <c r="A60" s="55" t="s">
        <v>589</v>
      </c>
      <c r="B60" s="34" t="s">
        <v>594</v>
      </c>
      <c r="C60" s="4">
        <f>IF(ISBLANK(B60),0,VLOOKUP(B60,'Simeon Lights'!C:J,6,FALSE))</f>
        <v>0</v>
      </c>
      <c r="D60" s="37">
        <f>IF(ISBLANK(B60),0,VLOOKUP(B60,'Simeon Lights'!C:J,4,FALSE))</f>
        <v>0</v>
      </c>
      <c r="E60" s="37">
        <f>IF(ISBLANK(B60),0,VLOOKUP(B60,'Simeon Lights'!C:J,5,FALSE))</f>
        <v>0</v>
      </c>
    </row>
    <row r="61" spans="1:32" outlineLevel="1">
      <c r="A61" s="55" t="s">
        <v>1078</v>
      </c>
      <c r="B61" s="34" t="s">
        <v>612</v>
      </c>
      <c r="C61" s="4">
        <f>IF(ISBLANK(B61),0,VLOOKUP(B61,'Simeon Lights'!C:J,6,FALSE))</f>
        <v>0</v>
      </c>
      <c r="D61" s="37">
        <f>IF(ISBLANK(B61),0,VLOOKUP(B61,'Simeon Lights'!C:J,4,FALSE))</f>
        <v>0</v>
      </c>
      <c r="E61" s="37">
        <f>IF(ISBLANK(B61),0,VLOOKUP(B61,'Simeon Lights'!C:J,5,FALSE))</f>
        <v>0</v>
      </c>
    </row>
    <row r="62" spans="1:32" outlineLevel="1">
      <c r="A62" s="55" t="s">
        <v>615</v>
      </c>
      <c r="B62" s="34" t="s">
        <v>618</v>
      </c>
      <c r="C62" s="4">
        <f>IF(ISBLANK(B62),0,VLOOKUP(B62,'Simeon Lights'!C:J,6,FALSE))</f>
        <v>0</v>
      </c>
      <c r="D62" s="37">
        <f>IF(ISBLANK(B62),0,VLOOKUP(B62,'Simeon Lights'!C:J,4,FALSE))</f>
        <v>0</v>
      </c>
      <c r="E62" s="37">
        <f>IF(ISBLANK(B62),0,VLOOKUP(B62,'Simeon Lights'!C:J,5,FALSE))</f>
        <v>0</v>
      </c>
    </row>
    <row r="63" spans="1:32" outlineLevel="1">
      <c r="A63" s="64" t="s">
        <v>1079</v>
      </c>
      <c r="B63" s="34" t="s">
        <v>628</v>
      </c>
      <c r="C63" s="4">
        <f>IF(ISBLANK(B63),0,VLOOKUP(B63,'Simeon Lights'!C:J,6,FALSE))</f>
        <v>440</v>
      </c>
      <c r="D63" s="37">
        <f>IF(ISBLANK(B63),0,VLOOKUP(B63,'Simeon Lights'!C:J,4,FALSE))</f>
        <v>264</v>
      </c>
      <c r="E63" s="37">
        <f>IF(ISBLANK(B63),0,VLOOKUP(B63,'Simeon Lights'!C:J,5,FALSE))</f>
        <v>132</v>
      </c>
    </row>
    <row r="64" spans="1:32" outlineLevel="1">
      <c r="C64" s="4"/>
      <c r="D64" s="4"/>
      <c r="E64" s="44"/>
    </row>
    <row r="65" spans="1:10" outlineLevel="1">
      <c r="A65" s="49" t="s">
        <v>1066</v>
      </c>
      <c r="B65" s="70" t="str">
        <f xml:space="preserve">
IF(AND(ISBLANK(B57),ISBLANK(B58),ISBLANK(B59)),"",
IF(AND(ISBLANK(B57),B58&lt;&gt;""),"ARM 1 MISSING",
IF(AND(ISBLANK(B57),B59&lt;&gt;""),"ARM 1 MISSING",
IF(ISBLANK(B58)&amp;ISBLANK(B59)="TRUEFALSE","ARM 2 MISSING",
IF(AND(B57&lt;&gt;"",B58="32in Flat Panel",B59&lt;&gt;""),"FP CANNOT BE MIDDLE ARM",
IF(OR(ISBLANK(B55),ISBLANK(B56),ISBLANK(B60),ISBLANK(B61),ISBLANK(B62),ISBLANK(B63)),"Missing Selections",""))))))</f>
        <v/>
      </c>
      <c r="C65" s="4"/>
      <c r="D65" s="4"/>
      <c r="E65" s="35"/>
    </row>
    <row r="66" spans="1:10" outlineLevel="1">
      <c r="B66" s="71"/>
      <c r="C66" s="47" t="s">
        <v>1026</v>
      </c>
      <c r="D66" s="47" t="s">
        <v>1071</v>
      </c>
      <c r="E66" s="47" t="s">
        <v>1072</v>
      </c>
      <c r="F66" s="1"/>
      <c r="I66" s="1"/>
    </row>
    <row r="67" spans="1:10" ht="17.100000000000001" thickBot="1">
      <c r="A67" s="69" t="s">
        <v>1068</v>
      </c>
      <c r="B67" s="72">
        <f>IF(OR(ISBLANK(B57),ISBLANK(B58)&amp;ISBLANK(B59)="TRUEFALSE"),"NO CONFIGURATION SELECTED",IF(B65&lt;&gt;"","ERROR IN CONFIGURATION",IF(B57="",0,SUM(C54:C63))))</f>
        <v>56189.516666666663</v>
      </c>
      <c r="C67" s="65">
        <f>SUM(C54:C65)</f>
        <v>56189.516666666663</v>
      </c>
      <c r="D67" s="65">
        <f t="shared" ref="D67:E67" si="5">SUM(D54:D65)</f>
        <v>33713.709999999992</v>
      </c>
      <c r="E67" s="65">
        <f t="shared" si="5"/>
        <v>16856.854999999996</v>
      </c>
      <c r="J67" t="str">
        <f>"&lt;-- EXPAND TO SHOW OPTIONS"</f>
        <v>&lt;-- EXPAND TO SHOW OPTIONS</v>
      </c>
    </row>
    <row r="68" spans="1:10" ht="17.100000000000001" thickTop="1">
      <c r="E68" s="1"/>
    </row>
    <row r="69" spans="1:10">
      <c r="A69" s="46"/>
      <c r="B69" s="47" t="s">
        <v>1080</v>
      </c>
      <c r="E69" s="47" t="s">
        <v>1085</v>
      </c>
    </row>
    <row r="70" spans="1:10" ht="17.100000000000001" thickBot="1">
      <c r="A70" s="69" t="s">
        <v>1082</v>
      </c>
      <c r="B70" s="72">
        <f>IF(OR(B27="Error in Configuration",B27="No Configuration Selected"),0,B27)+IF(OR(B51="Error in Configuration",B51="No Configuration Selected"),0,B51)+IF(OR(B67="Error in Configuration",B67="No Configuration Selected"),0,B67)</f>
        <v>56189.516666666663</v>
      </c>
      <c r="E70" s="65">
        <f>SUM(E67,E51,E27)</f>
        <v>16856.854999999996</v>
      </c>
      <c r="G70" s="1"/>
      <c r="H70" s="1"/>
    </row>
    <row r="71" spans="1:10" ht="17.100000000000001" thickTop="1"/>
  </sheetData>
  <sheetProtection sheet="1" formatColumns="0" formatRows="0" selectLockedCells="1"/>
  <mergeCells count="6">
    <mergeCell ref="AC52:AF52"/>
    <mergeCell ref="AC27:AF27"/>
    <mergeCell ref="L29:P29"/>
    <mergeCell ref="T29:X29"/>
    <mergeCell ref="L4:P4"/>
    <mergeCell ref="T4:X4"/>
  </mergeCells>
  <conditionalFormatting sqref="B25">
    <cfRule type="expression" dxfId="8" priority="2">
      <formula>$B$25&lt;&gt;""</formula>
    </cfRule>
  </conditionalFormatting>
  <conditionalFormatting sqref="B49">
    <cfRule type="expression" dxfId="7" priority="1">
      <formula>$B$25&lt;&gt;""</formula>
    </cfRule>
  </conditionalFormatting>
  <conditionalFormatting sqref="B65">
    <cfRule type="expression" dxfId="6" priority="3" stopIfTrue="1">
      <formula>$B$65&lt;&gt;""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 xr:uid="{FA921218-4A05-CA4D-9108-9E1CC3FC18AC}">
          <x14:formula1>
            <xm:f>'BnL Drop Downs'!$A$2:$A$11</xm:f>
          </x14:formula1>
          <xm:sqref>R5:R16 R30:R41</xm:sqref>
        </x14:dataValidation>
        <x14:dataValidation type="list" allowBlank="1" showInputMessage="1" showErrorMessage="1" xr:uid="{0547CD0E-6C9F-2C4C-AF5D-8E51C0121681}">
          <x14:formula1>
            <xm:f>'BnL Drop Downs'!$A$2:$A$14</xm:f>
          </x14:formula1>
          <xm:sqref>K5:K16 Q5:Q16 S5:S16 Y5:Y16 K30:K41 Q30:Q41 S30:S41 Y30:Y41</xm:sqref>
        </x14:dataValidation>
        <x14:dataValidation type="list" allowBlank="1" showInputMessage="1" showErrorMessage="1" xr:uid="{ADF4AA6C-E874-4842-B558-194313F28A72}">
          <x14:formula1>
            <xm:f>'Ondal Booms'!$B$77:$B$87</xm:f>
          </x14:formula1>
          <xm:sqref>B9 B33</xm:sqref>
        </x14:dataValidation>
        <x14:dataValidation type="list" allowBlank="1" showInputMessage="1" showErrorMessage="1" xr:uid="{0CCF774F-1FBE-074A-A50F-D928B9ABEE30}">
          <x14:formula1>
            <xm:f>'Ondal Booms'!$B$64:$B$74</xm:f>
          </x14:formula1>
          <xm:sqref>B8 B32</xm:sqref>
        </x14:dataValidation>
        <x14:dataValidation type="list" allowBlank="1" showInputMessage="1" showErrorMessage="1" xr:uid="{97C77B2D-E06C-E44A-B6CF-B9E5A2458C4F}">
          <x14:formula1>
            <xm:f>'Ondal Booms'!$B$55:$B$61</xm:f>
          </x14:formula1>
          <xm:sqref>B7 B31</xm:sqref>
        </x14:dataValidation>
        <x14:dataValidation type="list" allowBlank="1" showInputMessage="1" showErrorMessage="1" xr:uid="{B10794CF-0796-CC40-9CCE-D9BFC9A4219C}">
          <x14:formula1>
            <xm:f>'Ondal Booms'!$B$152:$B$157</xm:f>
          </x14:formula1>
          <xm:sqref>B16 B40</xm:sqref>
        </x14:dataValidation>
        <x14:dataValidation type="list" allowBlank="1" showInputMessage="1" showErrorMessage="1" xr:uid="{A17D852B-92E0-0C49-BEE0-C0B6F1838939}">
          <x14:formula1>
            <xm:f>'Simeon Lights'!$C$86:$C$93</xm:f>
          </x14:formula1>
          <xm:sqref>B63</xm:sqref>
        </x14:dataValidation>
        <x14:dataValidation type="list" allowBlank="1" showInputMessage="1" showErrorMessage="1" xr:uid="{5AAB1D0F-4564-0744-8ADD-287E67C4DB8F}">
          <x14:formula1>
            <xm:f>'Simeon Lights'!$C$74:$C$76</xm:f>
          </x14:formula1>
          <xm:sqref>B61</xm:sqref>
        </x14:dataValidation>
        <x14:dataValidation type="list" allowBlank="1" showInputMessage="1" showErrorMessage="1" xr:uid="{95463670-D50F-9D47-AFC8-C30113D77A71}">
          <x14:formula1>
            <xm:f>'Simeon Lights'!$C$62:$C$71</xm:f>
          </x14:formula1>
          <xm:sqref>B60</xm:sqref>
        </x14:dataValidation>
        <x14:dataValidation type="list" allowBlank="1" showInputMessage="1" showErrorMessage="1" xr:uid="{A4413E85-A43C-CC40-BAB7-82E20A6C753B}">
          <x14:formula1>
            <xm:f>'Simeon Lights'!$C$79:$C$83</xm:f>
          </x14:formula1>
          <xm:sqref>B62</xm:sqref>
        </x14:dataValidation>
        <x14:dataValidation type="list" allowBlank="1" showInputMessage="1" showErrorMessage="1" xr:uid="{5022EEE0-4C36-8D4E-9A7C-2CDB94C8A99C}">
          <x14:formula1>
            <xm:f>'Ondal Booms'!$B$48:$B$51</xm:f>
          </x14:formula1>
          <xm:sqref>B6</xm:sqref>
        </x14:dataValidation>
        <x14:dataValidation type="list" allowBlank="1" showInputMessage="1" showErrorMessage="1" xr:uid="{AD26838D-AC94-BB45-B715-FC4F22B3D787}">
          <x14:formula1>
            <xm:f>'Ondal Booms'!$B$100:$B$106</xm:f>
          </x14:formula1>
          <xm:sqref>B11 B35</xm:sqref>
        </x14:dataValidation>
        <x14:dataValidation type="list" allowBlank="1" showInputMessage="1" showErrorMessage="1" xr:uid="{665A247C-663C-034D-9528-6408D833AEC9}">
          <x14:formula1>
            <xm:f>'Ondal Booms'!$B$90:$B$96</xm:f>
          </x14:formula1>
          <xm:sqref>B10 B34</xm:sqref>
        </x14:dataValidation>
        <x14:dataValidation type="list" allowBlank="1" showInputMessage="1" showErrorMessage="1" xr:uid="{023B5DB5-08AF-9C46-BC4E-E396BAA84A27}">
          <x14:formula1>
            <xm:f>'Ondal Booms'!$B$3:$B$10</xm:f>
          </x14:formula1>
          <xm:sqref>B6:B9 B31:B33</xm:sqref>
        </x14:dataValidation>
        <x14:dataValidation type="list" allowBlank="1" showDropDown="1" showInputMessage="1" showErrorMessage="1" xr:uid="{50CBA2A4-A747-4F42-8A48-FAE9DB4C8D95}">
          <x14:formula1>
            <xm:f>'Ondal Booms'!$B$3:$B$10</xm:f>
          </x14:formula1>
          <xm:sqref>B5:B7 B30:B31</xm:sqref>
        </x14:dataValidation>
        <x14:dataValidation type="list" allowBlank="1" showInputMessage="1" showErrorMessage="1" xr:uid="{38972EAA-9A1A-8E47-9BC9-63A14A4EEDFD}">
          <x14:formula1>
            <xm:f>'Ondal Booms'!$B$169:$B$181</xm:f>
          </x14:formula1>
          <xm:sqref>B17:B23 B41:B47</xm:sqref>
        </x14:dataValidation>
        <x14:dataValidation type="list" allowBlank="1" showInputMessage="1" showErrorMessage="1" xr:uid="{D030687E-B94E-054E-B61B-9AABC861F506}">
          <x14:formula1>
            <xm:f>'Ondal Booms'!$B$145:$B$150</xm:f>
          </x14:formula1>
          <xm:sqref>B15 B39</xm:sqref>
        </x14:dataValidation>
        <x14:dataValidation type="list" allowBlank="1" showInputMessage="1" showErrorMessage="1" xr:uid="{E9223049-6CF1-0045-964C-952781DD86D1}">
          <x14:formula1>
            <xm:f>'Ondal Booms'!#REF!</xm:f>
          </x14:formula1>
          <xm:sqref>B15:B16 B39:B40</xm:sqref>
        </x14:dataValidation>
        <x14:dataValidation type="list" allowBlank="1" showInputMessage="1" showErrorMessage="1" xr:uid="{AAB6F513-9BD9-5C41-AA48-EC480EC9C584}">
          <x14:formula1>
            <xm:f>'Ondal Booms'!$B$159:$B$166</xm:f>
          </x14:formula1>
          <xm:sqref>B14 B38</xm:sqref>
        </x14:dataValidation>
        <x14:dataValidation type="list" allowBlank="1" showInputMessage="1" showErrorMessage="1" xr:uid="{BC230C74-C9FC-834F-919D-291818EBFC7A}">
          <x14:formula1>
            <xm:f>'Simeon Lights'!$C$49:$C$59</xm:f>
          </x14:formula1>
          <xm:sqref>B56</xm:sqref>
        </x14:dataValidation>
        <x14:dataValidation type="list" allowBlank="1" showInputMessage="1" showErrorMessage="1" xr:uid="{73FE04DF-05EC-B048-B3F4-C1C4021A68F2}">
          <x14:formula1>
            <xm:f>'Simeon Lights'!$C$103:$C$108</xm:f>
          </x14:formula1>
          <xm:sqref>B55</xm:sqref>
        </x14:dataValidation>
        <x14:dataValidation type="list" allowBlank="1" showInputMessage="1" showErrorMessage="1" xr:uid="{9E93EF78-B5E7-DD4A-A3D2-8AD434C3C9AA}">
          <x14:formula1>
            <xm:f>'Simeon Lights'!$C$27:$C$45</xm:f>
          </x14:formula1>
          <xm:sqref>B57:B59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7FBF9-B943-984B-9BB2-751550A749F8}">
  <dimension ref="A1:AH71"/>
  <sheetViews>
    <sheetView zoomScaleNormal="100" workbookViewId="0">
      <selection activeCell="B62" sqref="B62"/>
    </sheetView>
  </sheetViews>
  <sheetFormatPr defaultColWidth="11" defaultRowHeight="15.95" outlineLevelRow="1" outlineLevelCol="1"/>
  <cols>
    <col min="1" max="1" width="27.875" customWidth="1"/>
    <col min="2" max="2" width="43" customWidth="1"/>
    <col min="3" max="5" width="17.625" customWidth="1" outlineLevel="1"/>
    <col min="6" max="6" width="2.375" customWidth="1"/>
    <col min="7" max="7" width="18.375" customWidth="1" outlineLevel="1"/>
    <col min="8" max="8" width="8.375" customWidth="1" outlineLevel="1"/>
    <col min="9" max="9" width="2.375" customWidth="1"/>
    <col min="10" max="10" width="7" bestFit="1" customWidth="1"/>
    <col min="11" max="11" width="14" customWidth="1"/>
    <col min="12" max="13" width="3.375" customWidth="1"/>
    <col min="14" max="14" width="16.5" customWidth="1"/>
    <col min="15" max="16" width="3.375" customWidth="1"/>
    <col min="17" max="17" width="13.375" customWidth="1"/>
    <col min="18" max="18" width="3" customWidth="1"/>
    <col min="19" max="19" width="13" customWidth="1"/>
    <col min="20" max="21" width="3.375" customWidth="1"/>
    <col min="22" max="22" width="16.375" customWidth="1"/>
    <col min="23" max="24" width="3.375" customWidth="1"/>
    <col min="25" max="25" width="13.375" customWidth="1"/>
    <col min="26" max="26" width="13.375" style="40" customWidth="1"/>
    <col min="27" max="29" width="13.375" customWidth="1"/>
    <col min="30" max="30" width="13" customWidth="1"/>
    <col min="31" max="31" width="3.5" hidden="1" customWidth="1"/>
    <col min="32" max="33" width="4.375" hidden="1" customWidth="1"/>
    <col min="34" max="34" width="4.5" hidden="1" customWidth="1"/>
  </cols>
  <sheetData>
    <row r="1" spans="1:34">
      <c r="A1" s="46" t="s">
        <v>1099</v>
      </c>
      <c r="B1" s="47" t="s">
        <v>1022</v>
      </c>
    </row>
    <row r="2" spans="1:34">
      <c r="A2" s="48"/>
      <c r="B2" s="33"/>
    </row>
    <row r="3" spans="1:34">
      <c r="E3" s="37"/>
    </row>
    <row r="4" spans="1:34" ht="18.95">
      <c r="A4" s="46" t="s">
        <v>1024</v>
      </c>
      <c r="B4" s="47" t="s">
        <v>1025</v>
      </c>
      <c r="C4" s="47" t="s">
        <v>1026</v>
      </c>
      <c r="D4" s="47" t="s">
        <v>1027</v>
      </c>
      <c r="E4" s="47" t="s">
        <v>1028</v>
      </c>
      <c r="G4" s="79" t="s">
        <v>1029</v>
      </c>
      <c r="H4" s="80" t="s">
        <v>1030</v>
      </c>
      <c r="J4" s="83" t="s">
        <v>1031</v>
      </c>
      <c r="K4" s="84" t="s">
        <v>1032</v>
      </c>
      <c r="L4" s="282" t="s">
        <v>1033</v>
      </c>
      <c r="M4" s="282"/>
      <c r="N4" s="282"/>
      <c r="O4" s="282"/>
      <c r="P4" s="282"/>
      <c r="Q4" s="80" t="s">
        <v>1032</v>
      </c>
      <c r="R4" s="36"/>
      <c r="S4" s="79" t="s">
        <v>1032</v>
      </c>
      <c r="T4" s="282" t="s">
        <v>1034</v>
      </c>
      <c r="U4" s="282"/>
      <c r="V4" s="282"/>
      <c r="W4" s="282"/>
      <c r="X4" s="282"/>
      <c r="Y4" s="80" t="s">
        <v>1032</v>
      </c>
      <c r="AE4">
        <f>COUNTIF(K5,"(2) Duplexes")+COUNTIF(Y5,"(2) Duplexes")</f>
        <v>0</v>
      </c>
      <c r="AF4">
        <f>COUNTIF(Q5:S5,"(2) Duplexes")</f>
        <v>0</v>
      </c>
      <c r="AG4">
        <f>COUNTIF(K5,"(3) Duplexes")+COUNTIF(Y5,"(3) Duplexes")</f>
        <v>0</v>
      </c>
      <c r="AH4">
        <f>COUNTIF(Q5:S5,"(3) Duplexes")</f>
        <v>0</v>
      </c>
    </row>
    <row r="5" spans="1:34" outlineLevel="1">
      <c r="A5" s="49" t="s">
        <v>1035</v>
      </c>
      <c r="B5" s="50" t="str">
        <f>IF(OR(ISBLANK(B8),ISBLANK(B9)),"",IF(ISBLANK(B9),0,(VLOOKUP(B9,'Ondal Booms'!B:F,5,FALSE)))&amp;IF(ISBLANK(B8),0,(VLOOKUP(B8,'Ondal Booms'!B:F,5,FALSE))))</f>
        <v/>
      </c>
      <c r="C5" s="4">
        <f>IF(OR(ISBLANK(B5),B5=""),0,VLOOKUP(B5,'Ondal Booms'!B:G,4,FALSE))</f>
        <v>0</v>
      </c>
      <c r="D5" s="37">
        <f>IF(OR(ISBLANK(B5),B5=""),0,VLOOKUP(B5,'Ondal Booms'!B:G,2,FALSE))</f>
        <v>0</v>
      </c>
      <c r="E5" s="35">
        <f>IF(OR(ISBLANK(B5),B5=""),0,VLOOKUP(B5,'Ondal Booms'!B:G,3,FALSE))</f>
        <v>0</v>
      </c>
      <c r="G5" s="48" t="s">
        <v>1036</v>
      </c>
      <c r="H5" s="77">
        <f>COUNTIF(K5:Y14,"(2) Duplexes")*2+COUNTIF(K5:Y14,"(3) Duplexes")*3</f>
        <v>0</v>
      </c>
      <c r="J5" s="67" t="s">
        <v>1037</v>
      </c>
      <c r="K5" s="82"/>
      <c r="L5" s="56"/>
      <c r="M5" s="57"/>
      <c r="N5" s="58"/>
      <c r="O5" s="59"/>
      <c r="P5" s="57"/>
      <c r="Q5" s="82"/>
      <c r="S5" s="82"/>
      <c r="T5" s="59"/>
      <c r="U5" s="57"/>
      <c r="V5" s="58"/>
      <c r="W5" s="59"/>
      <c r="X5" s="57"/>
      <c r="Y5" s="82"/>
      <c r="Z5" s="40">
        <f>15-COUNTIFS(K5:Y5,"")</f>
        <v>0</v>
      </c>
    </row>
    <row r="6" spans="1:34" ht="17.100000000000001" outlineLevel="1" thickBot="1">
      <c r="A6" s="55" t="s">
        <v>310</v>
      </c>
      <c r="B6" s="7"/>
      <c r="C6" s="4">
        <f>IF(OR(ISBLANK(B6),B6=""),0,VLOOKUP(B6,'Ondal Booms'!B:G,4,FALSE))</f>
        <v>0</v>
      </c>
      <c r="D6" s="37">
        <f>IF(OR(ISBLANK(B6),B6=""),0,VLOOKUP(B6,'Ondal Booms'!B:G,2,FALSE))</f>
        <v>0</v>
      </c>
      <c r="E6" s="35">
        <f>IF(OR(ISBLANK(B6),B6=""),0,VLOOKUP(B6,'Ondal Booms'!B:G,3,FALSE))</f>
        <v>0</v>
      </c>
      <c r="J6" s="55" t="s">
        <v>1038</v>
      </c>
      <c r="K6" s="33"/>
      <c r="L6" s="56"/>
      <c r="M6" s="57"/>
      <c r="N6" s="58"/>
      <c r="O6" s="59"/>
      <c r="P6" s="57"/>
      <c r="Q6" s="33"/>
      <c r="S6" s="33"/>
      <c r="T6" s="59"/>
      <c r="U6" s="57"/>
      <c r="V6" s="58"/>
      <c r="W6" s="59"/>
      <c r="X6" s="57"/>
      <c r="Y6" s="33"/>
      <c r="Z6" s="40">
        <f t="shared" ref="Z6:Z14" si="0">15-COUNTIFS(K6:Y6,"")</f>
        <v>0</v>
      </c>
      <c r="AE6">
        <f>COUNTIF(K7,"(2) Duplexes")+COUNTIF(Y7,"(2) Duplexes")</f>
        <v>0</v>
      </c>
      <c r="AF6">
        <f>COUNTIF(Q7:S7,"(2) Duplexes")</f>
        <v>0</v>
      </c>
      <c r="AG6">
        <f>COUNTIF(K7,"(3) Duplexes")+COUNTIF(Y7,"(3) Duplexes")</f>
        <v>0</v>
      </c>
      <c r="AH6">
        <f>COUNTIF(Q7:S7,"(3) Duplexes")</f>
        <v>0</v>
      </c>
    </row>
    <row r="7" spans="1:34" outlineLevel="1">
      <c r="A7" s="55" t="s">
        <v>354</v>
      </c>
      <c r="B7" s="45"/>
      <c r="C7" s="4">
        <f>IF(OR(ISBLANK(B7),B7=""),0,VLOOKUP(B7,'Ondal Booms'!B:G,4,FALSE))</f>
        <v>0</v>
      </c>
      <c r="D7" s="37">
        <f>IF(OR(ISBLANK(B7),B7=""),0,VLOOKUP(B7,'Ondal Booms'!B:G,2,FALSE))</f>
        <v>0</v>
      </c>
      <c r="E7" s="35">
        <f>IF(OR(ISBLANK(B7),B7=""),0,VLOOKUP(B7,'Ondal Booms'!B:G,3,FALSE))</f>
        <v>0</v>
      </c>
      <c r="G7" s="79" t="s">
        <v>1039</v>
      </c>
      <c r="H7" s="80" t="s">
        <v>1030</v>
      </c>
      <c r="J7" s="55" t="s">
        <v>1040</v>
      </c>
      <c r="K7" s="33"/>
      <c r="L7" s="52"/>
      <c r="M7" s="53"/>
      <c r="N7" s="58"/>
      <c r="O7" s="54"/>
      <c r="P7" s="53"/>
      <c r="Q7" s="33"/>
      <c r="S7" s="33"/>
      <c r="T7" s="54"/>
      <c r="U7" s="53"/>
      <c r="V7" s="58"/>
      <c r="W7" s="54"/>
      <c r="X7" s="53"/>
      <c r="Y7" s="33"/>
      <c r="Z7" s="40">
        <f t="shared" si="0"/>
        <v>0</v>
      </c>
    </row>
    <row r="8" spans="1:34" ht="17.100000000000001" outlineLevel="1" thickBot="1">
      <c r="A8" s="55" t="s">
        <v>355</v>
      </c>
      <c r="B8" s="8"/>
      <c r="C8" s="4">
        <f>IF(OR(ISBLANK(B8),B8=""),0,VLOOKUP(B8,'Ondal Booms'!B:G,4,FALSE))</f>
        <v>0</v>
      </c>
      <c r="D8" s="37">
        <f>IF(OR(ISBLANK(B8),B8=""),0,VLOOKUP(B8,'Ondal Booms'!B:G,2,FALSE))</f>
        <v>0</v>
      </c>
      <c r="E8" s="35">
        <f>IF(OR(ISBLANK(B8),B8=""),0,VLOOKUP(B8,'Ondal Booms'!B:G,3,FALSE))</f>
        <v>0</v>
      </c>
      <c r="G8" s="55" t="s">
        <v>1041</v>
      </c>
      <c r="H8" s="78">
        <f>(COUNTIF(K5:Y14,"Data"))</f>
        <v>0</v>
      </c>
      <c r="J8" s="55" t="s">
        <v>1042</v>
      </c>
      <c r="K8" s="33"/>
      <c r="L8" s="56"/>
      <c r="M8" s="57"/>
      <c r="N8" s="58"/>
      <c r="O8" s="59"/>
      <c r="P8" s="57"/>
      <c r="Q8" s="33"/>
      <c r="S8" s="33"/>
      <c r="T8" s="59"/>
      <c r="U8" s="57"/>
      <c r="V8" s="58"/>
      <c r="W8" s="59"/>
      <c r="X8" s="57"/>
      <c r="Y8" s="33"/>
      <c r="Z8" s="40">
        <f t="shared" si="0"/>
        <v>0</v>
      </c>
      <c r="AE8">
        <f>COUNTIF(K9,"(2) Duplexes")+COUNTIF(Y9,"(2) Duplexes")</f>
        <v>0</v>
      </c>
      <c r="AF8">
        <f>COUNTIF(Q9:S9,"(2) Duplexes")</f>
        <v>0</v>
      </c>
      <c r="AG8">
        <f>COUNTIF(K9,"(3) Duplexes")+COUNTIF(Y9,"(3) Duplexes")</f>
        <v>0</v>
      </c>
      <c r="AH8">
        <f>COUNTIF(Q9:S9,"(3) Duplexes")</f>
        <v>0</v>
      </c>
    </row>
    <row r="9" spans="1:34" outlineLevel="1">
      <c r="A9" s="55" t="s">
        <v>356</v>
      </c>
      <c r="B9" s="7"/>
      <c r="C9" s="4">
        <f>IF(OR(ISBLANK(B9),B9=""),0,VLOOKUP(B9,'Ondal Booms'!B:G,4,FALSE))</f>
        <v>0</v>
      </c>
      <c r="D9" s="37">
        <f>IF(OR(ISBLANK(B9),B9=""),0,VLOOKUP(B9,'Ondal Booms'!B:G,2,FALSE))</f>
        <v>0</v>
      </c>
      <c r="E9" s="35">
        <f>IF(OR(ISBLANK(B9),B9=""),0,VLOOKUP(B9,'Ondal Booms'!B:G,3,FALSE))</f>
        <v>0</v>
      </c>
      <c r="G9" s="64" t="s">
        <v>1043</v>
      </c>
      <c r="H9" s="77">
        <f>(COUNTIF(K5:Y14,"Storz 4in1"))</f>
        <v>0</v>
      </c>
      <c r="J9" s="55" t="s">
        <v>1044</v>
      </c>
      <c r="K9" s="33"/>
      <c r="L9" s="52"/>
      <c r="M9" s="53"/>
      <c r="N9" s="58"/>
      <c r="O9" s="54"/>
      <c r="P9" s="53"/>
      <c r="Q9" s="33"/>
      <c r="S9" s="33"/>
      <c r="T9" s="54"/>
      <c r="U9" s="53"/>
      <c r="V9" s="58"/>
      <c r="W9" s="54"/>
      <c r="X9" s="53"/>
      <c r="Y9" s="33"/>
      <c r="Z9" s="40">
        <f t="shared" si="0"/>
        <v>0</v>
      </c>
    </row>
    <row r="10" spans="1:34" ht="17.100000000000001" outlineLevel="1" thickBot="1">
      <c r="A10" s="55" t="s">
        <v>418</v>
      </c>
      <c r="B10" s="7"/>
      <c r="C10" s="4">
        <f>IF(OR(ISBLANK(B10),B10=""),0,VLOOKUP(B10,'Ondal Booms'!B:G,4,FALSE))</f>
        <v>0</v>
      </c>
      <c r="D10" s="37">
        <f>IF(OR(ISBLANK(B10),B10=""),0,VLOOKUP(B10,'Ondal Booms'!B:G,2,FALSE))</f>
        <v>0</v>
      </c>
      <c r="E10" s="35">
        <f>IF(OR(ISBLANK(B10),B10=""),0,VLOOKUP(B10,'Ondal Booms'!B:G,3,FALSE))</f>
        <v>0</v>
      </c>
      <c r="J10" s="55" t="s">
        <v>1045</v>
      </c>
      <c r="K10" s="33"/>
      <c r="L10" s="60"/>
      <c r="M10" s="61"/>
      <c r="N10" s="58"/>
      <c r="O10" s="62"/>
      <c r="P10" s="61"/>
      <c r="Q10" s="33"/>
      <c r="S10" s="33"/>
      <c r="T10" s="62"/>
      <c r="U10" s="61"/>
      <c r="V10" s="58"/>
      <c r="W10" s="62"/>
      <c r="X10" s="61"/>
      <c r="Y10" s="33"/>
      <c r="Z10" s="40">
        <f>15-COUNTIFS(K10:Y10,"")</f>
        <v>0</v>
      </c>
      <c r="AE10">
        <f>COUNTIF(K11,"(2) Duplexes")+COUNTIF(Y11,"(2) Duplexes")</f>
        <v>0</v>
      </c>
      <c r="AF10">
        <f>COUNTIF(Q11:S11,"(2) Duplexes")</f>
        <v>0</v>
      </c>
      <c r="AG10">
        <f>COUNTIF(K11,"(3) Duplexes")+COUNTIF(Y11,"(3) Duplexes")</f>
        <v>0</v>
      </c>
      <c r="AH10">
        <f>COUNTIF(Q11:S11,"(3) Duplexes")</f>
        <v>0</v>
      </c>
    </row>
    <row r="11" spans="1:34" outlineLevel="1">
      <c r="A11" s="55" t="s">
        <v>357</v>
      </c>
      <c r="B11" s="7"/>
      <c r="C11" s="4">
        <f>IF(OR(ISBLANK(B11),B11=""),0,VLOOKUP(B11,'Ondal Booms'!B:G,4,FALSE))</f>
        <v>0</v>
      </c>
      <c r="D11" s="37">
        <f>IF(OR(ISBLANK(B11),B11=""),0,VLOOKUP(B11,'Ondal Booms'!B:G,2,FALSE))</f>
        <v>0</v>
      </c>
      <c r="E11" s="35">
        <f>IF(OR(ISBLANK(B11),B11=""),0,VLOOKUP(B11,'Ondal Booms'!B:G,3,FALSE))</f>
        <v>0</v>
      </c>
      <c r="G11" s="79" t="s">
        <v>1046</v>
      </c>
      <c r="H11" s="80" t="s">
        <v>1030</v>
      </c>
      <c r="J11" s="55" t="s">
        <v>1047</v>
      </c>
      <c r="K11" s="33"/>
      <c r="L11" s="56"/>
      <c r="M11" s="57"/>
      <c r="N11" s="58"/>
      <c r="O11" s="59"/>
      <c r="P11" s="57"/>
      <c r="Q11" s="33"/>
      <c r="S11" s="33"/>
      <c r="T11" s="59"/>
      <c r="U11" s="57"/>
      <c r="V11" s="58"/>
      <c r="W11" s="59"/>
      <c r="X11" s="57"/>
      <c r="Y11" s="33"/>
      <c r="Z11" s="40">
        <f t="shared" si="0"/>
        <v>0</v>
      </c>
    </row>
    <row r="12" spans="1:34" ht="17.100000000000001" outlineLevel="1" thickBot="1">
      <c r="A12" s="49" t="s">
        <v>99</v>
      </c>
      <c r="B12" s="50" t="str">
        <f>IF(OR(H5=0,ISBLANK(H5)),"",H5&amp;" Duplexes")</f>
        <v/>
      </c>
      <c r="C12" s="4">
        <f>IF(OR(ISBLANK(B12),B12=""),0,VLOOKUP(B12,'Ondal Booms'!B:G,4,FALSE))</f>
        <v>0</v>
      </c>
      <c r="D12" s="37">
        <f>IF(OR(ISBLANK(B12),B12=""),0,VLOOKUP(B12,'Ondal Booms'!B:G,2,FALSE))</f>
        <v>0</v>
      </c>
      <c r="E12" s="35">
        <f>IF(OR(ISBLANK(B12),B12=""),0,VLOOKUP(B12,'Ondal Booms'!B:G,3,FALSE))</f>
        <v>0</v>
      </c>
      <c r="G12" s="55" t="s">
        <v>1048</v>
      </c>
      <c r="H12" s="78">
        <f>(COUNTIF(K5:Y14,"Oxygen"))</f>
        <v>0</v>
      </c>
      <c r="J12" s="55" t="s">
        <v>1049</v>
      </c>
      <c r="K12" s="33"/>
      <c r="L12" s="60"/>
      <c r="M12" s="61"/>
      <c r="N12" s="58"/>
      <c r="O12" s="62"/>
      <c r="P12" s="61"/>
      <c r="Q12" s="33"/>
      <c r="S12" s="33"/>
      <c r="T12" s="62"/>
      <c r="U12" s="61"/>
      <c r="V12" s="58"/>
      <c r="W12" s="62"/>
      <c r="X12" s="61"/>
      <c r="Y12" s="33"/>
      <c r="Z12" s="40">
        <f t="shared" si="0"/>
        <v>0</v>
      </c>
      <c r="AE12">
        <f>COUNTIF(K13,"(2) Duplexes")+COUNTIF(Y13,"(2) Duplexes")</f>
        <v>0</v>
      </c>
      <c r="AF12">
        <f>COUNTIF(Q13:S13,"(2) Duplexes")</f>
        <v>0</v>
      </c>
      <c r="AG12">
        <f>COUNTIF(K13,"(3) Duplexes")+COUNTIF(Y13,"(3) Duplexes")</f>
        <v>0</v>
      </c>
      <c r="AH12">
        <f>COUNTIF(Q13:S13,"(3) Duplexes")</f>
        <v>0</v>
      </c>
    </row>
    <row r="13" spans="1:34" outlineLevel="1">
      <c r="A13" s="49" t="s">
        <v>95</v>
      </c>
      <c r="B13" s="50" t="str">
        <f>IF(OR(SUM(H12:H18)=0,ISBLANK(SUM(H12:H18))),"",SUM(H12:H18)&amp;" Outlets")</f>
        <v/>
      </c>
      <c r="C13" s="4">
        <f>IF(OR(ISBLANK(B13),B13=""),0,VLOOKUP(B13,'Ondal Booms'!B:G,4,FALSE))</f>
        <v>0</v>
      </c>
      <c r="D13" s="37">
        <f>IF(OR(ISBLANK(B13),B13=""),0,VLOOKUP(B13,'Ondal Booms'!B:G,2,FALSE))</f>
        <v>0</v>
      </c>
      <c r="E13" s="35">
        <f>IF(OR(ISBLANK(B13),B13=""),0,VLOOKUP(B13,'Ondal Booms'!B:G,3,FALSE))</f>
        <v>0</v>
      </c>
      <c r="G13" s="55" t="s">
        <v>1050</v>
      </c>
      <c r="H13" s="77">
        <f>COUNTIF(K5:Y14,"Medical Air")</f>
        <v>0</v>
      </c>
      <c r="J13" s="55" t="s">
        <v>1051</v>
      </c>
      <c r="K13" s="33"/>
      <c r="L13" s="56"/>
      <c r="M13" s="57"/>
      <c r="N13" s="58"/>
      <c r="O13" s="59"/>
      <c r="P13" s="57"/>
      <c r="Q13" s="33"/>
      <c r="S13" s="33"/>
      <c r="T13" s="59"/>
      <c r="U13" s="57"/>
      <c r="V13" s="58"/>
      <c r="W13" s="59"/>
      <c r="X13" s="57"/>
      <c r="Y13" s="33"/>
      <c r="Z13" s="40">
        <f t="shared" si="0"/>
        <v>0</v>
      </c>
    </row>
    <row r="14" spans="1:34" ht="17.100000000000001" outlineLevel="1" thickBot="1">
      <c r="A14" s="55" t="s">
        <v>1052</v>
      </c>
      <c r="B14" s="45"/>
      <c r="C14" s="4">
        <f>IF(OR(ISBLANK(B14),B14=""),0,VLOOKUP(B14,'Ondal Booms'!B:G,4,FALSE))</f>
        <v>0</v>
      </c>
      <c r="D14" s="37">
        <f>IF(OR(ISBLANK(B14),B14=""),0,VLOOKUP(B14,'Ondal Booms'!B:G,2,FALSE))</f>
        <v>0</v>
      </c>
      <c r="E14" s="35">
        <f>IF(OR(ISBLANK(B14),B14=""),0,VLOOKUP(B14,'Ondal Booms'!B:G,3,FALSE))</f>
        <v>0</v>
      </c>
      <c r="G14" s="55" t="s">
        <v>1053</v>
      </c>
      <c r="H14" s="77">
        <f>COUNTIF(K5:Y14,"Nitrous Oxide")</f>
        <v>0</v>
      </c>
      <c r="J14" s="64" t="s">
        <v>1054</v>
      </c>
      <c r="K14" s="33"/>
      <c r="L14" s="60"/>
      <c r="M14" s="61"/>
      <c r="N14" s="63"/>
      <c r="O14" s="62"/>
      <c r="P14" s="61"/>
      <c r="Q14" s="33"/>
      <c r="S14" s="33"/>
      <c r="T14" s="62"/>
      <c r="U14" s="61"/>
      <c r="V14" s="63"/>
      <c r="W14" s="62"/>
      <c r="X14" s="61"/>
      <c r="Y14" s="33"/>
      <c r="Z14" s="40">
        <f t="shared" si="0"/>
        <v>0</v>
      </c>
    </row>
    <row r="15" spans="1:34" outlineLevel="1">
      <c r="A15" s="55" t="s">
        <v>454</v>
      </c>
      <c r="B15" s="45"/>
      <c r="C15" s="4">
        <f>IF(OR(ISBLANK(B15),B15=""),0,VLOOKUP(B15,'Ondal Booms'!B:G,4,FALSE))</f>
        <v>0</v>
      </c>
      <c r="D15" s="37">
        <f>IF(OR(ISBLANK(B15),B15=""),0,VLOOKUP(B15,'Ondal Booms'!B:G,2,FALSE))</f>
        <v>0</v>
      </c>
      <c r="E15" s="35">
        <f>IF(OR(ISBLANK(B15),B15=""),0,VLOOKUP(B15,'Ondal Booms'!B:G,3,FALSE))</f>
        <v>0</v>
      </c>
      <c r="G15" s="55" t="s">
        <v>1055</v>
      </c>
      <c r="H15" s="77">
        <f>COUNTIF(K5:Y14,"WAGD")</f>
        <v>0</v>
      </c>
    </row>
    <row r="16" spans="1:34" outlineLevel="1">
      <c r="A16" s="55" t="s">
        <v>455</v>
      </c>
      <c r="B16" s="45"/>
      <c r="C16" s="4">
        <f>IF(OR(ISBLANK(B16),B16=""),0,VLOOKUP(B16,'Ondal Booms'!B:G,4,FALSE))</f>
        <v>0</v>
      </c>
      <c r="D16" s="37">
        <f>IF(OR(ISBLANK(B16),B16=""),0,VLOOKUP(B16,'Ondal Booms'!B:G,2,FALSE))</f>
        <v>0</v>
      </c>
      <c r="E16" s="35">
        <f>IF(OR(ISBLANK(B16),B16=""),0,VLOOKUP(B16,'Ondal Booms'!B:G,3,FALSE))</f>
        <v>0</v>
      </c>
      <c r="G16" s="55" t="s">
        <v>1056</v>
      </c>
      <c r="H16" s="77">
        <f>COUNTIF(K5:Y14,"Vacuum")</f>
        <v>0</v>
      </c>
    </row>
    <row r="17" spans="1:34" outlineLevel="1">
      <c r="A17" s="55" t="s">
        <v>1057</v>
      </c>
      <c r="B17" s="45"/>
      <c r="C17" s="4">
        <f>IF(OR(ISBLANK(B17),B17=""),0,VLOOKUP(B17,'Ondal Booms'!B:G,4,FALSE))</f>
        <v>0</v>
      </c>
      <c r="D17" s="37">
        <f>IF(OR(ISBLANK(B17),B17=""),0,VLOOKUP(B17,'Ondal Booms'!B:G,2,FALSE))</f>
        <v>0</v>
      </c>
      <c r="E17" s="35">
        <f>IF(OR(ISBLANK(B17),B17=""),0,VLOOKUP(B17,'Ondal Booms'!B:G,3,FALSE))</f>
        <v>0</v>
      </c>
      <c r="G17" s="55" t="s">
        <v>1058</v>
      </c>
      <c r="H17" s="77">
        <f>COUNTIF(K5:Y14,"Nitrogen")</f>
        <v>0</v>
      </c>
    </row>
    <row r="18" spans="1:34" outlineLevel="1">
      <c r="A18" s="55" t="s">
        <v>1059</v>
      </c>
      <c r="B18" s="45"/>
      <c r="C18" s="4">
        <f>IF(OR(ISBLANK(B18),B18=""),0,VLOOKUP(B18,'Ondal Booms'!B:G,4,FALSE))</f>
        <v>0</v>
      </c>
      <c r="D18" s="37">
        <f>IF(OR(ISBLANK(B18),B18=""),0,VLOOKUP(B18,'Ondal Booms'!B:G,2,FALSE))</f>
        <v>0</v>
      </c>
      <c r="E18" s="35">
        <f>IF(OR(ISBLANK(B18),B18=""),0,VLOOKUP(B18,'Ondal Booms'!B:G,3,FALSE))</f>
        <v>0</v>
      </c>
      <c r="G18" s="64" t="s">
        <v>1060</v>
      </c>
      <c r="H18" s="77">
        <f>COUNTIF(K5:Y14,"Carbon Dioxide")</f>
        <v>0</v>
      </c>
    </row>
    <row r="19" spans="1:34" outlineLevel="1">
      <c r="A19" s="55" t="s">
        <v>1061</v>
      </c>
      <c r="B19" s="45"/>
      <c r="C19" s="4">
        <f>IF(OR(ISBLANK(B19),B19=""),0,VLOOKUP(B19,'Ondal Booms'!B:G,4,FALSE))</f>
        <v>0</v>
      </c>
      <c r="D19" s="37">
        <f>IF(OR(ISBLANK(B19),B19=""),0,VLOOKUP(B19,'Ondal Booms'!B:G,2,FALSE))</f>
        <v>0</v>
      </c>
      <c r="E19" s="35">
        <f>IF(OR(ISBLANK(B19),B19=""),0,VLOOKUP(B19,'Ondal Booms'!B:G,3,FALSE))</f>
        <v>0</v>
      </c>
      <c r="H19" s="36"/>
    </row>
    <row r="20" spans="1:34" outlineLevel="1">
      <c r="A20" s="55" t="s">
        <v>1062</v>
      </c>
      <c r="B20" s="45"/>
      <c r="C20" s="4">
        <f>IF(OR(ISBLANK(B20),B20=""),0,VLOOKUP(B20,'Ondal Booms'!B:G,4,FALSE))</f>
        <v>0</v>
      </c>
      <c r="D20" s="37">
        <f>IF(OR(ISBLANK(B20),B20=""),0,VLOOKUP(B20,'Ondal Booms'!B:G,2,FALSE))</f>
        <v>0</v>
      </c>
      <c r="E20" s="35">
        <f>IF(OR(ISBLANK(B20),B20=""),0,VLOOKUP(B20,'Ondal Booms'!B:G,3,FALSE))</f>
        <v>0</v>
      </c>
    </row>
    <row r="21" spans="1:34" outlineLevel="1">
      <c r="A21" s="55" t="s">
        <v>1063</v>
      </c>
      <c r="B21" s="45"/>
      <c r="C21" s="4">
        <f>IF(OR(ISBLANK(B21),B21=""),0,VLOOKUP(B21,'Ondal Booms'!B:G,4,FALSE))</f>
        <v>0</v>
      </c>
      <c r="D21" s="37">
        <f>IF(OR(ISBLANK(B21),B21=""),0,VLOOKUP(B21,'Ondal Booms'!B:G,2,FALSE))</f>
        <v>0</v>
      </c>
      <c r="E21" s="35">
        <f>IF(OR(ISBLANK(B21),B21=""),0,VLOOKUP(B21,'Ondal Booms'!B:G,3,FALSE))</f>
        <v>0</v>
      </c>
      <c r="G21" s="37"/>
    </row>
    <row r="22" spans="1:34" outlineLevel="1">
      <c r="A22" s="55" t="s">
        <v>1064</v>
      </c>
      <c r="B22" s="45"/>
      <c r="C22" s="4">
        <f>IF(OR(ISBLANK(B22),B22=""),0,VLOOKUP(B22,'Ondal Booms'!B:G,4,FALSE))</f>
        <v>0</v>
      </c>
      <c r="D22" s="37">
        <f>IF(OR(ISBLANK(B22),B22=""),0,VLOOKUP(B22,'Ondal Booms'!B:G,2,FALSE))</f>
        <v>0</v>
      </c>
      <c r="E22" s="35">
        <f>IF(OR(ISBLANK(B22),B22=""),0,VLOOKUP(B22,'Ondal Booms'!B:G,3,FALSE))</f>
        <v>0</v>
      </c>
      <c r="G22" s="37"/>
    </row>
    <row r="23" spans="1:34" outlineLevel="1">
      <c r="A23" s="64" t="s">
        <v>1065</v>
      </c>
      <c r="B23" s="45"/>
      <c r="C23" s="4">
        <f>IF(OR(ISBLANK(B23),B23=""),0,VLOOKUP(B23,'Ondal Booms'!B:G,4,FALSE))</f>
        <v>0</v>
      </c>
      <c r="D23" s="37">
        <f>IF(OR(ISBLANK(B23),B23=""),0,VLOOKUP(B23,'Ondal Booms'!B:G,2,FALSE))</f>
        <v>0</v>
      </c>
      <c r="E23" s="35">
        <f>IF(OR(ISBLANK(B23),B23=""),0,VLOOKUP(B23,'Ondal Booms'!B:G,3,FALSE))</f>
        <v>0</v>
      </c>
    </row>
    <row r="24" spans="1:34" outlineLevel="1">
      <c r="C24" s="4"/>
      <c r="E24" s="37"/>
    </row>
    <row r="25" spans="1:34" outlineLevel="1">
      <c r="A25" s="49" t="s">
        <v>1066</v>
      </c>
      <c r="B25" s="70" t="str">
        <f>IF(OR(ISBLANK(B5),B5=""),"",
IF(OR(AND(B11="200mm Service Head",SUM(Z7:Z14)&gt;0),AND(B11="400mm Service Head",SUM(Z9:Z14)&gt;0),AND(B11="600mm Service Head",SUM(Z11:Z14)&gt;0),AND(B11="800mm Service Head",SUM(Z13:Z14)&gt;0)),"Select Longer Service Head or Remove Services",
IF(AND(RIGHT(B9,2)="XL",RIGHT(B8,2)&lt;&gt;"XL"),"BOTTOM XL ARM REQUIRES TOP XL ARM",
IF(OR(ISBLANK(B6),ISBLANK(B7),ISBLANK(B8),ISBLANK(B9),ISBLANK(B10),ISBLANK(B11),ISBLANK(B15),ISBLANK(B16),ISBLANK(B14)),"Missing Selections for Configuration",
IF(AND(B11="Large Monitor Carrier",B9&lt;&gt;"Spring Articulating"),"Large Monitor Requires Spring Bottom Arm",
IF(OR(AND(RIGHT(B7,2)="XL",RIGHT(B8,2)&lt;&gt;"XL"),AND(RIGHT(B8,2)="XL",RIGHT(B7,2)&lt;&gt;"XL")),"Both Top Arm and Ceiling Flange Must Be XL",
IF(COUNTIF(AE4:AH12,1)&gt;1,"Mismatch Electrical Configuration",
""))))))
)</f>
        <v/>
      </c>
      <c r="C25" s="4"/>
      <c r="D25" s="4"/>
      <c r="E25" s="35"/>
    </row>
    <row r="26" spans="1:34" outlineLevel="1">
      <c r="B26" s="1"/>
      <c r="C26" s="47" t="s">
        <v>1026</v>
      </c>
      <c r="D26" s="47" t="s">
        <v>1027</v>
      </c>
      <c r="E26" s="47" t="s">
        <v>1067</v>
      </c>
      <c r="F26" s="35"/>
      <c r="I26" s="35"/>
    </row>
    <row r="27" spans="1:34" ht="17.100000000000001" thickBot="1">
      <c r="A27" s="69" t="s">
        <v>1068</v>
      </c>
      <c r="B27" s="72" t="str">
        <f>IF(OR(B6="",ISBLANK(B6)),"NO CONFIGURATION SELECTED",C27)</f>
        <v>NO CONFIGURATION SELECTED</v>
      </c>
      <c r="C27" s="65">
        <f>SUM(C5:C23)</f>
        <v>0</v>
      </c>
      <c r="D27" s="65">
        <f t="shared" ref="D27:E27" si="1">SUM(D5:D23)</f>
        <v>0</v>
      </c>
      <c r="E27" s="65">
        <f t="shared" si="1"/>
        <v>0</v>
      </c>
      <c r="F27" s="1"/>
      <c r="I27" s="1"/>
      <c r="J27" t="str">
        <f>"&lt;-- EXPAND TO SHOW OPTIONS / SERVICE HEAD"</f>
        <v>&lt;-- EXPAND TO SHOW OPTIONS / SERVICE HEAD</v>
      </c>
      <c r="AC27" s="285"/>
      <c r="AD27" s="285"/>
      <c r="AE27" s="285"/>
      <c r="AF27" s="285"/>
    </row>
    <row r="28" spans="1:34" ht="17.100000000000001" thickTop="1">
      <c r="C28" s="66"/>
      <c r="D28" s="66"/>
      <c r="E28" s="66"/>
      <c r="F28" s="1"/>
      <c r="I28" s="1"/>
      <c r="AE28">
        <f>COUNTIF(K30,"(2) Duplexes")+COUNTIF(Y30,"(2) Duplexes")</f>
        <v>0</v>
      </c>
      <c r="AF28">
        <f>COUNTIF(Q30:S30,"(2) Duplexes")</f>
        <v>0</v>
      </c>
      <c r="AG28">
        <f>COUNTIF(K30,"(3) Duplexes")+COUNTIF(Y30,"(3) Duplexes")</f>
        <v>0</v>
      </c>
      <c r="AH28">
        <f>COUNTIF(Q30:S30,"(3) Duplexes")</f>
        <v>0</v>
      </c>
    </row>
    <row r="29" spans="1:34" ht="18.95">
      <c r="A29" s="46" t="s">
        <v>1069</v>
      </c>
      <c r="B29" s="47" t="s">
        <v>1025</v>
      </c>
      <c r="C29" s="47" t="s">
        <v>1026</v>
      </c>
      <c r="D29" s="47" t="s">
        <v>1027</v>
      </c>
      <c r="E29" s="47" t="s">
        <v>1028</v>
      </c>
      <c r="G29" s="79" t="s">
        <v>1029</v>
      </c>
      <c r="H29" s="80" t="s">
        <v>1030</v>
      </c>
      <c r="J29" s="83" t="s">
        <v>1031</v>
      </c>
      <c r="K29" s="84" t="s">
        <v>1032</v>
      </c>
      <c r="L29" s="282" t="s">
        <v>1033</v>
      </c>
      <c r="M29" s="282"/>
      <c r="N29" s="282"/>
      <c r="O29" s="282"/>
      <c r="P29" s="282"/>
      <c r="Q29" s="80" t="s">
        <v>1032</v>
      </c>
      <c r="R29" s="36"/>
      <c r="S29" s="79" t="s">
        <v>1032</v>
      </c>
      <c r="T29" s="282" t="s">
        <v>1034</v>
      </c>
      <c r="U29" s="282"/>
      <c r="V29" s="282"/>
      <c r="W29" s="282"/>
      <c r="X29" s="282"/>
      <c r="Y29" s="80" t="s">
        <v>1032</v>
      </c>
    </row>
    <row r="30" spans="1:34" hidden="1" outlineLevel="1">
      <c r="A30" s="49" t="s">
        <v>1035</v>
      </c>
      <c r="B30" s="50" t="str">
        <f>IF(OR(ISBLANK(B32),ISBLANK(B33)),"",IF(ISBLANK(B33),0,(VLOOKUP(B33,'Ondal Booms'!B:F,5,FALSE)))&amp;IF(ISBLANK(B32),0,(VLOOKUP(B32,'Ondal Booms'!B:F,5,FALSE))))</f>
        <v/>
      </c>
      <c r="C30" s="4">
        <f>IF(OR(ISBLANK(B30),B30=""),0,VLOOKUP(B30,'Ondal Booms'!B:G,4,FALSE))</f>
        <v>0</v>
      </c>
      <c r="D30" s="37">
        <f>IF(OR(ISBLANK(B30),B30=""),0,VLOOKUP(B30,'Ondal Booms'!B:G,2,FALSE))</f>
        <v>0</v>
      </c>
      <c r="E30" s="35">
        <f>IF(OR(ISBLANK(B30),B30=""),0,VLOOKUP(B30,'Ondal Booms'!B:G,3,FALSE))</f>
        <v>0</v>
      </c>
      <c r="G30" s="48" t="s">
        <v>1036</v>
      </c>
      <c r="H30" s="77">
        <f>COUNTIF(K30:Y39,"(2) Duplexes")*2+COUNTIF(K30:Y39,"(3) Duplexes")*3</f>
        <v>0</v>
      </c>
      <c r="J30" s="51" t="s">
        <v>1037</v>
      </c>
      <c r="K30" s="82"/>
      <c r="L30" s="56"/>
      <c r="M30" s="57"/>
      <c r="N30" s="58"/>
      <c r="O30" s="59"/>
      <c r="P30" s="57"/>
      <c r="Q30" s="82"/>
      <c r="S30" s="82"/>
      <c r="T30" s="59"/>
      <c r="U30" s="57"/>
      <c r="V30" s="58"/>
      <c r="W30" s="59"/>
      <c r="X30" s="57"/>
      <c r="Y30" s="82"/>
      <c r="Z30" s="40">
        <f>15-COUNTIFS(K30:Y30,"")</f>
        <v>0</v>
      </c>
    </row>
    <row r="31" spans="1:34" ht="17.100000000000001" hidden="1" outlineLevel="1" thickBot="1">
      <c r="A31" s="55" t="s">
        <v>354</v>
      </c>
      <c r="B31" s="45"/>
      <c r="C31" s="4">
        <f>IF(OR(ISBLANK(B31),B31=""),0,VLOOKUP(B31,'Ondal Booms'!B:G,4,FALSE))</f>
        <v>0</v>
      </c>
      <c r="D31" s="37">
        <f>IF(OR(ISBLANK(B31),B31=""),0,VLOOKUP(B31,'Ondal Booms'!B:G,2,FALSE))</f>
        <v>0</v>
      </c>
      <c r="E31" s="35">
        <f>IF(OR(ISBLANK(B31),B31=""),0,VLOOKUP(B31,'Ondal Booms'!B:G,3,FALSE))</f>
        <v>0</v>
      </c>
      <c r="G31" s="79" t="s">
        <v>1039</v>
      </c>
      <c r="H31" s="80" t="s">
        <v>1030</v>
      </c>
      <c r="J31" s="51" t="s">
        <v>1038</v>
      </c>
      <c r="K31" s="33"/>
      <c r="L31" s="56"/>
      <c r="M31" s="57"/>
      <c r="N31" s="58"/>
      <c r="O31" s="59"/>
      <c r="P31" s="57"/>
      <c r="Q31" s="33"/>
      <c r="S31" s="33"/>
      <c r="T31" s="59"/>
      <c r="U31" s="57"/>
      <c r="V31" s="58"/>
      <c r="W31" s="59"/>
      <c r="X31" s="57"/>
      <c r="Y31" s="33"/>
      <c r="Z31" s="40">
        <f t="shared" ref="Z31:Z34" si="2">15-COUNTIFS(K31:Y31,"")</f>
        <v>0</v>
      </c>
      <c r="AE31">
        <f>COUNTIF(K32,"(2) Duplexes")+COUNTIF(Y32,"(2) Duplexes")</f>
        <v>0</v>
      </c>
      <c r="AF31">
        <f>COUNTIF(Q32:S32,"(2) Duplexes")</f>
        <v>0</v>
      </c>
      <c r="AG31">
        <f>COUNTIF(K32,"(3) Duplexes")+COUNTIF(Y32,"(3) Duplexes")</f>
        <v>0</v>
      </c>
      <c r="AH31">
        <f>COUNTIF(Q32:S32,"(3) Duplexes")</f>
        <v>0</v>
      </c>
    </row>
    <row r="32" spans="1:34" hidden="1" outlineLevel="1">
      <c r="A32" s="55" t="s">
        <v>355</v>
      </c>
      <c r="B32" s="8"/>
      <c r="C32" s="4">
        <f>IF(OR(ISBLANK(B32),B32=""),0,VLOOKUP(B32,'Ondal Booms'!B:G,4,FALSE))</f>
        <v>0</v>
      </c>
      <c r="D32" s="37">
        <f>IF(OR(ISBLANK(B32),B32=""),0,VLOOKUP(B32,'Ondal Booms'!B:G,2,FALSE))</f>
        <v>0</v>
      </c>
      <c r="E32" s="35">
        <f>IF(OR(ISBLANK(B32),B32=""),0,VLOOKUP(B32,'Ondal Booms'!B:G,3,FALSE))</f>
        <v>0</v>
      </c>
      <c r="G32" s="55" t="s">
        <v>1041</v>
      </c>
      <c r="H32" s="78">
        <f>(COUNTIF(K30:Y39,"Data"))</f>
        <v>0</v>
      </c>
      <c r="J32" s="51" t="s">
        <v>1040</v>
      </c>
      <c r="K32" s="33"/>
      <c r="L32" s="52"/>
      <c r="M32" s="53"/>
      <c r="N32" s="58"/>
      <c r="O32" s="54"/>
      <c r="P32" s="53"/>
      <c r="Q32" s="33"/>
      <c r="S32" s="33"/>
      <c r="T32" s="54"/>
      <c r="U32" s="53"/>
      <c r="V32" s="58"/>
      <c r="W32" s="54"/>
      <c r="X32" s="53"/>
      <c r="Y32" s="33"/>
      <c r="Z32" s="40">
        <f t="shared" si="2"/>
        <v>0</v>
      </c>
    </row>
    <row r="33" spans="1:34" ht="17.100000000000001" hidden="1" outlineLevel="1" thickBot="1">
      <c r="A33" s="55" t="s">
        <v>356</v>
      </c>
      <c r="B33" s="7"/>
      <c r="C33" s="4">
        <f>IF(OR(ISBLANK(B33),B33=""),0,VLOOKUP(B33,'Ondal Booms'!B:G,4,FALSE))</f>
        <v>0</v>
      </c>
      <c r="D33" s="37">
        <f>IF(OR(ISBLANK(B33),B33=""),0,VLOOKUP(B33,'Ondal Booms'!B:G,2,FALSE))</f>
        <v>0</v>
      </c>
      <c r="E33" s="35">
        <f>IF(OR(ISBLANK(B33),B33=""),0,VLOOKUP(B33,'Ondal Booms'!B:G,3,FALSE))</f>
        <v>0</v>
      </c>
      <c r="G33" s="64" t="s">
        <v>1043</v>
      </c>
      <c r="H33" s="77">
        <f>(COUNTIF(K30:Y39,"Storz 4in1"))</f>
        <v>0</v>
      </c>
      <c r="J33" s="51" t="s">
        <v>1042</v>
      </c>
      <c r="K33" s="33"/>
      <c r="L33" s="56"/>
      <c r="M33" s="57"/>
      <c r="N33" s="58"/>
      <c r="O33" s="59"/>
      <c r="P33" s="57"/>
      <c r="Q33" s="33"/>
      <c r="S33" s="33"/>
      <c r="T33" s="59"/>
      <c r="U33" s="57"/>
      <c r="V33" s="58"/>
      <c r="W33" s="59"/>
      <c r="X33" s="57"/>
      <c r="Y33" s="33"/>
      <c r="Z33" s="40">
        <f t="shared" si="2"/>
        <v>0</v>
      </c>
      <c r="AE33">
        <f>COUNTIF(K34,"(2) Duplexes")+COUNTIF(Y34,"(2) Duplexes")</f>
        <v>0</v>
      </c>
      <c r="AF33">
        <f>COUNTIF(Q34:S34,"(2) Duplexes")</f>
        <v>0</v>
      </c>
      <c r="AG33">
        <f>COUNTIF(K34,"(3) Duplexes")+COUNTIF(Y34,"(3) Duplexes")</f>
        <v>0</v>
      </c>
      <c r="AH33">
        <f>COUNTIF(Q34:S34,"(3) Duplexes")</f>
        <v>0</v>
      </c>
    </row>
    <row r="34" spans="1:34" hidden="1" outlineLevel="1">
      <c r="A34" s="55" t="s">
        <v>418</v>
      </c>
      <c r="B34" s="7"/>
      <c r="C34" s="4">
        <f>IF(OR(ISBLANK(B34),B34=""),0,VLOOKUP(B34,'Ondal Booms'!B:G,4,FALSE))</f>
        <v>0</v>
      </c>
      <c r="D34" s="37">
        <f>IF(OR(ISBLANK(B34),B34=""),0,VLOOKUP(B34,'Ondal Booms'!B:G,2,FALSE))</f>
        <v>0</v>
      </c>
      <c r="E34" s="35">
        <f>IF(OR(ISBLANK(B34),B34=""),0,VLOOKUP(B34,'Ondal Booms'!B:G,3,FALSE))</f>
        <v>0</v>
      </c>
      <c r="J34" s="51" t="s">
        <v>1044</v>
      </c>
      <c r="K34" s="33"/>
      <c r="L34" s="52"/>
      <c r="M34" s="53"/>
      <c r="N34" s="58"/>
      <c r="O34" s="54"/>
      <c r="P34" s="53"/>
      <c r="Q34" s="33"/>
      <c r="S34" s="33"/>
      <c r="T34" s="54"/>
      <c r="U34" s="53"/>
      <c r="V34" s="58"/>
      <c r="W34" s="54"/>
      <c r="X34" s="53"/>
      <c r="Y34" s="33"/>
      <c r="Z34" s="40">
        <f t="shared" si="2"/>
        <v>0</v>
      </c>
    </row>
    <row r="35" spans="1:34" ht="17.100000000000001" hidden="1" outlineLevel="1" thickBot="1">
      <c r="A35" s="55" t="s">
        <v>357</v>
      </c>
      <c r="B35" s="7"/>
      <c r="C35" s="4">
        <f>IF(OR(ISBLANK(B35),B35=""),0,VLOOKUP(B35,'Ondal Booms'!B:G,4,FALSE))</f>
        <v>0</v>
      </c>
      <c r="D35" s="37">
        <f>IF(OR(ISBLANK(B35),B35=""),0,VLOOKUP(B35,'Ondal Booms'!B:G,2,FALSE))</f>
        <v>0</v>
      </c>
      <c r="E35" s="35">
        <f>IF(OR(ISBLANK(B35),B35=""),0,VLOOKUP(B35,'Ondal Booms'!B:G,3,FALSE))</f>
        <v>0</v>
      </c>
      <c r="G35" s="79" t="s">
        <v>1046</v>
      </c>
      <c r="H35" s="80" t="s">
        <v>1030</v>
      </c>
      <c r="J35" s="51" t="s">
        <v>1045</v>
      </c>
      <c r="K35" s="33"/>
      <c r="L35" s="60"/>
      <c r="M35" s="61"/>
      <c r="N35" s="58"/>
      <c r="O35" s="62"/>
      <c r="P35" s="61"/>
      <c r="Q35" s="33"/>
      <c r="S35" s="33"/>
      <c r="T35" s="62"/>
      <c r="U35" s="61"/>
      <c r="V35" s="58"/>
      <c r="W35" s="62"/>
      <c r="X35" s="61"/>
      <c r="Y35" s="33"/>
      <c r="Z35" s="40">
        <f>15-COUNTIFS(K35:Y35,"")</f>
        <v>0</v>
      </c>
      <c r="AE35">
        <f>COUNTIF(K36,"(2) Duplexes")+COUNTIF(Y36,"(2) Duplexes")</f>
        <v>0</v>
      </c>
      <c r="AF35">
        <f>COUNTIF(Q36:S36,"(2) Duplexes")</f>
        <v>0</v>
      </c>
      <c r="AG35">
        <f>COUNTIF(K36,"(3) Duplexes")+COUNTIF(Y36,"(3) Duplexes")</f>
        <v>0</v>
      </c>
      <c r="AH35">
        <f>COUNTIF(Q36:S36,"(3) Duplexes")</f>
        <v>0</v>
      </c>
    </row>
    <row r="36" spans="1:34" hidden="1" outlineLevel="1">
      <c r="A36" s="49" t="s">
        <v>99</v>
      </c>
      <c r="B36" s="50" t="str">
        <f>IF(OR(H30=0,ISBLANK(H30)),"",H30&amp;" Duplexes")</f>
        <v/>
      </c>
      <c r="C36" s="4">
        <f>IF(OR(ISBLANK(B36),B36=""),0,VLOOKUP(B36,'Ondal Booms'!B:G,4,FALSE))</f>
        <v>0</v>
      </c>
      <c r="D36" s="37">
        <f>IF(OR(ISBLANK(B36),B36=""),0,VLOOKUP(B36,'Ondal Booms'!B:G,2,FALSE))</f>
        <v>0</v>
      </c>
      <c r="E36" s="35">
        <f>IF(OR(ISBLANK(B36),B36=""),0,VLOOKUP(B36,'Ondal Booms'!B:G,3,FALSE))</f>
        <v>0</v>
      </c>
      <c r="G36" s="55" t="s">
        <v>1048</v>
      </c>
      <c r="H36" s="78">
        <f>(COUNTIF(K30:Y39,"Oxygen"))</f>
        <v>0</v>
      </c>
      <c r="J36" s="51" t="s">
        <v>1047</v>
      </c>
      <c r="K36" s="33"/>
      <c r="L36" s="56"/>
      <c r="M36" s="57"/>
      <c r="N36" s="58"/>
      <c r="O36" s="59"/>
      <c r="P36" s="57"/>
      <c r="Q36" s="33"/>
      <c r="S36" s="33"/>
      <c r="T36" s="59"/>
      <c r="U36" s="57"/>
      <c r="V36" s="58"/>
      <c r="W36" s="59"/>
      <c r="X36" s="57"/>
      <c r="Y36" s="33"/>
      <c r="Z36" s="40">
        <f t="shared" ref="Z36:Z39" si="3">15-COUNTIFS(K36:Y36,"")</f>
        <v>0</v>
      </c>
    </row>
    <row r="37" spans="1:34" ht="17.100000000000001" hidden="1" outlineLevel="1" thickBot="1">
      <c r="A37" s="49" t="s">
        <v>95</v>
      </c>
      <c r="B37" s="50" t="str">
        <f>IF(OR(SUM(H36:H42)=0,ISBLANK(SUM(H36:H42))),"",SUM(H36:H42)&amp;" Outlets")</f>
        <v/>
      </c>
      <c r="C37" s="4">
        <f>IF(OR(ISBLANK(B37),B37=""),0,VLOOKUP(B37,'Ondal Booms'!B:G,4,FALSE))</f>
        <v>0</v>
      </c>
      <c r="D37" s="37">
        <f>IF(OR(ISBLANK(B37),B37=""),0,VLOOKUP(B37,'Ondal Booms'!B:G,2,FALSE))</f>
        <v>0</v>
      </c>
      <c r="E37" s="35">
        <f>IF(OR(ISBLANK(B37),B37=""),0,VLOOKUP(B37,'Ondal Booms'!B:G,3,FALSE))</f>
        <v>0</v>
      </c>
      <c r="G37" s="55" t="s">
        <v>1050</v>
      </c>
      <c r="H37" s="77">
        <f>COUNTIF(K30:Y39,"Medical Air")</f>
        <v>0</v>
      </c>
      <c r="J37" s="51" t="s">
        <v>1049</v>
      </c>
      <c r="K37" s="33"/>
      <c r="L37" s="60"/>
      <c r="M37" s="61"/>
      <c r="N37" s="58"/>
      <c r="O37" s="62"/>
      <c r="P37" s="61"/>
      <c r="Q37" s="33"/>
      <c r="S37" s="33"/>
      <c r="T37" s="62"/>
      <c r="U37" s="61"/>
      <c r="V37" s="58"/>
      <c r="W37" s="62"/>
      <c r="X37" s="61"/>
      <c r="Y37" s="33"/>
      <c r="Z37" s="40">
        <f t="shared" si="3"/>
        <v>0</v>
      </c>
      <c r="AE37">
        <f>COUNTIF(K38,"(2) Duplexes")+COUNTIF(Y38,"(2) Duplexes")</f>
        <v>0</v>
      </c>
      <c r="AF37">
        <f>COUNTIF(Q38:S38,"(2) Duplexes")</f>
        <v>0</v>
      </c>
      <c r="AG37">
        <f>COUNTIF(K38,"(3) Duplexes")+COUNTIF(Y38,"(3) Duplexes")</f>
        <v>0</v>
      </c>
      <c r="AH37">
        <f>COUNTIF(Q38:S38,"(3) Duplexes")</f>
        <v>0</v>
      </c>
    </row>
    <row r="38" spans="1:34" hidden="1" outlineLevel="1">
      <c r="A38" s="55" t="s">
        <v>1052</v>
      </c>
      <c r="B38" s="45"/>
      <c r="C38" s="4">
        <f>IF(OR(ISBLANK(B38),B38=""),0,VLOOKUP(B38,'Ondal Booms'!B:G,4,FALSE))</f>
        <v>0</v>
      </c>
      <c r="D38" s="37">
        <f>IF(OR(ISBLANK(B38),B38=""),0,VLOOKUP(B38,'Ondal Booms'!B:G,2,FALSE))</f>
        <v>0</v>
      </c>
      <c r="E38" s="35">
        <f>IF(OR(ISBLANK(B38),B38=""),0,VLOOKUP(B38,'Ondal Booms'!B:G,3,FALSE))</f>
        <v>0</v>
      </c>
      <c r="G38" s="55" t="s">
        <v>1053</v>
      </c>
      <c r="H38" s="77">
        <f>COUNTIF(K30:Y39,"Nitrous Oxide")</f>
        <v>0</v>
      </c>
      <c r="J38" s="51" t="s">
        <v>1051</v>
      </c>
      <c r="K38" s="33"/>
      <c r="L38" s="56"/>
      <c r="M38" s="57"/>
      <c r="N38" s="58"/>
      <c r="O38" s="59"/>
      <c r="P38" s="57"/>
      <c r="Q38" s="33"/>
      <c r="S38" s="33"/>
      <c r="T38" s="59"/>
      <c r="U38" s="57"/>
      <c r="V38" s="58"/>
      <c r="W38" s="59"/>
      <c r="X38" s="57"/>
      <c r="Y38" s="33"/>
      <c r="Z38" s="40">
        <f t="shared" si="3"/>
        <v>0</v>
      </c>
    </row>
    <row r="39" spans="1:34" ht="17.100000000000001" hidden="1" outlineLevel="1" thickBot="1">
      <c r="A39" s="55" t="s">
        <v>454</v>
      </c>
      <c r="B39" s="45"/>
      <c r="C39" s="4">
        <f>IF(OR(ISBLANK(B39),B39=""),0,VLOOKUP(B39,'Ondal Booms'!B:G,4,FALSE))</f>
        <v>0</v>
      </c>
      <c r="D39" s="37">
        <f>IF(OR(ISBLANK(B39),B39=""),0,VLOOKUP(B39,'Ondal Booms'!B:G,2,FALSE))</f>
        <v>0</v>
      </c>
      <c r="E39" s="35">
        <f>IF(OR(ISBLANK(B39),B39=""),0,VLOOKUP(B39,'Ondal Booms'!B:G,3,FALSE))</f>
        <v>0</v>
      </c>
      <c r="G39" s="55" t="s">
        <v>1055</v>
      </c>
      <c r="H39" s="77">
        <f>COUNTIF(K30:Y39,"WAGD")</f>
        <v>0</v>
      </c>
      <c r="J39" s="51" t="s">
        <v>1054</v>
      </c>
      <c r="K39" s="33"/>
      <c r="L39" s="60"/>
      <c r="M39" s="61"/>
      <c r="N39" s="63"/>
      <c r="O39" s="62"/>
      <c r="P39" s="61"/>
      <c r="Q39" s="33"/>
      <c r="S39" s="33"/>
      <c r="T39" s="62"/>
      <c r="U39" s="61"/>
      <c r="V39" s="63"/>
      <c r="W39" s="62"/>
      <c r="X39" s="61"/>
      <c r="Y39" s="33"/>
      <c r="Z39" s="40">
        <f t="shared" si="3"/>
        <v>0</v>
      </c>
    </row>
    <row r="40" spans="1:34" hidden="1" outlineLevel="1">
      <c r="A40" s="55" t="s">
        <v>455</v>
      </c>
      <c r="B40" s="45"/>
      <c r="C40" s="4">
        <f>IF(OR(ISBLANK(B40),B40=""),0,VLOOKUP(B40,'Ondal Booms'!B:G,4,FALSE))</f>
        <v>0</v>
      </c>
      <c r="D40" s="37">
        <f>IF(OR(ISBLANK(B40),B40=""),0,VLOOKUP(B40,'Ondal Booms'!B:G,2,FALSE))</f>
        <v>0</v>
      </c>
      <c r="E40" s="35">
        <f>IF(OR(ISBLANK(B40),B40=""),0,VLOOKUP(B40,'Ondal Booms'!B:G,3,FALSE))</f>
        <v>0</v>
      </c>
      <c r="G40" s="55" t="s">
        <v>1056</v>
      </c>
      <c r="H40" s="77">
        <f>COUNTIF(K30:Y39,"Vacuum")</f>
        <v>0</v>
      </c>
    </row>
    <row r="41" spans="1:34" hidden="1" outlineLevel="1">
      <c r="A41" s="55" t="s">
        <v>1057</v>
      </c>
      <c r="B41" s="45"/>
      <c r="C41" s="4">
        <f>IF(OR(ISBLANK(B41),B41=""),0,VLOOKUP(B41,'Ondal Booms'!B:G,4,FALSE))</f>
        <v>0</v>
      </c>
      <c r="D41" s="37">
        <f>IF(OR(ISBLANK(B41),B41=""),0,VLOOKUP(B41,'Ondal Booms'!B:G,2,FALSE))</f>
        <v>0</v>
      </c>
      <c r="E41" s="35">
        <f>IF(OR(ISBLANK(B41),B41=""),0,VLOOKUP(B41,'Ondal Booms'!B:G,3,FALSE))</f>
        <v>0</v>
      </c>
      <c r="G41" s="55" t="s">
        <v>1058</v>
      </c>
      <c r="H41" s="77">
        <f>COUNTIF(K30:Y39,"Nitrogen")</f>
        <v>0</v>
      </c>
    </row>
    <row r="42" spans="1:34" hidden="1" outlineLevel="1">
      <c r="A42" s="55" t="s">
        <v>1059</v>
      </c>
      <c r="B42" s="45"/>
      <c r="C42" s="4">
        <f>IF(OR(ISBLANK(B42),B42=""),0,VLOOKUP(B42,'Ondal Booms'!B:G,4,FALSE))</f>
        <v>0</v>
      </c>
      <c r="D42" s="37">
        <f>IF(OR(ISBLANK(B42),B42=""),0,VLOOKUP(B42,'Ondal Booms'!B:G,2,FALSE))</f>
        <v>0</v>
      </c>
      <c r="E42" s="35">
        <f>IF(OR(ISBLANK(B42),B42=""),0,VLOOKUP(B42,'Ondal Booms'!B:G,3,FALSE))</f>
        <v>0</v>
      </c>
      <c r="G42" s="64" t="s">
        <v>1060</v>
      </c>
      <c r="H42" s="77">
        <f>COUNTIF(K30:Y39,"Carbon Dioxide")</f>
        <v>0</v>
      </c>
    </row>
    <row r="43" spans="1:34" hidden="1" outlineLevel="1">
      <c r="A43" s="55" t="s">
        <v>1061</v>
      </c>
      <c r="B43" s="45"/>
      <c r="C43" s="4">
        <f>IF(OR(ISBLANK(B43),B43=""),0,VLOOKUP(B43,'Ondal Booms'!B:G,4,FALSE))</f>
        <v>0</v>
      </c>
      <c r="D43" s="37">
        <f>IF(OR(ISBLANK(B43),B43=""),0,VLOOKUP(B43,'Ondal Booms'!B:G,2,FALSE))</f>
        <v>0</v>
      </c>
      <c r="E43" s="35">
        <f>IF(OR(ISBLANK(B43),B43=""),0,VLOOKUP(B43,'Ondal Booms'!B:G,3,FALSE))</f>
        <v>0</v>
      </c>
      <c r="H43" s="36"/>
    </row>
    <row r="44" spans="1:34" hidden="1" outlineLevel="1">
      <c r="A44" s="55" t="s">
        <v>1062</v>
      </c>
      <c r="B44" s="45"/>
      <c r="C44" s="4">
        <f>IF(OR(ISBLANK(B44),B44=""),0,VLOOKUP(B44,'Ondal Booms'!B:G,4,FALSE))</f>
        <v>0</v>
      </c>
      <c r="D44" s="37">
        <f>IF(OR(ISBLANK(B44),B44=""),0,VLOOKUP(B44,'Ondal Booms'!B:G,2,FALSE))</f>
        <v>0</v>
      </c>
      <c r="E44" s="35">
        <f>IF(OR(ISBLANK(B44),B44=""),0,VLOOKUP(B44,'Ondal Booms'!B:G,3,FALSE))</f>
        <v>0</v>
      </c>
    </row>
    <row r="45" spans="1:34" hidden="1" outlineLevel="1">
      <c r="A45" s="55" t="s">
        <v>1063</v>
      </c>
      <c r="B45" s="45"/>
      <c r="C45" s="4">
        <f>IF(OR(ISBLANK(B45),B45=""),0,VLOOKUP(B45,'Ondal Booms'!B:G,4,FALSE))</f>
        <v>0</v>
      </c>
      <c r="D45" s="37">
        <f>IF(OR(ISBLANK(B45),B45=""),0,VLOOKUP(B45,'Ondal Booms'!B:G,2,FALSE))</f>
        <v>0</v>
      </c>
      <c r="E45" s="35">
        <f>IF(OR(ISBLANK(B45),B45=""),0,VLOOKUP(B45,'Ondal Booms'!B:G,3,FALSE))</f>
        <v>0</v>
      </c>
      <c r="G45" s="37"/>
    </row>
    <row r="46" spans="1:34" hidden="1" outlineLevel="1">
      <c r="A46" s="55" t="s">
        <v>1064</v>
      </c>
      <c r="B46" s="45"/>
      <c r="C46" s="4">
        <f>IF(OR(ISBLANK(B46),B46=""),0,VLOOKUP(B46,'Ondal Booms'!B:G,4,FALSE))</f>
        <v>0</v>
      </c>
      <c r="D46" s="37">
        <f>IF(OR(ISBLANK(B46),B46=""),0,VLOOKUP(B46,'Ondal Booms'!B:G,2,FALSE))</f>
        <v>0</v>
      </c>
      <c r="E46" s="35">
        <f>IF(OR(ISBLANK(B46),B46=""),0,VLOOKUP(B46,'Ondal Booms'!B:G,3,FALSE))</f>
        <v>0</v>
      </c>
      <c r="G46" s="37"/>
    </row>
    <row r="47" spans="1:34" hidden="1" outlineLevel="1">
      <c r="A47" s="64" t="s">
        <v>1065</v>
      </c>
      <c r="B47" s="45"/>
      <c r="C47" s="4">
        <f>IF(OR(ISBLANK(B47),B47=""),0,VLOOKUP(B47,'Ondal Booms'!B:G,4,FALSE))</f>
        <v>0</v>
      </c>
      <c r="D47" s="37">
        <f>IF(OR(ISBLANK(B47),B47=""),0,VLOOKUP(B47,'Ondal Booms'!B:G,2,FALSE))</f>
        <v>0</v>
      </c>
      <c r="E47" s="35">
        <f>IF(OR(ISBLANK(B47),B47=""),0,VLOOKUP(B47,'Ondal Booms'!B:G,3,FALSE))</f>
        <v>0</v>
      </c>
    </row>
    <row r="48" spans="1:34" hidden="1" outlineLevel="1">
      <c r="C48" s="4"/>
      <c r="E48" s="37"/>
    </row>
    <row r="49" spans="1:32" hidden="1" outlineLevel="1">
      <c r="A49" s="49" t="s">
        <v>1066</v>
      </c>
      <c r="B49" s="70" t="str">
        <f>IF(OR(ISBLANK(B30),B30=""),"",
IF(OR(AND(B35="200mm Service Head",SUM(Z32:Z39)&gt;0),AND(B35="400mm Service Head",SUM(Z34:Z39)&gt;0),AND(B35="600mm Service Head",SUM(Z36:Z39)&gt;0),AND(B35="800mm Service Head",SUM(Z38:Z39)&gt;0)),"Select Longer Service Head or Remove Services",
IF(AND(RIGHT(B33,2)="XL",RIGHT(B32,2)&lt;&gt;"XL"),"BOTTOM XL ARM REQUIRES TOP XL ARM",
IF(OR(ISBLANK(#REF!),ISBLANK(B31),ISBLANK(B32),ISBLANK(B33),ISBLANK(B34),ISBLANK(B35),ISBLANK(B39),ISBLANK(B40),ISBLANK(B38)),"Missing Selections for Configuration",
IF(AND(B35="Large Monitor Carrier",B33&lt;&gt;"Spring Articulating"),"Large Monitor Requires Spring Bottom Arm",
IF(OR(AND(RIGHT(B31,2)="XL",RIGHT(B32,2)&lt;&gt;"XL"),AND(RIGHT(B32,2)="XL",RIGHT(B31,2)&lt;&gt;"XL")),"Both Top Arm and Ceiling Flange Must Be XL",
IF(COUNTIF(AE29:AH37,1)&gt;1,"Mismatch Electrical Configuration",
""))))))
)</f>
        <v/>
      </c>
      <c r="C49" s="4"/>
      <c r="D49" s="4"/>
      <c r="E49" s="35"/>
    </row>
    <row r="50" spans="1:32" hidden="1" outlineLevel="1">
      <c r="B50" s="1"/>
      <c r="C50" s="47" t="s">
        <v>1026</v>
      </c>
      <c r="D50" s="47" t="s">
        <v>1027</v>
      </c>
      <c r="E50" s="47" t="s">
        <v>1067</v>
      </c>
      <c r="F50" s="35"/>
      <c r="I50" s="35"/>
    </row>
    <row r="51" spans="1:32" ht="17.100000000000001" collapsed="1" thickBot="1">
      <c r="A51" s="69" t="s">
        <v>1068</v>
      </c>
      <c r="B51" s="72" t="str">
        <f>IF(OR(B30="",ISBLANK(B30)),"NO CONFIGURATION SELECTED",C51)</f>
        <v>NO CONFIGURATION SELECTED</v>
      </c>
      <c r="C51" s="65">
        <f>SUM(C30:C47)</f>
        <v>0</v>
      </c>
      <c r="D51" s="65">
        <f t="shared" ref="D51:E51" si="4">SUM(D30:D47)</f>
        <v>0</v>
      </c>
      <c r="E51" s="65">
        <f t="shared" si="4"/>
        <v>0</v>
      </c>
      <c r="F51" s="1"/>
      <c r="I51" s="1"/>
      <c r="J51" t="str">
        <f>"&lt;-- EXPAND TO SHOW OPTIONS / SERVICE HEAD"</f>
        <v>&lt;-- EXPAND TO SHOW OPTIONS / SERVICE HEAD</v>
      </c>
    </row>
    <row r="52" spans="1:32" ht="17.100000000000001" thickTop="1">
      <c r="AC52" s="285"/>
      <c r="AD52" s="285"/>
      <c r="AE52" s="285"/>
      <c r="AF52" s="285"/>
    </row>
    <row r="53" spans="1:32">
      <c r="A53" s="46" t="s">
        <v>1070</v>
      </c>
      <c r="B53" s="47" t="s">
        <v>1025</v>
      </c>
      <c r="C53" s="47" t="s">
        <v>1026</v>
      </c>
      <c r="D53" s="47" t="s">
        <v>1071</v>
      </c>
      <c r="E53" s="47" t="s">
        <v>1072</v>
      </c>
    </row>
    <row r="54" spans="1:32" outlineLevel="1">
      <c r="A54" s="49" t="s">
        <v>1035</v>
      </c>
      <c r="B54" s="50" t="str">
        <f>IF(AND(ISBLANK(B57),ISBLANK(B58),ISBLANK(B59)),"",
IF(B55="Upgrade Only","UPGRADE",
IF(RIGHT(B57,4)="(3P)","(3P) ","")&amp;
IF(ISBLANK(B57),"",VLOOKUP(B57,'Simeon Lights'!C:H,2,FALSE))&amp;
IF(ISBLANK(B58),""," / "&amp;VLOOKUP(B58,'Simeon Lights'!C:H,2,FALSE))&amp;
IF(ISBLANK(B59),""," / "&amp;VLOOKUP(B59,'Simeon Lights'!C:H,2,FALSE))))</f>
        <v/>
      </c>
      <c r="C54" s="4">
        <f>IF(ISBLANK(B57),0,(VLOOKUP(B54,'Simeon Lights'!C:J,6,FALSE)))</f>
        <v>0</v>
      </c>
      <c r="D54" s="37">
        <f>IF(ISBLANK(B57),0,(VLOOKUP(B54,'Simeon Lights'!C:J,4,FALSE)))</f>
        <v>0</v>
      </c>
      <c r="E54" s="37">
        <f>IF(ISBLANK(B57),0,(VLOOKUP(B54,'Simeon Lights'!C:J,5,FALSE)))</f>
        <v>0</v>
      </c>
      <c r="G54" s="1"/>
      <c r="H54" s="1"/>
    </row>
    <row r="55" spans="1:32" outlineLevel="1">
      <c r="A55" s="55" t="s">
        <v>310</v>
      </c>
      <c r="B55" s="33"/>
      <c r="C55" s="4">
        <f>IF(ISBLANK(B55),0,VLOOKUP(B55,'Simeon Lights'!C:J,6,FALSE))</f>
        <v>0</v>
      </c>
      <c r="D55" s="37">
        <f>IF(ISBLANK(B55),0,VLOOKUP(B55,'Simeon Lights'!C:J,4,FALSE))</f>
        <v>0</v>
      </c>
      <c r="E55" s="37">
        <f>IF(ISBLANK(B55),0,VLOOKUP(B55,'Simeon Lights'!C:J,5,FALSE))</f>
        <v>0</v>
      </c>
    </row>
    <row r="56" spans="1:32" outlineLevel="1">
      <c r="A56" s="55" t="s">
        <v>1073</v>
      </c>
      <c r="B56" s="33"/>
      <c r="C56" s="4">
        <f>IF(ISBLANK(B56),0,VLOOKUP(B56,'Simeon Lights'!C:J,6,FALSE))</f>
        <v>0</v>
      </c>
      <c r="D56" s="37">
        <f>IF(ISBLANK(B56),0,VLOOKUP(B56,'Simeon Lights'!C:J,4,FALSE))</f>
        <v>0</v>
      </c>
      <c r="E56" s="37">
        <f>IF(ISBLANK(B56),0,VLOOKUP(B56,'Simeon Lights'!C:J,5,FALSE))</f>
        <v>0</v>
      </c>
    </row>
    <row r="57" spans="1:32" outlineLevel="1">
      <c r="A57" s="55" t="s">
        <v>1074</v>
      </c>
      <c r="B57" s="33"/>
      <c r="C57" s="4">
        <f>IF(ISBLANK(B57),0,VLOOKUP(B57,'Simeon Lights'!C:J,6,FALSE))</f>
        <v>0</v>
      </c>
      <c r="D57" s="37">
        <f>IF(ISBLANK(B57),0,VLOOKUP(B57,'Simeon Lights'!C:J,4,FALSE))</f>
        <v>0</v>
      </c>
      <c r="E57" s="37">
        <f>IF(ISBLANK(B57),0,VLOOKUP(B57,'Simeon Lights'!C:J,5,FALSE))</f>
        <v>0</v>
      </c>
    </row>
    <row r="58" spans="1:32" outlineLevel="1">
      <c r="A58" s="55" t="s">
        <v>1075</v>
      </c>
      <c r="B58" s="33"/>
      <c r="C58" s="4">
        <f>IF(ISBLANK(B58),0,VLOOKUP(B58,'Simeon Lights'!C:J,6,FALSE))</f>
        <v>0</v>
      </c>
      <c r="D58" s="37">
        <f>IF(ISBLANK(B58),0,VLOOKUP(B58,'Simeon Lights'!C:J,4,FALSE))</f>
        <v>0</v>
      </c>
      <c r="E58" s="37">
        <f>IF(ISBLANK(B58),0,VLOOKUP(B58,'Simeon Lights'!C:J,5,FALSE))</f>
        <v>0</v>
      </c>
    </row>
    <row r="59" spans="1:32" outlineLevel="1">
      <c r="A59" s="55" t="s">
        <v>1077</v>
      </c>
      <c r="B59" s="33"/>
      <c r="C59" s="4">
        <f>IF(ISBLANK(B59),0,VLOOKUP(B59,'Simeon Lights'!C:J,6,FALSE))</f>
        <v>0</v>
      </c>
      <c r="D59" s="37">
        <f>IF(ISBLANK(B59),0,VLOOKUP(B59,'Simeon Lights'!C:J,4,FALSE))</f>
        <v>0</v>
      </c>
      <c r="E59" s="37">
        <f>IF(ISBLANK(B59),0,VLOOKUP(B59,'Simeon Lights'!C:J,5,FALSE))</f>
        <v>0</v>
      </c>
    </row>
    <row r="60" spans="1:32" outlineLevel="1">
      <c r="A60" s="55" t="s">
        <v>589</v>
      </c>
      <c r="B60" s="34"/>
      <c r="C60" s="4">
        <f>IF(ISBLANK(B60),0,VLOOKUP(B60,'Simeon Lights'!C:J,6,FALSE))</f>
        <v>0</v>
      </c>
      <c r="D60" s="37">
        <f>IF(ISBLANK(B60),0,VLOOKUP(B60,'Simeon Lights'!C:J,4,FALSE))</f>
        <v>0</v>
      </c>
      <c r="E60" s="37">
        <f>IF(ISBLANK(B60),0,VLOOKUP(B60,'Simeon Lights'!C:J,5,FALSE))</f>
        <v>0</v>
      </c>
    </row>
    <row r="61" spans="1:32" outlineLevel="1">
      <c r="A61" s="55" t="s">
        <v>1078</v>
      </c>
      <c r="B61" s="34"/>
      <c r="C61" s="4">
        <f>IF(ISBLANK(B61),0,VLOOKUP(B61,'Simeon Lights'!C:J,6,FALSE))</f>
        <v>0</v>
      </c>
      <c r="D61" s="37">
        <f>IF(ISBLANK(B61),0,VLOOKUP(B61,'Simeon Lights'!C:J,4,FALSE))</f>
        <v>0</v>
      </c>
      <c r="E61" s="37">
        <f>IF(ISBLANK(B61),0,VLOOKUP(B61,'Simeon Lights'!C:J,5,FALSE))</f>
        <v>0</v>
      </c>
    </row>
    <row r="62" spans="1:32" outlineLevel="1">
      <c r="A62" s="55" t="s">
        <v>615</v>
      </c>
      <c r="B62" s="34"/>
      <c r="C62" s="4">
        <f>IF(ISBLANK(B62),0,VLOOKUP(B62,'Simeon Lights'!C:J,6,FALSE))</f>
        <v>0</v>
      </c>
      <c r="D62" s="37">
        <f>IF(ISBLANK(B62),0,VLOOKUP(B62,'Simeon Lights'!C:J,4,FALSE))</f>
        <v>0</v>
      </c>
      <c r="E62" s="37">
        <f>IF(ISBLANK(B62),0,VLOOKUP(B62,'Simeon Lights'!C:J,5,FALSE))</f>
        <v>0</v>
      </c>
    </row>
    <row r="63" spans="1:32" outlineLevel="1">
      <c r="A63" s="64" t="s">
        <v>1079</v>
      </c>
      <c r="B63" s="34"/>
      <c r="C63" s="4">
        <f>IF(ISBLANK(B63),0,VLOOKUP(B63,'Simeon Lights'!C:J,6,FALSE))</f>
        <v>0</v>
      </c>
      <c r="D63" s="37">
        <f>IF(ISBLANK(B63),0,VLOOKUP(B63,'Simeon Lights'!C:J,4,FALSE))</f>
        <v>0</v>
      </c>
      <c r="E63" s="37">
        <f>IF(ISBLANK(B63),0,VLOOKUP(B63,'Simeon Lights'!C:J,5,FALSE))</f>
        <v>0</v>
      </c>
    </row>
    <row r="64" spans="1:32" outlineLevel="1">
      <c r="C64" s="4"/>
      <c r="D64" s="4"/>
      <c r="E64" s="44"/>
    </row>
    <row r="65" spans="1:10" outlineLevel="1">
      <c r="A65" s="49" t="s">
        <v>1066</v>
      </c>
      <c r="B65" s="70" t="str">
        <f xml:space="preserve">
IF(AND(ISBLANK(B57),ISBLANK(B58),ISBLANK(B59)),"",
IF(AND(ISBLANK(B57),B58&lt;&gt;""),"ARM 1 MISSING",
IF(AND(ISBLANK(B57),B59&lt;&gt;""),"ARM 1 MISSING",
IF(ISBLANK(B58)&amp;ISBLANK(B59)="TRUEFALSE","ARM 2 MISSING",
IF(AND(B57&lt;&gt;"",B58="32in Flat Panel",B59&lt;&gt;""),"FP CANNOT BE MIDDLE ARM",
IF(OR(ISBLANK(B55),ISBLANK(B56),ISBLANK(B60),ISBLANK(B61),ISBLANK(B62),ISBLANK(B63)),"Missing Selections",""))))))</f>
        <v/>
      </c>
      <c r="C65" s="4"/>
      <c r="D65" s="4"/>
      <c r="E65" s="35"/>
    </row>
    <row r="66" spans="1:10" outlineLevel="1">
      <c r="B66" s="71"/>
      <c r="C66" s="47" t="s">
        <v>1026</v>
      </c>
      <c r="D66" s="47" t="s">
        <v>1071</v>
      </c>
      <c r="E66" s="47" t="s">
        <v>1072</v>
      </c>
      <c r="F66" s="1"/>
      <c r="I66" s="1"/>
    </row>
    <row r="67" spans="1:10" ht="17.100000000000001" thickBot="1">
      <c r="A67" s="69" t="s">
        <v>1068</v>
      </c>
      <c r="B67" s="72" t="str">
        <f>IF(OR(ISBLANK(B57),ISBLANK(B58)&amp;ISBLANK(B59)="TRUEFALSE"),"NO CONFIGURATION SELECTED",IF(B65&lt;&gt;"","ERROR IN CONFIGURATION",IF(B57="",0,SUM(C54:C63))))</f>
        <v>NO CONFIGURATION SELECTED</v>
      </c>
      <c r="C67" s="65">
        <f>SUM(C54:C65)</f>
        <v>0</v>
      </c>
      <c r="D67" s="65">
        <f t="shared" ref="D67:E67" si="5">SUM(D54:D65)</f>
        <v>0</v>
      </c>
      <c r="E67" s="65">
        <f t="shared" si="5"/>
        <v>0</v>
      </c>
      <c r="J67" t="str">
        <f>"&lt;-- EXPAND TO SHOW OPTIONS"</f>
        <v>&lt;-- EXPAND TO SHOW OPTIONS</v>
      </c>
    </row>
    <row r="68" spans="1:10" ht="17.100000000000001" thickTop="1">
      <c r="E68" s="1"/>
    </row>
    <row r="69" spans="1:10">
      <c r="A69" s="46"/>
      <c r="B69" s="47" t="s">
        <v>1080</v>
      </c>
      <c r="E69" s="47" t="s">
        <v>1085</v>
      </c>
    </row>
    <row r="70" spans="1:10" ht="17.100000000000001" thickBot="1">
      <c r="A70" s="69" t="s">
        <v>1082</v>
      </c>
      <c r="B70" s="72">
        <f>IF(OR(B27="Error in Configuration",B27="No Configuration Selected"),0,B27)+IF(OR(B51="Error in Configuration",B51="No Configuration Selected"),0,B51)+IF(OR(B67="Error in Configuration",B67="No Configuration Selected"),0,B67)</f>
        <v>0</v>
      </c>
      <c r="E70" s="65">
        <f>SUM(E67,E51,E27)</f>
        <v>0</v>
      </c>
      <c r="G70" s="1"/>
      <c r="H70" s="1"/>
    </row>
    <row r="71" spans="1:10" ht="17.100000000000001" thickTop="1"/>
  </sheetData>
  <sheetProtection sheet="1" formatColumns="0" formatRows="0" selectLockedCells="1"/>
  <mergeCells count="6">
    <mergeCell ref="AC52:AF52"/>
    <mergeCell ref="AC27:AF27"/>
    <mergeCell ref="L29:P29"/>
    <mergeCell ref="T29:X29"/>
    <mergeCell ref="L4:P4"/>
    <mergeCell ref="T4:X4"/>
  </mergeCells>
  <conditionalFormatting sqref="B25">
    <cfRule type="expression" dxfId="5" priority="2">
      <formula>$B$25&lt;&gt;""</formula>
    </cfRule>
  </conditionalFormatting>
  <conditionalFormatting sqref="B49">
    <cfRule type="expression" dxfId="4" priority="1">
      <formula>$B$25&lt;&gt;""</formula>
    </cfRule>
  </conditionalFormatting>
  <conditionalFormatting sqref="B65">
    <cfRule type="expression" dxfId="3" priority="3" stopIfTrue="1">
      <formula>$B$65&lt;&gt;""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 xr:uid="{C200882A-8FE1-1843-BD3A-709423F0F205}">
          <x14:formula1>
            <xm:f>'BnL Drop Downs'!$A$2:$A$11</xm:f>
          </x14:formula1>
          <xm:sqref>R5:R16 R30:R41</xm:sqref>
        </x14:dataValidation>
        <x14:dataValidation type="list" allowBlank="1" showInputMessage="1" showErrorMessage="1" xr:uid="{941CCFDB-175F-FA4A-B0BA-8390353460E5}">
          <x14:formula1>
            <xm:f>'BnL Drop Downs'!$A$2:$A$14</xm:f>
          </x14:formula1>
          <xm:sqref>K5:K16 Q5:Q16 S5:S16 Y5:Y16 K30:K41 Q30:Q41 S30:S41 Y30:Y41</xm:sqref>
        </x14:dataValidation>
        <x14:dataValidation type="list" allowBlank="1" showInputMessage="1" showErrorMessage="1" xr:uid="{2D3DF44D-A85C-D142-A0CD-112D153359EF}">
          <x14:formula1>
            <xm:f>'Ondal Booms'!$B$77:$B$87</xm:f>
          </x14:formula1>
          <xm:sqref>B9 B33</xm:sqref>
        </x14:dataValidation>
        <x14:dataValidation type="list" allowBlank="1" showInputMessage="1" showErrorMessage="1" xr:uid="{9D9B75AD-456C-3940-A196-257FF55610C9}">
          <x14:formula1>
            <xm:f>'Ondal Booms'!$B$64:$B$74</xm:f>
          </x14:formula1>
          <xm:sqref>B8 B32</xm:sqref>
        </x14:dataValidation>
        <x14:dataValidation type="list" allowBlank="1" showInputMessage="1" showErrorMessage="1" xr:uid="{B8682511-8063-5242-BA4E-9211B75632FD}">
          <x14:formula1>
            <xm:f>'Ondal Booms'!$B$55:$B$61</xm:f>
          </x14:formula1>
          <xm:sqref>B7 B31</xm:sqref>
        </x14:dataValidation>
        <x14:dataValidation type="list" allowBlank="1" showInputMessage="1" showErrorMessage="1" xr:uid="{FAA31046-C923-BF45-995D-0DAD7192B685}">
          <x14:formula1>
            <xm:f>'Ondal Booms'!$B$152:$B$157</xm:f>
          </x14:formula1>
          <xm:sqref>B16 B40</xm:sqref>
        </x14:dataValidation>
        <x14:dataValidation type="list" allowBlank="1" showInputMessage="1" showErrorMessage="1" xr:uid="{D56C4740-B276-FD4A-927D-5A0DA1E7EA2A}">
          <x14:formula1>
            <xm:f>'Simeon Lights'!$C$86:$C$93</xm:f>
          </x14:formula1>
          <xm:sqref>B63</xm:sqref>
        </x14:dataValidation>
        <x14:dataValidation type="list" allowBlank="1" showInputMessage="1" showErrorMessage="1" xr:uid="{EB6D9135-61AF-A544-A1B8-B7F621F43AB8}">
          <x14:formula1>
            <xm:f>'Simeon Lights'!$C$74:$C$76</xm:f>
          </x14:formula1>
          <xm:sqref>B61</xm:sqref>
        </x14:dataValidation>
        <x14:dataValidation type="list" allowBlank="1" showInputMessage="1" showErrorMessage="1" xr:uid="{6AC7729F-BF36-BE4E-ADE4-4053046B0914}">
          <x14:formula1>
            <xm:f>'Simeon Lights'!$C$62:$C$71</xm:f>
          </x14:formula1>
          <xm:sqref>B60</xm:sqref>
        </x14:dataValidation>
        <x14:dataValidation type="list" allowBlank="1" showInputMessage="1" showErrorMessage="1" xr:uid="{5A6F166F-4A1E-B945-94C8-5CCFE74AB92D}">
          <x14:formula1>
            <xm:f>'Simeon Lights'!$C$79:$C$83</xm:f>
          </x14:formula1>
          <xm:sqref>B62</xm:sqref>
        </x14:dataValidation>
        <x14:dataValidation type="list" allowBlank="1" showInputMessage="1" showErrorMessage="1" xr:uid="{8EC575D3-B2F9-DA4F-96AC-AB25BE32CCE7}">
          <x14:formula1>
            <xm:f>'Ondal Booms'!$B$48:$B$51</xm:f>
          </x14:formula1>
          <xm:sqref>B6</xm:sqref>
        </x14:dataValidation>
        <x14:dataValidation type="list" allowBlank="1" showInputMessage="1" showErrorMessage="1" xr:uid="{977D47FF-2C5B-D048-89DB-ABF88891CF8A}">
          <x14:formula1>
            <xm:f>'Ondal Booms'!$B$100:$B$106</xm:f>
          </x14:formula1>
          <xm:sqref>B11 B35</xm:sqref>
        </x14:dataValidation>
        <x14:dataValidation type="list" allowBlank="1" showInputMessage="1" showErrorMessage="1" xr:uid="{8E70E4EB-62C8-BE4A-91EF-41A8B6D793A5}">
          <x14:formula1>
            <xm:f>'Ondal Booms'!$B$90:$B$96</xm:f>
          </x14:formula1>
          <xm:sqref>B10 B34</xm:sqref>
        </x14:dataValidation>
        <x14:dataValidation type="list" allowBlank="1" showInputMessage="1" showErrorMessage="1" xr:uid="{A6298C19-0034-9D40-BAFF-7B91EA8970AF}">
          <x14:formula1>
            <xm:f>'Ondal Booms'!$B$3:$B$10</xm:f>
          </x14:formula1>
          <xm:sqref>B6:B9 B31:B33</xm:sqref>
        </x14:dataValidation>
        <x14:dataValidation type="list" allowBlank="1" showDropDown="1" showInputMessage="1" showErrorMessage="1" xr:uid="{7BA4E5F9-28AA-B948-8242-7DBD498BE8CD}">
          <x14:formula1>
            <xm:f>'Ondal Booms'!$B$3:$B$10</xm:f>
          </x14:formula1>
          <xm:sqref>B5:B7 B30:B31</xm:sqref>
        </x14:dataValidation>
        <x14:dataValidation type="list" allowBlank="1" showInputMessage="1" showErrorMessage="1" xr:uid="{F870DD0C-3223-F141-B667-E9805E0CACBA}">
          <x14:formula1>
            <xm:f>'Ondal Booms'!$B$169:$B$181</xm:f>
          </x14:formula1>
          <xm:sqref>B17:B23 B41:B47</xm:sqref>
        </x14:dataValidation>
        <x14:dataValidation type="list" allowBlank="1" showInputMessage="1" showErrorMessage="1" xr:uid="{C71DE8C9-D0E4-3B4D-91AA-89DD33FFBADC}">
          <x14:formula1>
            <xm:f>'Ondal Booms'!$B$145:$B$150</xm:f>
          </x14:formula1>
          <xm:sqref>B15 B39</xm:sqref>
        </x14:dataValidation>
        <x14:dataValidation type="list" allowBlank="1" showInputMessage="1" showErrorMessage="1" xr:uid="{362D74E1-61CE-6E46-B2FF-5033E3B633E3}">
          <x14:formula1>
            <xm:f>'Ondal Booms'!#REF!</xm:f>
          </x14:formula1>
          <xm:sqref>B15:B16 B39:B40</xm:sqref>
        </x14:dataValidation>
        <x14:dataValidation type="list" allowBlank="1" showInputMessage="1" showErrorMessage="1" xr:uid="{A73E06B3-F056-E441-9A6D-1BC6F08C3C34}">
          <x14:formula1>
            <xm:f>'Ondal Booms'!$B$159:$B$166</xm:f>
          </x14:formula1>
          <xm:sqref>B14 B38</xm:sqref>
        </x14:dataValidation>
        <x14:dataValidation type="list" allowBlank="1" showInputMessage="1" showErrorMessage="1" xr:uid="{729435ED-1A48-E04A-973C-F656BD0FDB2D}">
          <x14:formula1>
            <xm:f>'Simeon Lights'!$C$49:$C$59</xm:f>
          </x14:formula1>
          <xm:sqref>B56</xm:sqref>
        </x14:dataValidation>
        <x14:dataValidation type="list" allowBlank="1" showInputMessage="1" showErrorMessage="1" xr:uid="{1D9283B4-6F2A-9944-A111-B8855F7CC003}">
          <x14:formula1>
            <xm:f>'Simeon Lights'!$C$103:$C$108</xm:f>
          </x14:formula1>
          <xm:sqref>B55</xm:sqref>
        </x14:dataValidation>
        <x14:dataValidation type="list" allowBlank="1" showInputMessage="1" showErrorMessage="1" xr:uid="{BFB7B8DA-7792-CB46-93D1-EB9F6313A949}">
          <x14:formula1>
            <xm:f>'Simeon Lights'!$C$27:$C$45</xm:f>
          </x14:formula1>
          <xm:sqref>B57:B59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24D3-8DF6-CB4C-B70D-2D894DB03993}">
  <dimension ref="A1:AH71"/>
  <sheetViews>
    <sheetView zoomScaleNormal="100" workbookViewId="0">
      <selection activeCell="B2" sqref="B2"/>
    </sheetView>
  </sheetViews>
  <sheetFormatPr defaultColWidth="11" defaultRowHeight="15.95" outlineLevelRow="1" outlineLevelCol="1"/>
  <cols>
    <col min="1" max="1" width="27.875" customWidth="1"/>
    <col min="2" max="2" width="43" customWidth="1"/>
    <col min="3" max="5" width="17.625" customWidth="1" outlineLevel="1"/>
    <col min="6" max="6" width="2.375" customWidth="1"/>
    <col min="7" max="7" width="18.375" customWidth="1" outlineLevel="1"/>
    <col min="8" max="8" width="8.375" customWidth="1" outlineLevel="1"/>
    <col min="9" max="9" width="2.375" customWidth="1"/>
    <col min="10" max="10" width="7" bestFit="1" customWidth="1"/>
    <col min="11" max="11" width="14" customWidth="1"/>
    <col min="12" max="13" width="3.375" customWidth="1"/>
    <col min="14" max="14" width="16.5" customWidth="1"/>
    <col min="15" max="16" width="3.375" customWidth="1"/>
    <col min="17" max="17" width="13.375" customWidth="1"/>
    <col min="18" max="18" width="3" customWidth="1"/>
    <col min="19" max="19" width="13" customWidth="1"/>
    <col min="20" max="21" width="3.375" customWidth="1"/>
    <col min="22" max="22" width="16.375" customWidth="1"/>
    <col min="23" max="24" width="3.375" customWidth="1"/>
    <col min="25" max="25" width="13.375" customWidth="1"/>
    <col min="26" max="26" width="13.375" style="40" customWidth="1"/>
    <col min="27" max="29" width="13.375" customWidth="1"/>
    <col min="30" max="30" width="13" customWidth="1"/>
    <col min="31" max="31" width="3.5" hidden="1" customWidth="1"/>
    <col min="32" max="33" width="4.375" hidden="1" customWidth="1"/>
    <col min="34" max="34" width="4.5" hidden="1" customWidth="1"/>
  </cols>
  <sheetData>
    <row r="1" spans="1:34">
      <c r="A1" s="46" t="s">
        <v>1100</v>
      </c>
      <c r="B1" s="47" t="s">
        <v>1022</v>
      </c>
    </row>
    <row r="2" spans="1:34">
      <c r="A2" s="48" t="s">
        <v>163</v>
      </c>
      <c r="B2" s="33"/>
    </row>
    <row r="3" spans="1:34">
      <c r="E3" s="37"/>
    </row>
    <row r="4" spans="1:34" ht="18.95">
      <c r="A4" s="46" t="s">
        <v>1024</v>
      </c>
      <c r="B4" s="47" t="s">
        <v>1025</v>
      </c>
      <c r="C4" s="47" t="s">
        <v>1026</v>
      </c>
      <c r="D4" s="47" t="s">
        <v>1027</v>
      </c>
      <c r="E4" s="47" t="s">
        <v>1028</v>
      </c>
      <c r="G4" s="79" t="s">
        <v>1029</v>
      </c>
      <c r="H4" s="80" t="s">
        <v>1030</v>
      </c>
      <c r="J4" s="83" t="s">
        <v>1031</v>
      </c>
      <c r="K4" s="84" t="s">
        <v>1032</v>
      </c>
      <c r="L4" s="282" t="s">
        <v>1033</v>
      </c>
      <c r="M4" s="282"/>
      <c r="N4" s="282"/>
      <c r="O4" s="282"/>
      <c r="P4" s="282"/>
      <c r="Q4" s="80" t="s">
        <v>1032</v>
      </c>
      <c r="R4" s="36"/>
      <c r="S4" s="79" t="s">
        <v>1032</v>
      </c>
      <c r="T4" s="282" t="s">
        <v>1034</v>
      </c>
      <c r="U4" s="282"/>
      <c r="V4" s="282"/>
      <c r="W4" s="282"/>
      <c r="X4" s="282"/>
      <c r="Y4" s="80" t="s">
        <v>1032</v>
      </c>
      <c r="AE4">
        <f>COUNTIF(K5,"(2) Duplexes")+COUNTIF(Y5,"(2) Duplexes")</f>
        <v>0</v>
      </c>
      <c r="AF4">
        <f>COUNTIF(Q5:S5,"(2) Duplexes")</f>
        <v>0</v>
      </c>
      <c r="AG4">
        <f>COUNTIF(K5,"(3) Duplexes")+COUNTIF(Y5,"(3) Duplexes")</f>
        <v>0</v>
      </c>
      <c r="AH4">
        <f>COUNTIF(Q5:S5,"(3) Duplexes")</f>
        <v>0</v>
      </c>
    </row>
    <row r="5" spans="1:34" outlineLevel="1">
      <c r="A5" s="49" t="s">
        <v>1035</v>
      </c>
      <c r="B5" s="50" t="str">
        <f>IF(OR(ISBLANK(B8),ISBLANK(B9)),"",IF(ISBLANK(B9),0,(VLOOKUP(B9,'Ondal Booms'!B:F,5,FALSE)))&amp;IF(ISBLANK(B8),0,(VLOOKUP(B8,'Ondal Booms'!B:F,5,FALSE))))</f>
        <v/>
      </c>
      <c r="C5" s="4">
        <f>IF(OR(ISBLANK(B5),B5=""),0,VLOOKUP(B5,'Ondal Booms'!B:G,4,FALSE))</f>
        <v>0</v>
      </c>
      <c r="D5" s="37">
        <f>IF(OR(ISBLANK(B5),B5=""),0,VLOOKUP(B5,'Ondal Booms'!B:G,2,FALSE))</f>
        <v>0</v>
      </c>
      <c r="E5" s="35">
        <f>IF(OR(ISBLANK(B5),B5=""),0,VLOOKUP(B5,'Ondal Booms'!B:G,3,FALSE))</f>
        <v>0</v>
      </c>
      <c r="G5" s="48" t="s">
        <v>1036</v>
      </c>
      <c r="H5" s="77">
        <f>COUNTIF(K5:Y14,"(2) Duplexes")*2+COUNTIF(K5:Y14,"(3) Duplexes")*3</f>
        <v>0</v>
      </c>
      <c r="J5" s="67" t="s">
        <v>1037</v>
      </c>
      <c r="K5" s="82"/>
      <c r="L5" s="56"/>
      <c r="M5" s="57"/>
      <c r="N5" s="58"/>
      <c r="O5" s="59"/>
      <c r="P5" s="57"/>
      <c r="Q5" s="82"/>
      <c r="S5" s="82"/>
      <c r="T5" s="59"/>
      <c r="U5" s="57"/>
      <c r="V5" s="58"/>
      <c r="W5" s="59"/>
      <c r="X5" s="57"/>
      <c r="Y5" s="82"/>
      <c r="Z5" s="40">
        <f>15-COUNTIFS(K5:Y5,"")</f>
        <v>0</v>
      </c>
    </row>
    <row r="6" spans="1:34" ht="17.100000000000001" outlineLevel="1" thickBot="1">
      <c r="A6" s="55" t="s">
        <v>310</v>
      </c>
      <c r="B6" s="7"/>
      <c r="C6" s="4">
        <f>IF(OR(ISBLANK(B6),B6=""),0,VLOOKUP(B6,'Ondal Booms'!B:G,4,FALSE))</f>
        <v>0</v>
      </c>
      <c r="D6" s="37">
        <f>IF(OR(ISBLANK(B6),B6=""),0,VLOOKUP(B6,'Ondal Booms'!B:G,2,FALSE))</f>
        <v>0</v>
      </c>
      <c r="E6" s="35">
        <f>IF(OR(ISBLANK(B6),B6=""),0,VLOOKUP(B6,'Ondal Booms'!B:G,3,FALSE))</f>
        <v>0</v>
      </c>
      <c r="J6" s="55" t="s">
        <v>1038</v>
      </c>
      <c r="K6" s="33"/>
      <c r="L6" s="56"/>
      <c r="M6" s="57"/>
      <c r="N6" s="58"/>
      <c r="O6" s="59"/>
      <c r="P6" s="57"/>
      <c r="Q6" s="33"/>
      <c r="S6" s="33"/>
      <c r="T6" s="59"/>
      <c r="U6" s="57"/>
      <c r="V6" s="58"/>
      <c r="W6" s="59"/>
      <c r="X6" s="57"/>
      <c r="Y6" s="33"/>
      <c r="Z6" s="40">
        <f t="shared" ref="Z6:Z14" si="0">15-COUNTIFS(K6:Y6,"")</f>
        <v>0</v>
      </c>
      <c r="AE6">
        <f>COUNTIF(K7,"(2) Duplexes")+COUNTIF(Y7,"(2) Duplexes")</f>
        <v>0</v>
      </c>
      <c r="AF6">
        <f>COUNTIF(Q7:S7,"(2) Duplexes")</f>
        <v>0</v>
      </c>
      <c r="AG6">
        <f>COUNTIF(K7,"(3) Duplexes")+COUNTIF(Y7,"(3) Duplexes")</f>
        <v>0</v>
      </c>
      <c r="AH6">
        <f>COUNTIF(Q7:S7,"(3) Duplexes")</f>
        <v>0</v>
      </c>
    </row>
    <row r="7" spans="1:34" outlineLevel="1">
      <c r="A7" s="55" t="s">
        <v>354</v>
      </c>
      <c r="B7" s="45"/>
      <c r="C7" s="4">
        <f>IF(OR(ISBLANK(B7),B7=""),0,VLOOKUP(B7,'Ondal Booms'!B:G,4,FALSE))</f>
        <v>0</v>
      </c>
      <c r="D7" s="37">
        <f>IF(OR(ISBLANK(B7),B7=""),0,VLOOKUP(B7,'Ondal Booms'!B:G,2,FALSE))</f>
        <v>0</v>
      </c>
      <c r="E7" s="35">
        <f>IF(OR(ISBLANK(B7),B7=""),0,VLOOKUP(B7,'Ondal Booms'!B:G,3,FALSE))</f>
        <v>0</v>
      </c>
      <c r="G7" s="79" t="s">
        <v>1039</v>
      </c>
      <c r="H7" s="80" t="s">
        <v>1030</v>
      </c>
      <c r="J7" s="55" t="s">
        <v>1040</v>
      </c>
      <c r="K7" s="33"/>
      <c r="L7" s="52"/>
      <c r="M7" s="53"/>
      <c r="N7" s="58"/>
      <c r="O7" s="54"/>
      <c r="P7" s="53"/>
      <c r="Q7" s="33"/>
      <c r="S7" s="33"/>
      <c r="T7" s="54"/>
      <c r="U7" s="53"/>
      <c r="V7" s="58"/>
      <c r="W7" s="54"/>
      <c r="X7" s="53"/>
      <c r="Y7" s="33"/>
      <c r="Z7" s="40">
        <f t="shared" si="0"/>
        <v>0</v>
      </c>
    </row>
    <row r="8" spans="1:34" ht="17.100000000000001" outlineLevel="1" thickBot="1">
      <c r="A8" s="55" t="s">
        <v>355</v>
      </c>
      <c r="B8" s="8"/>
      <c r="C8" s="4">
        <f>IF(OR(ISBLANK(B8),B8=""),0,VLOOKUP(B8,'Ondal Booms'!B:G,4,FALSE))</f>
        <v>0</v>
      </c>
      <c r="D8" s="37">
        <f>IF(OR(ISBLANK(B8),B8=""),0,VLOOKUP(B8,'Ondal Booms'!B:G,2,FALSE))</f>
        <v>0</v>
      </c>
      <c r="E8" s="35">
        <f>IF(OR(ISBLANK(B8),B8=""),0,VLOOKUP(B8,'Ondal Booms'!B:G,3,FALSE))</f>
        <v>0</v>
      </c>
      <c r="G8" s="55" t="s">
        <v>1041</v>
      </c>
      <c r="H8" s="78">
        <f>(COUNTIF(K5:Y14,"Data"))</f>
        <v>0</v>
      </c>
      <c r="J8" s="55" t="s">
        <v>1042</v>
      </c>
      <c r="K8" s="33"/>
      <c r="L8" s="56"/>
      <c r="M8" s="57"/>
      <c r="N8" s="58"/>
      <c r="O8" s="59"/>
      <c r="P8" s="57"/>
      <c r="Q8" s="33"/>
      <c r="S8" s="33"/>
      <c r="T8" s="59"/>
      <c r="U8" s="57"/>
      <c r="V8" s="58"/>
      <c r="W8" s="59"/>
      <c r="X8" s="57"/>
      <c r="Y8" s="33"/>
      <c r="Z8" s="40">
        <f t="shared" si="0"/>
        <v>0</v>
      </c>
      <c r="AE8">
        <f>COUNTIF(K9,"(2) Duplexes")+COUNTIF(Y9,"(2) Duplexes")</f>
        <v>0</v>
      </c>
      <c r="AF8">
        <f>COUNTIF(Q9:S9,"(2) Duplexes")</f>
        <v>0</v>
      </c>
      <c r="AG8">
        <f>COUNTIF(K9,"(3) Duplexes")+COUNTIF(Y9,"(3) Duplexes")</f>
        <v>0</v>
      </c>
      <c r="AH8">
        <f>COUNTIF(Q9:S9,"(3) Duplexes")</f>
        <v>0</v>
      </c>
    </row>
    <row r="9" spans="1:34" outlineLevel="1">
      <c r="A9" s="55" t="s">
        <v>356</v>
      </c>
      <c r="B9" s="7"/>
      <c r="C9" s="4">
        <f>IF(OR(ISBLANK(B9),B9=""),0,VLOOKUP(B9,'Ondal Booms'!B:G,4,FALSE))</f>
        <v>0</v>
      </c>
      <c r="D9" s="37">
        <f>IF(OR(ISBLANK(B9),B9=""),0,VLOOKUP(B9,'Ondal Booms'!B:G,2,FALSE))</f>
        <v>0</v>
      </c>
      <c r="E9" s="35">
        <f>IF(OR(ISBLANK(B9),B9=""),0,VLOOKUP(B9,'Ondal Booms'!B:G,3,FALSE))</f>
        <v>0</v>
      </c>
      <c r="G9" s="64" t="s">
        <v>1043</v>
      </c>
      <c r="H9" s="77">
        <f>(COUNTIF(K5:Y14,"Storz 4in1"))</f>
        <v>0</v>
      </c>
      <c r="J9" s="55" t="s">
        <v>1044</v>
      </c>
      <c r="K9" s="33"/>
      <c r="L9" s="52"/>
      <c r="M9" s="53"/>
      <c r="N9" s="58"/>
      <c r="O9" s="54"/>
      <c r="P9" s="53"/>
      <c r="Q9" s="33"/>
      <c r="S9" s="33"/>
      <c r="T9" s="54"/>
      <c r="U9" s="53"/>
      <c r="V9" s="58"/>
      <c r="W9" s="54"/>
      <c r="X9" s="53"/>
      <c r="Y9" s="33"/>
      <c r="Z9" s="40">
        <f t="shared" si="0"/>
        <v>0</v>
      </c>
    </row>
    <row r="10" spans="1:34" ht="17.100000000000001" outlineLevel="1" thickBot="1">
      <c r="A10" s="55" t="s">
        <v>418</v>
      </c>
      <c r="B10" s="7"/>
      <c r="C10" s="4">
        <f>IF(OR(ISBLANK(B10),B10=""),0,VLOOKUP(B10,'Ondal Booms'!B:G,4,FALSE))</f>
        <v>0</v>
      </c>
      <c r="D10" s="37">
        <f>IF(OR(ISBLANK(B10),B10=""),0,VLOOKUP(B10,'Ondal Booms'!B:G,2,FALSE))</f>
        <v>0</v>
      </c>
      <c r="E10" s="35">
        <f>IF(OR(ISBLANK(B10),B10=""),0,VLOOKUP(B10,'Ondal Booms'!B:G,3,FALSE))</f>
        <v>0</v>
      </c>
      <c r="J10" s="55" t="s">
        <v>1045</v>
      </c>
      <c r="K10" s="33"/>
      <c r="L10" s="60"/>
      <c r="M10" s="61"/>
      <c r="N10" s="58"/>
      <c r="O10" s="62"/>
      <c r="P10" s="61"/>
      <c r="Q10" s="33"/>
      <c r="S10" s="33"/>
      <c r="T10" s="62"/>
      <c r="U10" s="61"/>
      <c r="V10" s="58"/>
      <c r="W10" s="62"/>
      <c r="X10" s="61"/>
      <c r="Y10" s="33"/>
      <c r="Z10" s="40">
        <f>15-COUNTIFS(K10:Y10,"")</f>
        <v>0</v>
      </c>
      <c r="AE10">
        <f>COUNTIF(K11,"(2) Duplexes")+COUNTIF(Y11,"(2) Duplexes")</f>
        <v>0</v>
      </c>
      <c r="AF10">
        <f>COUNTIF(Q11:S11,"(2) Duplexes")</f>
        <v>0</v>
      </c>
      <c r="AG10">
        <f>COUNTIF(K11,"(3) Duplexes")+COUNTIF(Y11,"(3) Duplexes")</f>
        <v>0</v>
      </c>
      <c r="AH10">
        <f>COUNTIF(Q11:S11,"(3) Duplexes")</f>
        <v>0</v>
      </c>
    </row>
    <row r="11" spans="1:34" outlineLevel="1">
      <c r="A11" s="55" t="s">
        <v>357</v>
      </c>
      <c r="B11" s="7"/>
      <c r="C11" s="4">
        <f>IF(OR(ISBLANK(B11),B11=""),0,VLOOKUP(B11,'Ondal Booms'!B:G,4,FALSE))</f>
        <v>0</v>
      </c>
      <c r="D11" s="37">
        <f>IF(OR(ISBLANK(B11),B11=""),0,VLOOKUP(B11,'Ondal Booms'!B:G,2,FALSE))</f>
        <v>0</v>
      </c>
      <c r="E11" s="35">
        <f>IF(OR(ISBLANK(B11),B11=""),0,VLOOKUP(B11,'Ondal Booms'!B:G,3,FALSE))</f>
        <v>0</v>
      </c>
      <c r="G11" s="79" t="s">
        <v>1046</v>
      </c>
      <c r="H11" s="80" t="s">
        <v>1030</v>
      </c>
      <c r="J11" s="55" t="s">
        <v>1047</v>
      </c>
      <c r="K11" s="33"/>
      <c r="L11" s="56"/>
      <c r="M11" s="57"/>
      <c r="N11" s="58"/>
      <c r="O11" s="59"/>
      <c r="P11" s="57"/>
      <c r="Q11" s="33"/>
      <c r="S11" s="33"/>
      <c r="T11" s="59"/>
      <c r="U11" s="57"/>
      <c r="V11" s="58"/>
      <c r="W11" s="59"/>
      <c r="X11" s="57"/>
      <c r="Y11" s="33"/>
      <c r="Z11" s="40">
        <f t="shared" si="0"/>
        <v>0</v>
      </c>
    </row>
    <row r="12" spans="1:34" ht="17.100000000000001" outlineLevel="1" thickBot="1">
      <c r="A12" s="49" t="s">
        <v>99</v>
      </c>
      <c r="B12" s="50" t="str">
        <f>IF(OR(H5=0,ISBLANK(H5)),"",H5&amp;" Duplexes")</f>
        <v/>
      </c>
      <c r="C12" s="4">
        <f>IF(OR(ISBLANK(B12),B12=""),0,VLOOKUP(B12,'Ondal Booms'!B:G,4,FALSE))</f>
        <v>0</v>
      </c>
      <c r="D12" s="37">
        <f>IF(OR(ISBLANK(B12),B12=""),0,VLOOKUP(B12,'Ondal Booms'!B:G,2,FALSE))</f>
        <v>0</v>
      </c>
      <c r="E12" s="35">
        <f>IF(OR(ISBLANK(B12),B12=""),0,VLOOKUP(B12,'Ondal Booms'!B:G,3,FALSE))</f>
        <v>0</v>
      </c>
      <c r="G12" s="55" t="s">
        <v>1048</v>
      </c>
      <c r="H12" s="78">
        <f>(COUNTIF(K5:Y14,"Oxygen"))</f>
        <v>0</v>
      </c>
      <c r="J12" s="55" t="s">
        <v>1049</v>
      </c>
      <c r="K12" s="33"/>
      <c r="L12" s="60"/>
      <c r="M12" s="61"/>
      <c r="N12" s="58"/>
      <c r="O12" s="62"/>
      <c r="P12" s="61"/>
      <c r="Q12" s="33"/>
      <c r="S12" s="33"/>
      <c r="T12" s="62"/>
      <c r="U12" s="61"/>
      <c r="V12" s="58"/>
      <c r="W12" s="62"/>
      <c r="X12" s="61"/>
      <c r="Y12" s="33"/>
      <c r="Z12" s="40">
        <f t="shared" si="0"/>
        <v>0</v>
      </c>
      <c r="AE12">
        <f>COUNTIF(K13,"(2) Duplexes")+COUNTIF(Y13,"(2) Duplexes")</f>
        <v>0</v>
      </c>
      <c r="AF12">
        <f>COUNTIF(Q13:S13,"(2) Duplexes")</f>
        <v>0</v>
      </c>
      <c r="AG12">
        <f>COUNTIF(K13,"(3) Duplexes")+COUNTIF(Y13,"(3) Duplexes")</f>
        <v>0</v>
      </c>
      <c r="AH12">
        <f>COUNTIF(Q13:S13,"(3) Duplexes")</f>
        <v>0</v>
      </c>
    </row>
    <row r="13" spans="1:34" outlineLevel="1">
      <c r="A13" s="49" t="s">
        <v>95</v>
      </c>
      <c r="B13" s="50" t="str">
        <f>IF(OR(SUM(H12:H18)=0,ISBLANK(SUM(H12:H18))),"",SUM(H12:H18)&amp;" Outlets")</f>
        <v/>
      </c>
      <c r="C13" s="4">
        <f>IF(OR(ISBLANK(B13),B13=""),0,VLOOKUP(B13,'Ondal Booms'!B:G,4,FALSE))</f>
        <v>0</v>
      </c>
      <c r="D13" s="37">
        <f>IF(OR(ISBLANK(B13),B13=""),0,VLOOKUP(B13,'Ondal Booms'!B:G,2,FALSE))</f>
        <v>0</v>
      </c>
      <c r="E13" s="35">
        <f>IF(OR(ISBLANK(B13),B13=""),0,VLOOKUP(B13,'Ondal Booms'!B:G,3,FALSE))</f>
        <v>0</v>
      </c>
      <c r="G13" s="55" t="s">
        <v>1050</v>
      </c>
      <c r="H13" s="77">
        <f>COUNTIF(K5:Y14,"Medical Air")</f>
        <v>0</v>
      </c>
      <c r="J13" s="55" t="s">
        <v>1051</v>
      </c>
      <c r="K13" s="33"/>
      <c r="L13" s="56"/>
      <c r="M13" s="57"/>
      <c r="N13" s="58"/>
      <c r="O13" s="59"/>
      <c r="P13" s="57"/>
      <c r="Q13" s="33"/>
      <c r="S13" s="33"/>
      <c r="T13" s="59"/>
      <c r="U13" s="57"/>
      <c r="V13" s="58"/>
      <c r="W13" s="59"/>
      <c r="X13" s="57"/>
      <c r="Y13" s="33"/>
      <c r="Z13" s="40">
        <f t="shared" si="0"/>
        <v>0</v>
      </c>
    </row>
    <row r="14" spans="1:34" ht="17.100000000000001" outlineLevel="1" thickBot="1">
      <c r="A14" s="55" t="s">
        <v>1052</v>
      </c>
      <c r="B14" s="45"/>
      <c r="C14" s="4">
        <f>IF(OR(ISBLANK(B14),B14=""),0,VLOOKUP(B14,'Ondal Booms'!B:G,4,FALSE))</f>
        <v>0</v>
      </c>
      <c r="D14" s="37">
        <f>IF(OR(ISBLANK(B14),B14=""),0,VLOOKUP(B14,'Ondal Booms'!B:G,2,FALSE))</f>
        <v>0</v>
      </c>
      <c r="E14" s="35">
        <f>IF(OR(ISBLANK(B14),B14=""),0,VLOOKUP(B14,'Ondal Booms'!B:G,3,FALSE))</f>
        <v>0</v>
      </c>
      <c r="G14" s="55" t="s">
        <v>1053</v>
      </c>
      <c r="H14" s="77">
        <f>COUNTIF(K5:Y14,"Nitrous Oxide")</f>
        <v>0</v>
      </c>
      <c r="J14" s="64" t="s">
        <v>1054</v>
      </c>
      <c r="K14" s="33"/>
      <c r="L14" s="60"/>
      <c r="M14" s="61"/>
      <c r="N14" s="63"/>
      <c r="O14" s="62"/>
      <c r="P14" s="61"/>
      <c r="Q14" s="33"/>
      <c r="S14" s="33"/>
      <c r="T14" s="62"/>
      <c r="U14" s="61"/>
      <c r="V14" s="63"/>
      <c r="W14" s="62"/>
      <c r="X14" s="61"/>
      <c r="Y14" s="33"/>
      <c r="Z14" s="40">
        <f t="shared" si="0"/>
        <v>0</v>
      </c>
    </row>
    <row r="15" spans="1:34" outlineLevel="1">
      <c r="A15" s="55" t="s">
        <v>454</v>
      </c>
      <c r="B15" s="45"/>
      <c r="C15" s="4">
        <f>IF(OR(ISBLANK(B15),B15=""),0,VLOOKUP(B15,'Ondal Booms'!B:G,4,FALSE))</f>
        <v>0</v>
      </c>
      <c r="D15" s="37">
        <f>IF(OR(ISBLANK(B15),B15=""),0,VLOOKUP(B15,'Ondal Booms'!B:G,2,FALSE))</f>
        <v>0</v>
      </c>
      <c r="E15" s="35">
        <f>IF(OR(ISBLANK(B15),B15=""),0,VLOOKUP(B15,'Ondal Booms'!B:G,3,FALSE))</f>
        <v>0</v>
      </c>
      <c r="G15" s="55" t="s">
        <v>1055</v>
      </c>
      <c r="H15" s="77">
        <f>COUNTIF(K5:Y14,"WAGD")</f>
        <v>0</v>
      </c>
    </row>
    <row r="16" spans="1:34" outlineLevel="1">
      <c r="A16" s="55" t="s">
        <v>455</v>
      </c>
      <c r="B16" s="45"/>
      <c r="C16" s="4">
        <f>IF(OR(ISBLANK(B16),B16=""),0,VLOOKUP(B16,'Ondal Booms'!B:G,4,FALSE))</f>
        <v>0</v>
      </c>
      <c r="D16" s="37">
        <f>IF(OR(ISBLANK(B16),B16=""),0,VLOOKUP(B16,'Ondal Booms'!B:G,2,FALSE))</f>
        <v>0</v>
      </c>
      <c r="E16" s="35">
        <f>IF(OR(ISBLANK(B16),B16=""),0,VLOOKUP(B16,'Ondal Booms'!B:G,3,FALSE))</f>
        <v>0</v>
      </c>
      <c r="G16" s="55" t="s">
        <v>1056</v>
      </c>
      <c r="H16" s="77">
        <f>COUNTIF(K5:Y14,"Vacuum")</f>
        <v>0</v>
      </c>
    </row>
    <row r="17" spans="1:34" outlineLevel="1">
      <c r="A17" s="55" t="s">
        <v>1057</v>
      </c>
      <c r="B17" s="45"/>
      <c r="C17" s="4">
        <f>IF(OR(ISBLANK(B17),B17=""),0,VLOOKUP(B17,'Ondal Booms'!B:G,4,FALSE))</f>
        <v>0</v>
      </c>
      <c r="D17" s="37">
        <f>IF(OR(ISBLANK(B17),B17=""),0,VLOOKUP(B17,'Ondal Booms'!B:G,2,FALSE))</f>
        <v>0</v>
      </c>
      <c r="E17" s="35">
        <f>IF(OR(ISBLANK(B17),B17=""),0,VLOOKUP(B17,'Ondal Booms'!B:G,3,FALSE))</f>
        <v>0</v>
      </c>
      <c r="G17" s="55" t="s">
        <v>1058</v>
      </c>
      <c r="H17" s="77">
        <f>COUNTIF(K5:Y14,"Nitrogen")</f>
        <v>0</v>
      </c>
    </row>
    <row r="18" spans="1:34" outlineLevel="1">
      <c r="A18" s="55" t="s">
        <v>1059</v>
      </c>
      <c r="B18" s="45"/>
      <c r="C18" s="4">
        <f>IF(OR(ISBLANK(B18),B18=""),0,VLOOKUP(B18,'Ondal Booms'!B:G,4,FALSE))</f>
        <v>0</v>
      </c>
      <c r="D18" s="37">
        <f>IF(OR(ISBLANK(B18),B18=""),0,VLOOKUP(B18,'Ondal Booms'!B:G,2,FALSE))</f>
        <v>0</v>
      </c>
      <c r="E18" s="35">
        <f>IF(OR(ISBLANK(B18),B18=""),0,VLOOKUP(B18,'Ondal Booms'!B:G,3,FALSE))</f>
        <v>0</v>
      </c>
      <c r="G18" s="64" t="s">
        <v>1060</v>
      </c>
      <c r="H18" s="77">
        <f>COUNTIF(K5:Y14,"Carbon Dioxide")</f>
        <v>0</v>
      </c>
    </row>
    <row r="19" spans="1:34" outlineLevel="1">
      <c r="A19" s="55" t="s">
        <v>1061</v>
      </c>
      <c r="B19" s="45"/>
      <c r="C19" s="4">
        <f>IF(OR(ISBLANK(B19),B19=""),0,VLOOKUP(B19,'Ondal Booms'!B:G,4,FALSE))</f>
        <v>0</v>
      </c>
      <c r="D19" s="37">
        <f>IF(OR(ISBLANK(B19),B19=""),0,VLOOKUP(B19,'Ondal Booms'!B:G,2,FALSE))</f>
        <v>0</v>
      </c>
      <c r="E19" s="35">
        <f>IF(OR(ISBLANK(B19),B19=""),0,VLOOKUP(B19,'Ondal Booms'!B:G,3,FALSE))</f>
        <v>0</v>
      </c>
      <c r="H19" s="36"/>
    </row>
    <row r="20" spans="1:34" outlineLevel="1">
      <c r="A20" s="55" t="s">
        <v>1062</v>
      </c>
      <c r="B20" s="45"/>
      <c r="C20" s="4">
        <f>IF(OR(ISBLANK(B20),B20=""),0,VLOOKUP(B20,'Ondal Booms'!B:G,4,FALSE))</f>
        <v>0</v>
      </c>
      <c r="D20" s="37">
        <f>IF(OR(ISBLANK(B20),B20=""),0,VLOOKUP(B20,'Ondal Booms'!B:G,2,FALSE))</f>
        <v>0</v>
      </c>
      <c r="E20" s="35">
        <f>IF(OR(ISBLANK(B20),B20=""),0,VLOOKUP(B20,'Ondal Booms'!B:G,3,FALSE))</f>
        <v>0</v>
      </c>
    </row>
    <row r="21" spans="1:34" outlineLevel="1">
      <c r="A21" s="55" t="s">
        <v>1063</v>
      </c>
      <c r="B21" s="45"/>
      <c r="C21" s="4">
        <f>IF(OR(ISBLANK(B21),B21=""),0,VLOOKUP(B21,'Ondal Booms'!B:G,4,FALSE))</f>
        <v>0</v>
      </c>
      <c r="D21" s="37">
        <f>IF(OR(ISBLANK(B21),B21=""),0,VLOOKUP(B21,'Ondal Booms'!B:G,2,FALSE))</f>
        <v>0</v>
      </c>
      <c r="E21" s="35">
        <f>IF(OR(ISBLANK(B21),B21=""),0,VLOOKUP(B21,'Ondal Booms'!B:G,3,FALSE))</f>
        <v>0</v>
      </c>
      <c r="G21" s="37"/>
    </row>
    <row r="22" spans="1:34" outlineLevel="1">
      <c r="A22" s="55" t="s">
        <v>1064</v>
      </c>
      <c r="B22" s="45"/>
      <c r="C22" s="4">
        <f>IF(OR(ISBLANK(B22),B22=""),0,VLOOKUP(B22,'Ondal Booms'!B:G,4,FALSE))</f>
        <v>0</v>
      </c>
      <c r="D22" s="37">
        <f>IF(OR(ISBLANK(B22),B22=""),0,VLOOKUP(B22,'Ondal Booms'!B:G,2,FALSE))</f>
        <v>0</v>
      </c>
      <c r="E22" s="35">
        <f>IF(OR(ISBLANK(B22),B22=""),0,VLOOKUP(B22,'Ondal Booms'!B:G,3,FALSE))</f>
        <v>0</v>
      </c>
      <c r="G22" s="37"/>
    </row>
    <row r="23" spans="1:34" outlineLevel="1">
      <c r="A23" s="64" t="s">
        <v>1065</v>
      </c>
      <c r="B23" s="45"/>
      <c r="C23" s="4">
        <f>IF(OR(ISBLANK(B23),B23=""),0,VLOOKUP(B23,'Ondal Booms'!B:G,4,FALSE))</f>
        <v>0</v>
      </c>
      <c r="D23" s="37">
        <f>IF(OR(ISBLANK(B23),B23=""),0,VLOOKUP(B23,'Ondal Booms'!B:G,2,FALSE))</f>
        <v>0</v>
      </c>
      <c r="E23" s="35">
        <f>IF(OR(ISBLANK(B23),B23=""),0,VLOOKUP(B23,'Ondal Booms'!B:G,3,FALSE))</f>
        <v>0</v>
      </c>
    </row>
    <row r="24" spans="1:34" outlineLevel="1">
      <c r="C24" s="4"/>
      <c r="E24" s="37"/>
    </row>
    <row r="25" spans="1:34" outlineLevel="1">
      <c r="A25" s="49" t="s">
        <v>1066</v>
      </c>
      <c r="B25" s="70" t="str">
        <f>IF(OR(ISBLANK(B5),B5=""),"",
IF(OR(AND(B11="200mm Service Head",SUM(Z7:Z14)&gt;0),AND(B11="400mm Service Head",SUM(Z9:Z14)&gt;0),AND(B11="600mm Service Head",SUM(Z11:Z14)&gt;0),AND(B11="800mm Service Head",SUM(Z13:Z14)&gt;0)),"Select Longer Service Head or Remove Services",
IF(AND(RIGHT(B9,2)="XL",RIGHT(B8,2)&lt;&gt;"XL"),"BOTTOM XL ARM REQUIRES TOP XL ARM",
IF(OR(ISBLANK(B6),ISBLANK(B7),ISBLANK(B8),ISBLANK(B9),ISBLANK(B10),ISBLANK(B11),ISBLANK(B15),ISBLANK(B16),ISBLANK(B14)),"Missing Selections for Configuration",
IF(AND(B11="Large Monitor Carrier",B9&lt;&gt;"Spring Articulating"),"Large Monitor Requires Spring Bottom Arm",
IF(OR(AND(RIGHT(B7,2)="XL",RIGHT(B8,2)&lt;&gt;"XL"),AND(RIGHT(B8,2)="XL",RIGHT(B7,2)&lt;&gt;"XL")),"Both Top Arm and Ceiling Flange Must Be XL",
IF(COUNTIF(AE4:AH12,1)&gt;1,"Mismatch Electrical Configuration",
""))))))
)</f>
        <v/>
      </c>
      <c r="C25" s="4"/>
      <c r="D25" s="4"/>
      <c r="E25" s="35"/>
    </row>
    <row r="26" spans="1:34" outlineLevel="1">
      <c r="B26" s="1"/>
      <c r="C26" s="47" t="s">
        <v>1026</v>
      </c>
      <c r="D26" s="47" t="s">
        <v>1027</v>
      </c>
      <c r="E26" s="47" t="s">
        <v>1067</v>
      </c>
      <c r="F26" s="35"/>
      <c r="I26" s="35"/>
    </row>
    <row r="27" spans="1:34" ht="17.100000000000001" thickBot="1">
      <c r="A27" s="69" t="s">
        <v>1068</v>
      </c>
      <c r="B27" s="72" t="str">
        <f>IF(OR(B6="",ISBLANK(B6)),"NO CONFIGURATION SELECTED",C27)</f>
        <v>NO CONFIGURATION SELECTED</v>
      </c>
      <c r="C27" s="65">
        <f>SUM(C5:C23)</f>
        <v>0</v>
      </c>
      <c r="D27" s="65">
        <f t="shared" ref="D27:E27" si="1">SUM(D5:D23)</f>
        <v>0</v>
      </c>
      <c r="E27" s="65">
        <f t="shared" si="1"/>
        <v>0</v>
      </c>
      <c r="F27" s="1"/>
      <c r="I27" s="1"/>
      <c r="J27" t="str">
        <f>"&lt;-- EXPAND TO SHOW OPTIONS / SERVICE HEAD"</f>
        <v>&lt;-- EXPAND TO SHOW OPTIONS / SERVICE HEAD</v>
      </c>
      <c r="AC27" s="285"/>
      <c r="AD27" s="285"/>
      <c r="AE27" s="285"/>
      <c r="AF27" s="285"/>
    </row>
    <row r="28" spans="1:34" ht="17.100000000000001" thickTop="1">
      <c r="C28" s="66"/>
      <c r="D28" s="66"/>
      <c r="E28" s="66"/>
      <c r="F28" s="1"/>
      <c r="I28" s="1"/>
      <c r="AE28">
        <f>COUNTIF(K30,"(2) Duplexes")+COUNTIF(Y30,"(2) Duplexes")</f>
        <v>0</v>
      </c>
      <c r="AF28">
        <f>COUNTIF(Q30:S30,"(2) Duplexes")</f>
        <v>0</v>
      </c>
      <c r="AG28">
        <f>COUNTIF(K30,"(3) Duplexes")+COUNTIF(Y30,"(3) Duplexes")</f>
        <v>0</v>
      </c>
      <c r="AH28">
        <f>COUNTIF(Q30:S30,"(3) Duplexes")</f>
        <v>0</v>
      </c>
    </row>
    <row r="29" spans="1:34" ht="18.95">
      <c r="A29" s="46" t="s">
        <v>1069</v>
      </c>
      <c r="B29" s="47" t="s">
        <v>1025</v>
      </c>
      <c r="C29" s="47" t="s">
        <v>1026</v>
      </c>
      <c r="D29" s="47" t="s">
        <v>1027</v>
      </c>
      <c r="E29" s="47" t="s">
        <v>1028</v>
      </c>
      <c r="G29" s="79" t="s">
        <v>1029</v>
      </c>
      <c r="H29" s="80" t="s">
        <v>1030</v>
      </c>
      <c r="J29" s="83" t="s">
        <v>1031</v>
      </c>
      <c r="K29" s="84" t="s">
        <v>1032</v>
      </c>
      <c r="L29" s="282" t="s">
        <v>1033</v>
      </c>
      <c r="M29" s="282"/>
      <c r="N29" s="282"/>
      <c r="O29" s="282"/>
      <c r="P29" s="282"/>
      <c r="Q29" s="80" t="s">
        <v>1032</v>
      </c>
      <c r="R29" s="36"/>
      <c r="S29" s="79" t="s">
        <v>1032</v>
      </c>
      <c r="T29" s="282" t="s">
        <v>1034</v>
      </c>
      <c r="U29" s="282"/>
      <c r="V29" s="282"/>
      <c r="W29" s="282"/>
      <c r="X29" s="282"/>
      <c r="Y29" s="80" t="s">
        <v>1032</v>
      </c>
    </row>
    <row r="30" spans="1:34" hidden="1" outlineLevel="1">
      <c r="A30" s="49" t="s">
        <v>1035</v>
      </c>
      <c r="B30" s="50" t="str">
        <f>IF(OR(ISBLANK(B32),ISBLANK(B33)),"",IF(ISBLANK(B33),0,(VLOOKUP(B33,'Ondal Booms'!B:F,5,FALSE)))&amp;IF(ISBLANK(B32),0,(VLOOKUP(B32,'Ondal Booms'!B:F,5,FALSE))))</f>
        <v/>
      </c>
      <c r="C30" s="4">
        <f>IF(OR(ISBLANK(B30),B30=""),0,VLOOKUP(B30,'Ondal Booms'!B:G,4,FALSE))</f>
        <v>0</v>
      </c>
      <c r="D30" s="37">
        <f>IF(OR(ISBLANK(B30),B30=""),0,VLOOKUP(B30,'Ondal Booms'!B:G,2,FALSE))</f>
        <v>0</v>
      </c>
      <c r="E30" s="35">
        <f>IF(OR(ISBLANK(B30),B30=""),0,VLOOKUP(B30,'Ondal Booms'!B:G,3,FALSE))</f>
        <v>0</v>
      </c>
      <c r="G30" s="48" t="s">
        <v>1036</v>
      </c>
      <c r="H30" s="77">
        <f>COUNTIF(K30:Y39,"(2) Duplexes")*2+COUNTIF(K30:Y39,"(3) Duplexes")*3</f>
        <v>0</v>
      </c>
      <c r="J30" s="51" t="s">
        <v>1037</v>
      </c>
      <c r="K30" s="82"/>
      <c r="L30" s="56"/>
      <c r="M30" s="57"/>
      <c r="N30" s="58"/>
      <c r="O30" s="59"/>
      <c r="P30" s="57"/>
      <c r="Q30" s="82"/>
      <c r="S30" s="82"/>
      <c r="T30" s="59"/>
      <c r="U30" s="57"/>
      <c r="V30" s="58"/>
      <c r="W30" s="59"/>
      <c r="X30" s="57"/>
      <c r="Y30" s="82"/>
      <c r="Z30" s="40">
        <f>15-COUNTIFS(K30:Y30,"")</f>
        <v>0</v>
      </c>
    </row>
    <row r="31" spans="1:34" ht="17.100000000000001" hidden="1" outlineLevel="1" thickBot="1">
      <c r="A31" s="55" t="s">
        <v>354</v>
      </c>
      <c r="B31" s="45"/>
      <c r="C31" s="4">
        <f>IF(OR(ISBLANK(B31),B31=""),0,VLOOKUP(B31,'Ondal Booms'!B:G,4,FALSE))</f>
        <v>0</v>
      </c>
      <c r="D31" s="37">
        <f>IF(OR(ISBLANK(B31),B31=""),0,VLOOKUP(B31,'Ondal Booms'!B:G,2,FALSE))</f>
        <v>0</v>
      </c>
      <c r="E31" s="35">
        <f>IF(OR(ISBLANK(B31),B31=""),0,VLOOKUP(B31,'Ondal Booms'!B:G,3,FALSE))</f>
        <v>0</v>
      </c>
      <c r="G31" s="79" t="s">
        <v>1039</v>
      </c>
      <c r="H31" s="80" t="s">
        <v>1030</v>
      </c>
      <c r="J31" s="51" t="s">
        <v>1038</v>
      </c>
      <c r="K31" s="33"/>
      <c r="L31" s="56"/>
      <c r="M31" s="57"/>
      <c r="N31" s="58"/>
      <c r="O31" s="59"/>
      <c r="P31" s="57"/>
      <c r="Q31" s="33"/>
      <c r="S31" s="33"/>
      <c r="T31" s="59"/>
      <c r="U31" s="57"/>
      <c r="V31" s="58"/>
      <c r="W31" s="59"/>
      <c r="X31" s="57"/>
      <c r="Y31" s="33"/>
      <c r="Z31" s="40">
        <f t="shared" ref="Z31:Z34" si="2">15-COUNTIFS(K31:Y31,"")</f>
        <v>0</v>
      </c>
      <c r="AE31">
        <f>COUNTIF(K32,"(2) Duplexes")+COUNTIF(Y32,"(2) Duplexes")</f>
        <v>0</v>
      </c>
      <c r="AF31">
        <f>COUNTIF(Q32:S32,"(2) Duplexes")</f>
        <v>0</v>
      </c>
      <c r="AG31">
        <f>COUNTIF(K32,"(3) Duplexes")+COUNTIF(Y32,"(3) Duplexes")</f>
        <v>0</v>
      </c>
      <c r="AH31">
        <f>COUNTIF(Q32:S32,"(3) Duplexes")</f>
        <v>0</v>
      </c>
    </row>
    <row r="32" spans="1:34" hidden="1" outlineLevel="1">
      <c r="A32" s="55" t="s">
        <v>355</v>
      </c>
      <c r="B32" s="8"/>
      <c r="C32" s="4">
        <f>IF(OR(ISBLANK(B32),B32=""),0,VLOOKUP(B32,'Ondal Booms'!B:G,4,FALSE))</f>
        <v>0</v>
      </c>
      <c r="D32" s="37">
        <f>IF(OR(ISBLANK(B32),B32=""),0,VLOOKUP(B32,'Ondal Booms'!B:G,2,FALSE))</f>
        <v>0</v>
      </c>
      <c r="E32" s="35">
        <f>IF(OR(ISBLANK(B32),B32=""),0,VLOOKUP(B32,'Ondal Booms'!B:G,3,FALSE))</f>
        <v>0</v>
      </c>
      <c r="G32" s="55" t="s">
        <v>1041</v>
      </c>
      <c r="H32" s="78">
        <f>(COUNTIF(K30:Y39,"Data"))</f>
        <v>0</v>
      </c>
      <c r="J32" s="51" t="s">
        <v>1040</v>
      </c>
      <c r="K32" s="33"/>
      <c r="L32" s="52"/>
      <c r="M32" s="53"/>
      <c r="N32" s="58"/>
      <c r="O32" s="54"/>
      <c r="P32" s="53"/>
      <c r="Q32" s="33"/>
      <c r="S32" s="33"/>
      <c r="T32" s="54"/>
      <c r="U32" s="53"/>
      <c r="V32" s="58"/>
      <c r="W32" s="54"/>
      <c r="X32" s="53"/>
      <c r="Y32" s="33"/>
      <c r="Z32" s="40">
        <f t="shared" si="2"/>
        <v>0</v>
      </c>
    </row>
    <row r="33" spans="1:34" ht="17.100000000000001" hidden="1" outlineLevel="1" thickBot="1">
      <c r="A33" s="55" t="s">
        <v>356</v>
      </c>
      <c r="B33" s="7"/>
      <c r="C33" s="4">
        <f>IF(OR(ISBLANK(B33),B33=""),0,VLOOKUP(B33,'Ondal Booms'!B:G,4,FALSE))</f>
        <v>0</v>
      </c>
      <c r="D33" s="37">
        <f>IF(OR(ISBLANK(B33),B33=""),0,VLOOKUP(B33,'Ondal Booms'!B:G,2,FALSE))</f>
        <v>0</v>
      </c>
      <c r="E33" s="35">
        <f>IF(OR(ISBLANK(B33),B33=""),0,VLOOKUP(B33,'Ondal Booms'!B:G,3,FALSE))</f>
        <v>0</v>
      </c>
      <c r="G33" s="64" t="s">
        <v>1043</v>
      </c>
      <c r="H33" s="77">
        <f>(COUNTIF(K30:Y39,"Storz 4in1"))</f>
        <v>0</v>
      </c>
      <c r="J33" s="51" t="s">
        <v>1042</v>
      </c>
      <c r="K33" s="33"/>
      <c r="L33" s="56"/>
      <c r="M33" s="57"/>
      <c r="N33" s="58"/>
      <c r="O33" s="59"/>
      <c r="P33" s="57"/>
      <c r="Q33" s="33"/>
      <c r="S33" s="33"/>
      <c r="T33" s="59"/>
      <c r="U33" s="57"/>
      <c r="V33" s="58"/>
      <c r="W33" s="59"/>
      <c r="X33" s="57"/>
      <c r="Y33" s="33"/>
      <c r="Z33" s="40">
        <f t="shared" si="2"/>
        <v>0</v>
      </c>
      <c r="AE33">
        <f>COUNTIF(K34,"(2) Duplexes")+COUNTIF(Y34,"(2) Duplexes")</f>
        <v>0</v>
      </c>
      <c r="AF33">
        <f>COUNTIF(Q34:S34,"(2) Duplexes")</f>
        <v>0</v>
      </c>
      <c r="AG33">
        <f>COUNTIF(K34,"(3) Duplexes")+COUNTIF(Y34,"(3) Duplexes")</f>
        <v>0</v>
      </c>
      <c r="AH33">
        <f>COUNTIF(Q34:S34,"(3) Duplexes")</f>
        <v>0</v>
      </c>
    </row>
    <row r="34" spans="1:34" hidden="1" outlineLevel="1">
      <c r="A34" s="55" t="s">
        <v>418</v>
      </c>
      <c r="B34" s="7"/>
      <c r="C34" s="4">
        <f>IF(OR(ISBLANK(B34),B34=""),0,VLOOKUP(B34,'Ondal Booms'!B:G,4,FALSE))</f>
        <v>0</v>
      </c>
      <c r="D34" s="37">
        <f>IF(OR(ISBLANK(B34),B34=""),0,VLOOKUP(B34,'Ondal Booms'!B:G,2,FALSE))</f>
        <v>0</v>
      </c>
      <c r="E34" s="35">
        <f>IF(OR(ISBLANK(B34),B34=""),0,VLOOKUP(B34,'Ondal Booms'!B:G,3,FALSE))</f>
        <v>0</v>
      </c>
      <c r="J34" s="51" t="s">
        <v>1044</v>
      </c>
      <c r="K34" s="33"/>
      <c r="L34" s="52"/>
      <c r="M34" s="53"/>
      <c r="N34" s="58"/>
      <c r="O34" s="54"/>
      <c r="P34" s="53"/>
      <c r="Q34" s="33"/>
      <c r="S34" s="33"/>
      <c r="T34" s="54"/>
      <c r="U34" s="53"/>
      <c r="V34" s="58"/>
      <c r="W34" s="54"/>
      <c r="X34" s="53"/>
      <c r="Y34" s="33"/>
      <c r="Z34" s="40">
        <f t="shared" si="2"/>
        <v>0</v>
      </c>
    </row>
    <row r="35" spans="1:34" ht="17.100000000000001" hidden="1" outlineLevel="1" thickBot="1">
      <c r="A35" s="55" t="s">
        <v>357</v>
      </c>
      <c r="B35" s="7"/>
      <c r="C35" s="4">
        <f>IF(OR(ISBLANK(B35),B35=""),0,VLOOKUP(B35,'Ondal Booms'!B:G,4,FALSE))</f>
        <v>0</v>
      </c>
      <c r="D35" s="37">
        <f>IF(OR(ISBLANK(B35),B35=""),0,VLOOKUP(B35,'Ondal Booms'!B:G,2,FALSE))</f>
        <v>0</v>
      </c>
      <c r="E35" s="35">
        <f>IF(OR(ISBLANK(B35),B35=""),0,VLOOKUP(B35,'Ondal Booms'!B:G,3,FALSE))</f>
        <v>0</v>
      </c>
      <c r="G35" s="79" t="s">
        <v>1046</v>
      </c>
      <c r="H35" s="80" t="s">
        <v>1030</v>
      </c>
      <c r="J35" s="51" t="s">
        <v>1045</v>
      </c>
      <c r="K35" s="33"/>
      <c r="L35" s="60"/>
      <c r="M35" s="61"/>
      <c r="N35" s="58"/>
      <c r="O35" s="62"/>
      <c r="P35" s="61"/>
      <c r="Q35" s="33"/>
      <c r="S35" s="33"/>
      <c r="T35" s="62"/>
      <c r="U35" s="61"/>
      <c r="V35" s="58"/>
      <c r="W35" s="62"/>
      <c r="X35" s="61"/>
      <c r="Y35" s="33"/>
      <c r="Z35" s="40">
        <f>15-COUNTIFS(K35:Y35,"")</f>
        <v>0</v>
      </c>
      <c r="AE35">
        <f>COUNTIF(K36,"(2) Duplexes")+COUNTIF(Y36,"(2) Duplexes")</f>
        <v>0</v>
      </c>
      <c r="AF35">
        <f>COUNTIF(Q36:S36,"(2) Duplexes")</f>
        <v>0</v>
      </c>
      <c r="AG35">
        <f>COUNTIF(K36,"(3) Duplexes")+COUNTIF(Y36,"(3) Duplexes")</f>
        <v>0</v>
      </c>
      <c r="AH35">
        <f>COUNTIF(Q36:S36,"(3) Duplexes")</f>
        <v>0</v>
      </c>
    </row>
    <row r="36" spans="1:34" hidden="1" outlineLevel="1">
      <c r="A36" s="49" t="s">
        <v>99</v>
      </c>
      <c r="B36" s="50" t="str">
        <f>IF(OR(H30=0,ISBLANK(H30)),"",H30&amp;" Duplexes")</f>
        <v/>
      </c>
      <c r="C36" s="4">
        <f>IF(OR(ISBLANK(B36),B36=""),0,VLOOKUP(B36,'Ondal Booms'!B:G,4,FALSE))</f>
        <v>0</v>
      </c>
      <c r="D36" s="37">
        <f>IF(OR(ISBLANK(B36),B36=""),0,VLOOKUP(B36,'Ondal Booms'!B:G,2,FALSE))</f>
        <v>0</v>
      </c>
      <c r="E36" s="35">
        <f>IF(OR(ISBLANK(B36),B36=""),0,VLOOKUP(B36,'Ondal Booms'!B:G,3,FALSE))</f>
        <v>0</v>
      </c>
      <c r="G36" s="55" t="s">
        <v>1048</v>
      </c>
      <c r="H36" s="78">
        <f>(COUNTIF(K30:Y39,"Oxygen"))</f>
        <v>0</v>
      </c>
      <c r="J36" s="51" t="s">
        <v>1047</v>
      </c>
      <c r="K36" s="33"/>
      <c r="L36" s="56"/>
      <c r="M36" s="57"/>
      <c r="N36" s="58"/>
      <c r="O36" s="59"/>
      <c r="P36" s="57"/>
      <c r="Q36" s="33"/>
      <c r="S36" s="33"/>
      <c r="T36" s="59"/>
      <c r="U36" s="57"/>
      <c r="V36" s="58"/>
      <c r="W36" s="59"/>
      <c r="X36" s="57"/>
      <c r="Y36" s="33"/>
      <c r="Z36" s="40">
        <f t="shared" ref="Z36:Z39" si="3">15-COUNTIFS(K36:Y36,"")</f>
        <v>0</v>
      </c>
    </row>
    <row r="37" spans="1:34" ht="17.100000000000001" hidden="1" outlineLevel="1" thickBot="1">
      <c r="A37" s="49" t="s">
        <v>95</v>
      </c>
      <c r="B37" s="50" t="str">
        <f>IF(OR(SUM(H36:H42)=0,ISBLANK(SUM(H36:H42))),"",SUM(H36:H42)&amp;" Outlets")</f>
        <v/>
      </c>
      <c r="C37" s="4">
        <f>IF(OR(ISBLANK(B37),B37=""),0,VLOOKUP(B37,'Ondal Booms'!B:G,4,FALSE))</f>
        <v>0</v>
      </c>
      <c r="D37" s="37">
        <f>IF(OR(ISBLANK(B37),B37=""),0,VLOOKUP(B37,'Ondal Booms'!B:G,2,FALSE))</f>
        <v>0</v>
      </c>
      <c r="E37" s="35">
        <f>IF(OR(ISBLANK(B37),B37=""),0,VLOOKUP(B37,'Ondal Booms'!B:G,3,FALSE))</f>
        <v>0</v>
      </c>
      <c r="G37" s="55" t="s">
        <v>1050</v>
      </c>
      <c r="H37" s="77">
        <f>COUNTIF(K30:Y39,"Medical Air")</f>
        <v>0</v>
      </c>
      <c r="J37" s="51" t="s">
        <v>1049</v>
      </c>
      <c r="K37" s="33"/>
      <c r="L37" s="60"/>
      <c r="M37" s="61"/>
      <c r="N37" s="58"/>
      <c r="O37" s="62"/>
      <c r="P37" s="61"/>
      <c r="Q37" s="33"/>
      <c r="S37" s="33"/>
      <c r="T37" s="62"/>
      <c r="U37" s="61"/>
      <c r="V37" s="58"/>
      <c r="W37" s="62"/>
      <c r="X37" s="61"/>
      <c r="Y37" s="33"/>
      <c r="Z37" s="40">
        <f t="shared" si="3"/>
        <v>0</v>
      </c>
      <c r="AE37">
        <f>COUNTIF(K38,"(2) Duplexes")+COUNTIF(Y38,"(2) Duplexes")</f>
        <v>0</v>
      </c>
      <c r="AF37">
        <f>COUNTIF(Q38:S38,"(2) Duplexes")</f>
        <v>0</v>
      </c>
      <c r="AG37">
        <f>COUNTIF(K38,"(3) Duplexes")+COUNTIF(Y38,"(3) Duplexes")</f>
        <v>0</v>
      </c>
      <c r="AH37">
        <f>COUNTIF(Q38:S38,"(3) Duplexes")</f>
        <v>0</v>
      </c>
    </row>
    <row r="38" spans="1:34" hidden="1" outlineLevel="1">
      <c r="A38" s="55" t="s">
        <v>1052</v>
      </c>
      <c r="B38" s="45"/>
      <c r="C38" s="4">
        <f>IF(OR(ISBLANK(B38),B38=""),0,VLOOKUP(B38,'Ondal Booms'!B:G,4,FALSE))</f>
        <v>0</v>
      </c>
      <c r="D38" s="37">
        <f>IF(OR(ISBLANK(B38),B38=""),0,VLOOKUP(B38,'Ondal Booms'!B:G,2,FALSE))</f>
        <v>0</v>
      </c>
      <c r="E38" s="35">
        <f>IF(OR(ISBLANK(B38),B38=""),0,VLOOKUP(B38,'Ondal Booms'!B:G,3,FALSE))</f>
        <v>0</v>
      </c>
      <c r="G38" s="55" t="s">
        <v>1053</v>
      </c>
      <c r="H38" s="77">
        <f>COUNTIF(K30:Y39,"Nitrous Oxide")</f>
        <v>0</v>
      </c>
      <c r="J38" s="51" t="s">
        <v>1051</v>
      </c>
      <c r="K38" s="33"/>
      <c r="L38" s="56"/>
      <c r="M38" s="57"/>
      <c r="N38" s="58"/>
      <c r="O38" s="59"/>
      <c r="P38" s="57"/>
      <c r="Q38" s="33"/>
      <c r="S38" s="33"/>
      <c r="T38" s="59"/>
      <c r="U38" s="57"/>
      <c r="V38" s="58"/>
      <c r="W38" s="59"/>
      <c r="X38" s="57"/>
      <c r="Y38" s="33"/>
      <c r="Z38" s="40">
        <f t="shared" si="3"/>
        <v>0</v>
      </c>
    </row>
    <row r="39" spans="1:34" ht="17.100000000000001" hidden="1" outlineLevel="1" thickBot="1">
      <c r="A39" s="55" t="s">
        <v>454</v>
      </c>
      <c r="B39" s="45"/>
      <c r="C39" s="4">
        <f>IF(OR(ISBLANK(B39),B39=""),0,VLOOKUP(B39,'Ondal Booms'!B:G,4,FALSE))</f>
        <v>0</v>
      </c>
      <c r="D39" s="37">
        <f>IF(OR(ISBLANK(B39),B39=""),0,VLOOKUP(B39,'Ondal Booms'!B:G,2,FALSE))</f>
        <v>0</v>
      </c>
      <c r="E39" s="35">
        <f>IF(OR(ISBLANK(B39),B39=""),0,VLOOKUP(B39,'Ondal Booms'!B:G,3,FALSE))</f>
        <v>0</v>
      </c>
      <c r="G39" s="55" t="s">
        <v>1055</v>
      </c>
      <c r="H39" s="77">
        <f>COUNTIF(K30:Y39,"WAGD")</f>
        <v>0</v>
      </c>
      <c r="J39" s="51" t="s">
        <v>1054</v>
      </c>
      <c r="K39" s="33"/>
      <c r="L39" s="60"/>
      <c r="M39" s="61"/>
      <c r="N39" s="63"/>
      <c r="O39" s="62"/>
      <c r="P39" s="61"/>
      <c r="Q39" s="33"/>
      <c r="S39" s="33"/>
      <c r="T39" s="62"/>
      <c r="U39" s="61"/>
      <c r="V39" s="63"/>
      <c r="W39" s="62"/>
      <c r="X39" s="61"/>
      <c r="Y39" s="33"/>
      <c r="Z39" s="40">
        <f t="shared" si="3"/>
        <v>0</v>
      </c>
    </row>
    <row r="40" spans="1:34" hidden="1" outlineLevel="1">
      <c r="A40" s="55" t="s">
        <v>455</v>
      </c>
      <c r="B40" s="45"/>
      <c r="C40" s="4">
        <f>IF(OR(ISBLANK(B40),B40=""),0,VLOOKUP(B40,'Ondal Booms'!B:G,4,FALSE))</f>
        <v>0</v>
      </c>
      <c r="D40" s="37">
        <f>IF(OR(ISBLANK(B40),B40=""),0,VLOOKUP(B40,'Ondal Booms'!B:G,2,FALSE))</f>
        <v>0</v>
      </c>
      <c r="E40" s="35">
        <f>IF(OR(ISBLANK(B40),B40=""),0,VLOOKUP(B40,'Ondal Booms'!B:G,3,FALSE))</f>
        <v>0</v>
      </c>
      <c r="G40" s="55" t="s">
        <v>1056</v>
      </c>
      <c r="H40" s="77">
        <f>COUNTIF(K30:Y39,"Vacuum")</f>
        <v>0</v>
      </c>
    </row>
    <row r="41" spans="1:34" hidden="1" outlineLevel="1">
      <c r="A41" s="55" t="s">
        <v>1057</v>
      </c>
      <c r="B41" s="45"/>
      <c r="C41" s="4">
        <f>IF(OR(ISBLANK(B41),B41=""),0,VLOOKUP(B41,'Ondal Booms'!B:G,4,FALSE))</f>
        <v>0</v>
      </c>
      <c r="D41" s="37">
        <f>IF(OR(ISBLANK(B41),B41=""),0,VLOOKUP(B41,'Ondal Booms'!B:G,2,FALSE))</f>
        <v>0</v>
      </c>
      <c r="E41" s="35">
        <f>IF(OR(ISBLANK(B41),B41=""),0,VLOOKUP(B41,'Ondal Booms'!B:G,3,FALSE))</f>
        <v>0</v>
      </c>
      <c r="G41" s="55" t="s">
        <v>1058</v>
      </c>
      <c r="H41" s="77">
        <f>COUNTIF(K30:Y39,"Nitrogen")</f>
        <v>0</v>
      </c>
    </row>
    <row r="42" spans="1:34" hidden="1" outlineLevel="1">
      <c r="A42" s="55" t="s">
        <v>1059</v>
      </c>
      <c r="B42" s="45"/>
      <c r="C42" s="4">
        <f>IF(OR(ISBLANK(B42),B42=""),0,VLOOKUP(B42,'Ondal Booms'!B:G,4,FALSE))</f>
        <v>0</v>
      </c>
      <c r="D42" s="37">
        <f>IF(OR(ISBLANK(B42),B42=""),0,VLOOKUP(B42,'Ondal Booms'!B:G,2,FALSE))</f>
        <v>0</v>
      </c>
      <c r="E42" s="35">
        <f>IF(OR(ISBLANK(B42),B42=""),0,VLOOKUP(B42,'Ondal Booms'!B:G,3,FALSE))</f>
        <v>0</v>
      </c>
      <c r="G42" s="64" t="s">
        <v>1060</v>
      </c>
      <c r="H42" s="77">
        <f>COUNTIF(K30:Y39,"Carbon Dioxide")</f>
        <v>0</v>
      </c>
    </row>
    <row r="43" spans="1:34" hidden="1" outlineLevel="1">
      <c r="A43" s="55" t="s">
        <v>1061</v>
      </c>
      <c r="B43" s="45"/>
      <c r="C43" s="4">
        <f>IF(OR(ISBLANK(B43),B43=""),0,VLOOKUP(B43,'Ondal Booms'!B:G,4,FALSE))</f>
        <v>0</v>
      </c>
      <c r="D43" s="37">
        <f>IF(OR(ISBLANK(B43),B43=""),0,VLOOKUP(B43,'Ondal Booms'!B:G,2,FALSE))</f>
        <v>0</v>
      </c>
      <c r="E43" s="35">
        <f>IF(OR(ISBLANK(B43),B43=""),0,VLOOKUP(B43,'Ondal Booms'!B:G,3,FALSE))</f>
        <v>0</v>
      </c>
      <c r="H43" s="36"/>
    </row>
    <row r="44" spans="1:34" hidden="1" outlineLevel="1">
      <c r="A44" s="55" t="s">
        <v>1062</v>
      </c>
      <c r="B44" s="45"/>
      <c r="C44" s="4">
        <f>IF(OR(ISBLANK(B44),B44=""),0,VLOOKUP(B44,'Ondal Booms'!B:G,4,FALSE))</f>
        <v>0</v>
      </c>
      <c r="D44" s="37">
        <f>IF(OR(ISBLANK(B44),B44=""),0,VLOOKUP(B44,'Ondal Booms'!B:G,2,FALSE))</f>
        <v>0</v>
      </c>
      <c r="E44" s="35">
        <f>IF(OR(ISBLANK(B44),B44=""),0,VLOOKUP(B44,'Ondal Booms'!B:G,3,FALSE))</f>
        <v>0</v>
      </c>
    </row>
    <row r="45" spans="1:34" hidden="1" outlineLevel="1">
      <c r="A45" s="55" t="s">
        <v>1063</v>
      </c>
      <c r="B45" s="45"/>
      <c r="C45" s="4">
        <f>IF(OR(ISBLANK(B45),B45=""),0,VLOOKUP(B45,'Ondal Booms'!B:G,4,FALSE))</f>
        <v>0</v>
      </c>
      <c r="D45" s="37">
        <f>IF(OR(ISBLANK(B45),B45=""),0,VLOOKUP(B45,'Ondal Booms'!B:G,2,FALSE))</f>
        <v>0</v>
      </c>
      <c r="E45" s="35">
        <f>IF(OR(ISBLANK(B45),B45=""),0,VLOOKUP(B45,'Ondal Booms'!B:G,3,FALSE))</f>
        <v>0</v>
      </c>
      <c r="G45" s="37"/>
    </row>
    <row r="46" spans="1:34" hidden="1" outlineLevel="1">
      <c r="A46" s="55" t="s">
        <v>1064</v>
      </c>
      <c r="B46" s="45"/>
      <c r="C46" s="4">
        <f>IF(OR(ISBLANK(B46),B46=""),0,VLOOKUP(B46,'Ondal Booms'!B:G,4,FALSE))</f>
        <v>0</v>
      </c>
      <c r="D46" s="37">
        <f>IF(OR(ISBLANK(B46),B46=""),0,VLOOKUP(B46,'Ondal Booms'!B:G,2,FALSE))</f>
        <v>0</v>
      </c>
      <c r="E46" s="35">
        <f>IF(OR(ISBLANK(B46),B46=""),0,VLOOKUP(B46,'Ondal Booms'!B:G,3,FALSE))</f>
        <v>0</v>
      </c>
      <c r="G46" s="37"/>
    </row>
    <row r="47" spans="1:34" hidden="1" outlineLevel="1">
      <c r="A47" s="64" t="s">
        <v>1065</v>
      </c>
      <c r="B47" s="45"/>
      <c r="C47" s="4">
        <f>IF(OR(ISBLANK(B47),B47=""),0,VLOOKUP(B47,'Ondal Booms'!B:G,4,FALSE))</f>
        <v>0</v>
      </c>
      <c r="D47" s="37">
        <f>IF(OR(ISBLANK(B47),B47=""),0,VLOOKUP(B47,'Ondal Booms'!B:G,2,FALSE))</f>
        <v>0</v>
      </c>
      <c r="E47" s="35">
        <f>IF(OR(ISBLANK(B47),B47=""),0,VLOOKUP(B47,'Ondal Booms'!B:G,3,FALSE))</f>
        <v>0</v>
      </c>
    </row>
    <row r="48" spans="1:34" hidden="1" outlineLevel="1">
      <c r="C48" s="4"/>
      <c r="E48" s="37"/>
    </row>
    <row r="49" spans="1:32" hidden="1" outlineLevel="1">
      <c r="A49" s="49" t="s">
        <v>1066</v>
      </c>
      <c r="B49" s="70" t="str">
        <f>IF(OR(ISBLANK(B30),B30=""),"",
IF(OR(AND(B35="200mm Service Head",SUM(Z32:Z39)&gt;0),AND(B35="400mm Service Head",SUM(Z34:Z39)&gt;0),AND(B35="600mm Service Head",SUM(Z36:Z39)&gt;0),AND(B35="800mm Service Head",SUM(Z38:Z39)&gt;0)),"Select Longer Service Head or Remove Services",
IF(AND(RIGHT(B33,2)="XL",RIGHT(B32,2)&lt;&gt;"XL"),"BOTTOM XL ARM REQUIRES TOP XL ARM",
IF(OR(ISBLANK(#REF!),ISBLANK(B31),ISBLANK(B32),ISBLANK(B33),ISBLANK(B34),ISBLANK(B35),ISBLANK(B39),ISBLANK(B40),ISBLANK(B38)),"Missing Selections for Configuration",
IF(AND(B35="Large Monitor Carrier",B33&lt;&gt;"Spring Articulating"),"Large Monitor Requires Spring Bottom Arm",
IF(OR(AND(RIGHT(B31,2)="XL",RIGHT(B32,2)&lt;&gt;"XL"),AND(RIGHT(B32,2)="XL",RIGHT(B31,2)&lt;&gt;"XL")),"Both Top Arm and Ceiling Flange Must Be XL",
IF(COUNTIF(AE29:AH37,1)&gt;1,"Mismatch Electrical Configuration",
""))))))
)</f>
        <v/>
      </c>
      <c r="C49" s="4"/>
      <c r="D49" s="4"/>
      <c r="E49" s="35"/>
    </row>
    <row r="50" spans="1:32" hidden="1" outlineLevel="1">
      <c r="B50" s="1"/>
      <c r="C50" s="47" t="s">
        <v>1026</v>
      </c>
      <c r="D50" s="47" t="s">
        <v>1027</v>
      </c>
      <c r="E50" s="47" t="s">
        <v>1067</v>
      </c>
      <c r="F50" s="35"/>
      <c r="I50" s="35"/>
    </row>
    <row r="51" spans="1:32" ht="17.100000000000001" collapsed="1" thickBot="1">
      <c r="A51" s="69" t="s">
        <v>1068</v>
      </c>
      <c r="B51" s="72" t="str">
        <f>IF(OR(B30="",ISBLANK(B30)),"NO CONFIGURATION SELECTED",C51)</f>
        <v>NO CONFIGURATION SELECTED</v>
      </c>
      <c r="C51" s="65">
        <f>SUM(C30:C47)</f>
        <v>0</v>
      </c>
      <c r="D51" s="65">
        <f t="shared" ref="D51:E51" si="4">SUM(D30:D47)</f>
        <v>0</v>
      </c>
      <c r="E51" s="65">
        <f t="shared" si="4"/>
        <v>0</v>
      </c>
      <c r="F51" s="1"/>
      <c r="I51" s="1"/>
      <c r="J51" t="str">
        <f>"&lt;-- EXPAND TO SHOW OPTIONS / SERVICE HEAD"</f>
        <v>&lt;-- EXPAND TO SHOW OPTIONS / SERVICE HEAD</v>
      </c>
    </row>
    <row r="52" spans="1:32" ht="17.100000000000001" thickTop="1">
      <c r="AC52" s="285"/>
      <c r="AD52" s="285"/>
      <c r="AE52" s="285"/>
      <c r="AF52" s="285"/>
    </row>
    <row r="53" spans="1:32">
      <c r="A53" s="46" t="s">
        <v>1070</v>
      </c>
      <c r="B53" s="47" t="s">
        <v>1025</v>
      </c>
      <c r="C53" s="47" t="s">
        <v>1026</v>
      </c>
      <c r="D53" s="47" t="s">
        <v>1071</v>
      </c>
      <c r="E53" s="47" t="s">
        <v>1072</v>
      </c>
    </row>
    <row r="54" spans="1:32" outlineLevel="1">
      <c r="A54" s="49" t="s">
        <v>1035</v>
      </c>
      <c r="B54" s="50" t="str">
        <f>IF(AND(ISBLANK(B57),ISBLANK(B58),ISBLANK(B59)),"",
IF(B55="Upgrade Only","UPGRADE",
IF(RIGHT(B57,4)="(3P)","(3P) ","")&amp;
IF(ISBLANK(B57),"",VLOOKUP(B57,'Simeon Lights'!C:H,2,FALSE))&amp;
IF(ISBLANK(B58),""," / "&amp;VLOOKUP(B58,'Simeon Lights'!C:H,2,FALSE))&amp;
IF(ISBLANK(B59),""," / "&amp;VLOOKUP(B59,'Simeon Lights'!C:H,2,FALSE))))</f>
        <v/>
      </c>
      <c r="C54" s="4">
        <f>IF(ISBLANK(B57),0,(VLOOKUP(B54,'Simeon Lights'!C:J,6,FALSE)))</f>
        <v>0</v>
      </c>
      <c r="D54" s="37">
        <f>IF(ISBLANK(B57),0,(VLOOKUP(B54,'Simeon Lights'!C:J,4,FALSE)))</f>
        <v>0</v>
      </c>
      <c r="E54" s="37">
        <f>IF(ISBLANK(B57),0,(VLOOKUP(B54,'Simeon Lights'!C:J,5,FALSE)))</f>
        <v>0</v>
      </c>
      <c r="G54" s="1"/>
      <c r="H54" s="1"/>
    </row>
    <row r="55" spans="1:32" outlineLevel="1">
      <c r="A55" s="55" t="s">
        <v>310</v>
      </c>
      <c r="B55" s="33"/>
      <c r="C55" s="4">
        <f>IF(ISBLANK(B55),0,VLOOKUP(B55,'Simeon Lights'!C:J,6,FALSE))</f>
        <v>0</v>
      </c>
      <c r="D55" s="37">
        <f>IF(ISBLANK(B55),0,VLOOKUP(B55,'Simeon Lights'!C:J,4,FALSE))</f>
        <v>0</v>
      </c>
      <c r="E55" s="37">
        <f>IF(ISBLANK(B55),0,VLOOKUP(B55,'Simeon Lights'!C:J,5,FALSE))</f>
        <v>0</v>
      </c>
    </row>
    <row r="56" spans="1:32" outlineLevel="1">
      <c r="A56" s="55" t="s">
        <v>1073</v>
      </c>
      <c r="B56" s="33"/>
      <c r="C56" s="4">
        <f>IF(ISBLANK(B56),0,VLOOKUP(B56,'Simeon Lights'!C:J,6,FALSE))</f>
        <v>0</v>
      </c>
      <c r="D56" s="37">
        <f>IF(ISBLANK(B56),0,VLOOKUP(B56,'Simeon Lights'!C:J,4,FALSE))</f>
        <v>0</v>
      </c>
      <c r="E56" s="37">
        <f>IF(ISBLANK(B56),0,VLOOKUP(B56,'Simeon Lights'!C:J,5,FALSE))</f>
        <v>0</v>
      </c>
    </row>
    <row r="57" spans="1:32" outlineLevel="1">
      <c r="A57" s="55" t="s">
        <v>1074</v>
      </c>
      <c r="B57" s="33"/>
      <c r="C57" s="4">
        <f>IF(ISBLANK(B57),0,VLOOKUP(B57,'Simeon Lights'!C:J,6,FALSE))</f>
        <v>0</v>
      </c>
      <c r="D57" s="37">
        <f>IF(ISBLANK(B57),0,VLOOKUP(B57,'Simeon Lights'!C:J,4,FALSE))</f>
        <v>0</v>
      </c>
      <c r="E57" s="37">
        <f>IF(ISBLANK(B57),0,VLOOKUP(B57,'Simeon Lights'!C:J,5,FALSE))</f>
        <v>0</v>
      </c>
    </row>
    <row r="58" spans="1:32" outlineLevel="1">
      <c r="A58" s="55" t="s">
        <v>1075</v>
      </c>
      <c r="B58" s="33"/>
      <c r="C58" s="4">
        <f>IF(ISBLANK(B58),0,VLOOKUP(B58,'Simeon Lights'!C:J,6,FALSE))</f>
        <v>0</v>
      </c>
      <c r="D58" s="37">
        <f>IF(ISBLANK(B58),0,VLOOKUP(B58,'Simeon Lights'!C:J,4,FALSE))</f>
        <v>0</v>
      </c>
      <c r="E58" s="37">
        <f>IF(ISBLANK(B58),0,VLOOKUP(B58,'Simeon Lights'!C:J,5,FALSE))</f>
        <v>0</v>
      </c>
    </row>
    <row r="59" spans="1:32" outlineLevel="1">
      <c r="A59" s="55" t="s">
        <v>1077</v>
      </c>
      <c r="B59" s="33"/>
      <c r="C59" s="4">
        <f>IF(ISBLANK(B59),0,VLOOKUP(B59,'Simeon Lights'!C:J,6,FALSE))</f>
        <v>0</v>
      </c>
      <c r="D59" s="37">
        <f>IF(ISBLANK(B59),0,VLOOKUP(B59,'Simeon Lights'!C:J,4,FALSE))</f>
        <v>0</v>
      </c>
      <c r="E59" s="37">
        <f>IF(ISBLANK(B59),0,VLOOKUP(B59,'Simeon Lights'!C:J,5,FALSE))</f>
        <v>0</v>
      </c>
    </row>
    <row r="60" spans="1:32" outlineLevel="1">
      <c r="A60" s="55" t="s">
        <v>589</v>
      </c>
      <c r="B60" s="34"/>
      <c r="C60" s="4">
        <f>IF(ISBLANK(B60),0,VLOOKUP(B60,'Simeon Lights'!C:J,6,FALSE))</f>
        <v>0</v>
      </c>
      <c r="D60" s="37">
        <f>IF(ISBLANK(B60),0,VLOOKUP(B60,'Simeon Lights'!C:J,4,FALSE))</f>
        <v>0</v>
      </c>
      <c r="E60" s="37">
        <f>IF(ISBLANK(B60),0,VLOOKUP(B60,'Simeon Lights'!C:J,5,FALSE))</f>
        <v>0</v>
      </c>
    </row>
    <row r="61" spans="1:32" outlineLevel="1">
      <c r="A61" s="55" t="s">
        <v>1078</v>
      </c>
      <c r="B61" s="34"/>
      <c r="C61" s="4">
        <f>IF(ISBLANK(B61),0,VLOOKUP(B61,'Simeon Lights'!C:J,6,FALSE))</f>
        <v>0</v>
      </c>
      <c r="D61" s="37">
        <f>IF(ISBLANK(B61),0,VLOOKUP(B61,'Simeon Lights'!C:J,4,FALSE))</f>
        <v>0</v>
      </c>
      <c r="E61" s="37">
        <f>IF(ISBLANK(B61),0,VLOOKUP(B61,'Simeon Lights'!C:J,5,FALSE))</f>
        <v>0</v>
      </c>
    </row>
    <row r="62" spans="1:32" outlineLevel="1">
      <c r="A62" s="55" t="s">
        <v>615</v>
      </c>
      <c r="B62" s="34"/>
      <c r="C62" s="4">
        <f>IF(ISBLANK(B62),0,VLOOKUP(B62,'Simeon Lights'!C:J,6,FALSE))</f>
        <v>0</v>
      </c>
      <c r="D62" s="37">
        <f>IF(ISBLANK(B62),0,VLOOKUP(B62,'Simeon Lights'!C:J,4,FALSE))</f>
        <v>0</v>
      </c>
      <c r="E62" s="37">
        <f>IF(ISBLANK(B62),0,VLOOKUP(B62,'Simeon Lights'!C:J,5,FALSE))</f>
        <v>0</v>
      </c>
    </row>
    <row r="63" spans="1:32" outlineLevel="1">
      <c r="A63" s="64" t="s">
        <v>1079</v>
      </c>
      <c r="B63" s="34"/>
      <c r="C63" s="4">
        <f>IF(ISBLANK(B63),0,VLOOKUP(B63,'Simeon Lights'!C:J,6,FALSE))</f>
        <v>0</v>
      </c>
      <c r="D63" s="37">
        <f>IF(ISBLANK(B63),0,VLOOKUP(B63,'Simeon Lights'!C:J,4,FALSE))</f>
        <v>0</v>
      </c>
      <c r="E63" s="37">
        <f>IF(ISBLANK(B63),0,VLOOKUP(B63,'Simeon Lights'!C:J,5,FALSE))</f>
        <v>0</v>
      </c>
    </row>
    <row r="64" spans="1:32" outlineLevel="1">
      <c r="C64" s="4"/>
      <c r="D64" s="4"/>
      <c r="E64" s="44"/>
    </row>
    <row r="65" spans="1:10" outlineLevel="1">
      <c r="A65" s="49" t="s">
        <v>1066</v>
      </c>
      <c r="B65" s="70" t="str">
        <f xml:space="preserve">
IF(AND(ISBLANK(B57),ISBLANK(B58),ISBLANK(B59)),"",
IF(AND(ISBLANK(B57),B58&lt;&gt;""),"ARM 1 MISSING",
IF(AND(ISBLANK(B57),B59&lt;&gt;""),"ARM 1 MISSING",
IF(ISBLANK(B58)&amp;ISBLANK(B59)="TRUEFALSE","ARM 2 MISSING",
IF(AND(B57&lt;&gt;"",B58="32in Flat Panel",B59&lt;&gt;""),"FP CANNOT BE MIDDLE ARM",
IF(OR(ISBLANK(B55),ISBLANK(B56),ISBLANK(B60),ISBLANK(B61),ISBLANK(B62),ISBLANK(B63)),"Missing Selections",""))))))</f>
        <v/>
      </c>
      <c r="C65" s="4"/>
      <c r="D65" s="4"/>
      <c r="E65" s="35"/>
    </row>
    <row r="66" spans="1:10" outlineLevel="1">
      <c r="B66" s="71"/>
      <c r="C66" s="47" t="s">
        <v>1026</v>
      </c>
      <c r="D66" s="47" t="s">
        <v>1071</v>
      </c>
      <c r="E66" s="47" t="s">
        <v>1072</v>
      </c>
      <c r="F66" s="1"/>
      <c r="I66" s="1"/>
    </row>
    <row r="67" spans="1:10" ht="17.100000000000001" thickBot="1">
      <c r="A67" s="69" t="s">
        <v>1068</v>
      </c>
      <c r="B67" s="72" t="str">
        <f>IF(OR(ISBLANK(B57),ISBLANK(B58)&amp;ISBLANK(B59)="TRUEFALSE"),"NO CONFIGURATION SELECTED",IF(B65&lt;&gt;"","ERROR IN CONFIGURATION",IF(B57="",0,SUM(C54:C63))))</f>
        <v>NO CONFIGURATION SELECTED</v>
      </c>
      <c r="C67" s="65">
        <f>SUM(C54:C65)</f>
        <v>0</v>
      </c>
      <c r="D67" s="65">
        <f t="shared" ref="D67:E67" si="5">SUM(D54:D65)</f>
        <v>0</v>
      </c>
      <c r="E67" s="65">
        <f t="shared" si="5"/>
        <v>0</v>
      </c>
      <c r="J67" t="str">
        <f>"&lt;-- EXPAND TO SHOW OPTIONS"</f>
        <v>&lt;-- EXPAND TO SHOW OPTIONS</v>
      </c>
    </row>
    <row r="68" spans="1:10" ht="17.100000000000001" thickTop="1">
      <c r="E68" s="1"/>
    </row>
    <row r="69" spans="1:10">
      <c r="A69" s="46"/>
      <c r="B69" s="47" t="s">
        <v>1080</v>
      </c>
      <c r="E69" s="47" t="s">
        <v>1085</v>
      </c>
    </row>
    <row r="70" spans="1:10" ht="17.100000000000001" thickBot="1">
      <c r="A70" s="69" t="s">
        <v>1082</v>
      </c>
      <c r="B70" s="72">
        <f>IF(OR(B27="Error in Configuration",B27="No Configuration Selected"),0,B27)+IF(OR(B51="Error in Configuration",B51="No Configuration Selected"),0,B51)+IF(OR(B67="Error in Configuration",B67="No Configuration Selected"),0,B67)</f>
        <v>0</v>
      </c>
      <c r="E70" s="65">
        <f>SUM(E67,E51,E27)</f>
        <v>0</v>
      </c>
      <c r="G70" s="1"/>
      <c r="H70" s="1"/>
    </row>
    <row r="71" spans="1:10" ht="17.100000000000001" thickTop="1"/>
  </sheetData>
  <sheetProtection sheet="1" formatColumns="0" formatRows="0" selectLockedCells="1"/>
  <mergeCells count="6">
    <mergeCell ref="AC52:AF52"/>
    <mergeCell ref="AC27:AF27"/>
    <mergeCell ref="L29:P29"/>
    <mergeCell ref="T29:X29"/>
    <mergeCell ref="L4:P4"/>
    <mergeCell ref="T4:X4"/>
  </mergeCells>
  <conditionalFormatting sqref="B25">
    <cfRule type="expression" dxfId="2" priority="2">
      <formula>$B$25&lt;&gt;""</formula>
    </cfRule>
  </conditionalFormatting>
  <conditionalFormatting sqref="B49">
    <cfRule type="expression" dxfId="1" priority="1">
      <formula>$B$25&lt;&gt;""</formula>
    </cfRule>
  </conditionalFormatting>
  <conditionalFormatting sqref="B65">
    <cfRule type="expression" dxfId="0" priority="3" stopIfTrue="1">
      <formula>$B$65&lt;&gt;""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 xr:uid="{13E7C8A2-1DC3-6345-A560-24ABBB06213A}">
          <x14:formula1>
            <xm:f>'BnL Drop Downs'!$A$2:$A$11</xm:f>
          </x14:formula1>
          <xm:sqref>R5:R16 R30:R41</xm:sqref>
        </x14:dataValidation>
        <x14:dataValidation type="list" allowBlank="1" showInputMessage="1" showErrorMessage="1" xr:uid="{7F8AB7FE-E43C-694A-9DDF-7A4B3F8F1FD3}">
          <x14:formula1>
            <xm:f>'BnL Drop Downs'!$A$2:$A$14</xm:f>
          </x14:formula1>
          <xm:sqref>K5:K16 Q5:Q16 S5:S16 Y5:Y16 K30:K41 Q30:Q41 S30:S41 Y30:Y41</xm:sqref>
        </x14:dataValidation>
        <x14:dataValidation type="list" allowBlank="1" showInputMessage="1" showErrorMessage="1" xr:uid="{7284E3FF-217C-6248-A145-7065820FEDD8}">
          <x14:formula1>
            <xm:f>'Ondal Booms'!$B$77:$B$87</xm:f>
          </x14:formula1>
          <xm:sqref>B9 B33</xm:sqref>
        </x14:dataValidation>
        <x14:dataValidation type="list" allowBlank="1" showInputMessage="1" showErrorMessage="1" xr:uid="{211BF45D-FC19-414F-AE22-7C61F17D8D8A}">
          <x14:formula1>
            <xm:f>'Ondal Booms'!$B$64:$B$74</xm:f>
          </x14:formula1>
          <xm:sqref>B8 B32</xm:sqref>
        </x14:dataValidation>
        <x14:dataValidation type="list" allowBlank="1" showInputMessage="1" showErrorMessage="1" xr:uid="{1AF69ED3-7F93-0144-9AFC-FD1369E758C9}">
          <x14:formula1>
            <xm:f>'Ondal Booms'!$B$55:$B$61</xm:f>
          </x14:formula1>
          <xm:sqref>B7 B31</xm:sqref>
        </x14:dataValidation>
        <x14:dataValidation type="list" allowBlank="1" showInputMessage="1" showErrorMessage="1" xr:uid="{24D7663E-52C3-1E42-B075-AE8484083390}">
          <x14:formula1>
            <xm:f>'Ondal Booms'!$B$152:$B$157</xm:f>
          </x14:formula1>
          <xm:sqref>B16 B40</xm:sqref>
        </x14:dataValidation>
        <x14:dataValidation type="list" allowBlank="1" showInputMessage="1" showErrorMessage="1" xr:uid="{9250B220-A1C3-AA43-B1AE-4AD082DB7759}">
          <x14:formula1>
            <xm:f>'Ondal Booms'!$B$48:$B$51</xm:f>
          </x14:formula1>
          <xm:sqref>B6</xm:sqref>
        </x14:dataValidation>
        <x14:dataValidation type="list" allowBlank="1" showInputMessage="1" showErrorMessage="1" xr:uid="{35CA7017-B990-9641-8D78-95766091B412}">
          <x14:formula1>
            <xm:f>'Simeon Lights'!$C$86:$C$93</xm:f>
          </x14:formula1>
          <xm:sqref>B63</xm:sqref>
        </x14:dataValidation>
        <x14:dataValidation type="list" allowBlank="1" showInputMessage="1" showErrorMessage="1" xr:uid="{F10C2174-5BD3-1B4A-80DB-D568B9CABB15}">
          <x14:formula1>
            <xm:f>'Simeon Lights'!$C$74:$C$76</xm:f>
          </x14:formula1>
          <xm:sqref>B61</xm:sqref>
        </x14:dataValidation>
        <x14:dataValidation type="list" allowBlank="1" showInputMessage="1" showErrorMessage="1" xr:uid="{E88E5C08-0176-534A-9EE8-FA08909543D6}">
          <x14:formula1>
            <xm:f>'Simeon Lights'!$C$62:$C$71</xm:f>
          </x14:formula1>
          <xm:sqref>B60</xm:sqref>
        </x14:dataValidation>
        <x14:dataValidation type="list" allowBlank="1" showInputMessage="1" showErrorMessage="1" xr:uid="{84CAB2F2-D92C-1B44-BD7F-1D77696524FD}">
          <x14:formula1>
            <xm:f>'Simeon Lights'!$C$79:$C$83</xm:f>
          </x14:formula1>
          <xm:sqref>B62</xm:sqref>
        </x14:dataValidation>
        <x14:dataValidation type="list" allowBlank="1" showInputMessage="1" showErrorMessage="1" xr:uid="{94B5A06A-3AB4-C94C-9603-9ADADDD7CB5E}">
          <x14:formula1>
            <xm:f>'Ondal Booms'!$B$100:$B$106</xm:f>
          </x14:formula1>
          <xm:sqref>B11 B35</xm:sqref>
        </x14:dataValidation>
        <x14:dataValidation type="list" allowBlank="1" showInputMessage="1" showErrorMessage="1" xr:uid="{7ACAA0EE-D2D5-8140-96BD-0D61E54BDCA9}">
          <x14:formula1>
            <xm:f>'Ondal Booms'!$B$90:$B$96</xm:f>
          </x14:formula1>
          <xm:sqref>B10 B34</xm:sqref>
        </x14:dataValidation>
        <x14:dataValidation type="list" allowBlank="1" showInputMessage="1" showErrorMessage="1" xr:uid="{8C45264E-527B-0D4A-9EC7-CAB50CEC6AC6}">
          <x14:formula1>
            <xm:f>'Ondal Booms'!$B$3:$B$10</xm:f>
          </x14:formula1>
          <xm:sqref>B6:B9 B31:B33</xm:sqref>
        </x14:dataValidation>
        <x14:dataValidation type="list" allowBlank="1" showDropDown="1" showInputMessage="1" showErrorMessage="1" xr:uid="{FD3B879A-39A3-7947-B233-6CB10746E7EE}">
          <x14:formula1>
            <xm:f>'Ondal Booms'!$B$3:$B$10</xm:f>
          </x14:formula1>
          <xm:sqref>B5:B7 B30:B31</xm:sqref>
        </x14:dataValidation>
        <x14:dataValidation type="list" allowBlank="1" showInputMessage="1" showErrorMessage="1" xr:uid="{EF75F5DA-DB5F-6440-8B2B-04A85D95805E}">
          <x14:formula1>
            <xm:f>'Ondal Booms'!$B$169:$B$181</xm:f>
          </x14:formula1>
          <xm:sqref>B17:B23 B41:B47</xm:sqref>
        </x14:dataValidation>
        <x14:dataValidation type="list" allowBlank="1" showInputMessage="1" showErrorMessage="1" xr:uid="{C6C61AC5-8C78-804B-B261-105486A2F861}">
          <x14:formula1>
            <xm:f>'Ondal Booms'!$B$145:$B$150</xm:f>
          </x14:formula1>
          <xm:sqref>B15 B39</xm:sqref>
        </x14:dataValidation>
        <x14:dataValidation type="list" allowBlank="1" showInputMessage="1" showErrorMessage="1" xr:uid="{D5998AC2-0602-1B42-A35C-1F489774CB50}">
          <x14:formula1>
            <xm:f>'Ondal Booms'!#REF!</xm:f>
          </x14:formula1>
          <xm:sqref>B15:B16 B39:B40</xm:sqref>
        </x14:dataValidation>
        <x14:dataValidation type="list" allowBlank="1" showInputMessage="1" showErrorMessage="1" xr:uid="{F6101A67-F42B-9948-9C5F-F501AC1C932F}">
          <x14:formula1>
            <xm:f>'Ondal Booms'!$B$159:$B$166</xm:f>
          </x14:formula1>
          <xm:sqref>B14 B38</xm:sqref>
        </x14:dataValidation>
        <x14:dataValidation type="list" allowBlank="1" showInputMessage="1" showErrorMessage="1" xr:uid="{208DE07B-6B12-3549-B520-051594F29393}">
          <x14:formula1>
            <xm:f>'Simeon Lights'!$C$49:$C$59</xm:f>
          </x14:formula1>
          <xm:sqref>B56</xm:sqref>
        </x14:dataValidation>
        <x14:dataValidation type="list" allowBlank="1" showInputMessage="1" showErrorMessage="1" xr:uid="{9869E46C-55B7-F94E-BF8F-ABEF7CEDF628}">
          <x14:formula1>
            <xm:f>'Simeon Lights'!$C$103:$C$108</xm:f>
          </x14:formula1>
          <xm:sqref>B55</xm:sqref>
        </x14:dataValidation>
        <x14:dataValidation type="list" allowBlank="1" showInputMessage="1" showErrorMessage="1" xr:uid="{7515F599-2E43-C346-BF60-D4583CB06CBB}">
          <x14:formula1>
            <xm:f>'Simeon Lights'!$C$27:$C$45</xm:f>
          </x14:formula1>
          <xm:sqref>B57:B59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Chase Carpenter</dc:creator>
  <cp:keywords/>
  <dc:description/>
  <cp:lastModifiedBy>Carlyn Sloat</cp:lastModifiedBy>
  <cp:revision/>
  <dcterms:created xsi:type="dcterms:W3CDTF">2023-12-26T15:22:33Z</dcterms:created>
  <dcterms:modified xsi:type="dcterms:W3CDTF">2026-07-09T13:52:51Z</dcterms:modified>
  <cp:category/>
  <cp:contentStatus/>
</cp:coreProperties>
</file>