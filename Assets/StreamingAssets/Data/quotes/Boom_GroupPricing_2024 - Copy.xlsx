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operating-room-software\Assets\StreamingAssets\Data\quotes\"/>
    </mc:Choice>
  </mc:AlternateContent>
  <xr:revisionPtr revIDLastSave="0" documentId="8_{95845A1F-75D9-4454-A945-6D254E3B2919}" xr6:coauthVersionLast="47" xr6:coauthVersionMax="47" xr10:uidLastSave="{00000000-0000-0000-0000-000000000000}"/>
  <bookViews>
    <workbookView xWindow="-108" yWindow="-108" windowWidth="22080" windowHeight="13176" firstSheet="2" activeTab="4" xr2:uid="{3F73CA83-D514-42FE-A2AF-89ABD6D4C2FD}"/>
  </bookViews>
  <sheets>
    <sheet name="3D Compatible Boom Pricing" sheetId="4" r:id="rId1"/>
    <sheet name="3D Compatible Light Pricing" sheetId="3" r:id="rId2"/>
    <sheet name="2025_03_28 3D Boom Pricing" sheetId="8" r:id="rId3"/>
    <sheet name="2025_03_28 Boom Pricing" sheetId="7" r:id="rId4"/>
    <sheet name="2025_03_28 3D Light Pricing" sheetId="6" r:id="rId5"/>
    <sheet name="2025_03_28 Light Pricing" sheetId="5" r:id="rId6"/>
    <sheet name="Light Pricing" sheetId="2" r:id="rId7"/>
    <sheet name="Boom Pricing" sheetId="1" r:id="rId8"/>
  </sheets>
  <externalReferences>
    <externalReference r:id="rId9"/>
    <externalReference r:id="rId10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3" i="7" l="1"/>
  <c r="D183" i="7"/>
  <c r="E183" i="7"/>
  <c r="C182" i="7"/>
  <c r="D182" i="7"/>
  <c r="E182" i="7"/>
  <c r="D181" i="7"/>
  <c r="E181" i="7"/>
  <c r="D180" i="7"/>
  <c r="E180" i="7"/>
  <c r="D179" i="7"/>
  <c r="E179" i="7"/>
  <c r="D178" i="7"/>
  <c r="E178" i="7"/>
  <c r="D46" i="7"/>
  <c r="E46" i="7"/>
  <c r="D47" i="7"/>
  <c r="E47" i="7"/>
  <c r="D48" i="7"/>
  <c r="E48" i="7"/>
  <c r="D49" i="7"/>
  <c r="E49" i="7"/>
  <c r="D50" i="7"/>
  <c r="E50" i="7"/>
  <c r="D681" i="8"/>
  <c r="E681" i="8"/>
  <c r="D677" i="8"/>
  <c r="E677" i="8"/>
  <c r="S53" i="8"/>
  <c r="R53" i="8"/>
  <c r="Q53" i="8"/>
  <c r="P53" i="8"/>
  <c r="O53" i="8"/>
  <c r="N53" i="8"/>
  <c r="S50" i="8"/>
  <c r="K560" i="8"/>
  <c r="R50" i="8"/>
  <c r="K559" i="8"/>
  <c r="Q50" i="8"/>
  <c r="K558" i="8"/>
  <c r="P50" i="8"/>
  <c r="K557" i="8"/>
  <c r="O50" i="8"/>
  <c r="K556" i="8"/>
  <c r="N50" i="8"/>
  <c r="K555" i="8"/>
  <c r="Q49" i="8"/>
  <c r="K552" i="8"/>
  <c r="P49" i="8"/>
  <c r="K551" i="8"/>
  <c r="O49" i="8"/>
  <c r="K550" i="8"/>
  <c r="N49" i="8"/>
  <c r="K549" i="8"/>
  <c r="Q48" i="8"/>
  <c r="K546" i="8"/>
  <c r="P48" i="8"/>
  <c r="K545" i="8"/>
  <c r="O48" i="8"/>
  <c r="K544" i="8"/>
  <c r="N48" i="8"/>
  <c r="K543" i="8"/>
  <c r="Q47" i="8"/>
  <c r="K540" i="8"/>
  <c r="P47" i="8"/>
  <c r="K539" i="8"/>
  <c r="O47" i="8"/>
  <c r="K538" i="8"/>
  <c r="N47" i="8"/>
  <c r="K537" i="8"/>
  <c r="S46" i="8"/>
  <c r="K536" i="8"/>
  <c r="R46" i="8"/>
  <c r="K535" i="8"/>
  <c r="Q46" i="8"/>
  <c r="K534" i="8"/>
  <c r="P46" i="8"/>
  <c r="K533" i="8"/>
  <c r="O46" i="8"/>
  <c r="K532" i="8"/>
  <c r="N46" i="8"/>
  <c r="K531" i="8"/>
  <c r="S43" i="8"/>
  <c r="K529" i="8"/>
  <c r="R43" i="8"/>
  <c r="K528" i="8"/>
  <c r="Q43" i="8"/>
  <c r="K527" i="8"/>
  <c r="P43" i="8"/>
  <c r="K526" i="8"/>
  <c r="O43" i="8"/>
  <c r="K525" i="8"/>
  <c r="N43" i="8"/>
  <c r="K524" i="8"/>
  <c r="Q42" i="8"/>
  <c r="K521" i="8"/>
  <c r="P42" i="8"/>
  <c r="K520" i="8"/>
  <c r="O42" i="8"/>
  <c r="K519" i="8"/>
  <c r="N42" i="8"/>
  <c r="K518" i="8"/>
  <c r="Q41" i="8"/>
  <c r="K515" i="8"/>
  <c r="P41" i="8"/>
  <c r="K514" i="8"/>
  <c r="O41" i="8"/>
  <c r="K513" i="8"/>
  <c r="N41" i="8"/>
  <c r="K512" i="8"/>
  <c r="Q40" i="8"/>
  <c r="K509" i="8"/>
  <c r="P40" i="8"/>
  <c r="K508" i="8"/>
  <c r="O40" i="8"/>
  <c r="K507" i="8"/>
  <c r="N40" i="8"/>
  <c r="K506" i="8"/>
  <c r="S39" i="8"/>
  <c r="K505" i="8"/>
  <c r="R39" i="8"/>
  <c r="K504" i="8"/>
  <c r="Q39" i="8"/>
  <c r="K503" i="8"/>
  <c r="P39" i="8"/>
  <c r="K502" i="8"/>
  <c r="O39" i="8"/>
  <c r="K501" i="8"/>
  <c r="N39" i="8"/>
  <c r="K500" i="8"/>
  <c r="Q36" i="8"/>
  <c r="K498" i="8"/>
  <c r="P36" i="8"/>
  <c r="K497" i="8"/>
  <c r="O36" i="8"/>
  <c r="K496" i="8"/>
  <c r="N36" i="8"/>
  <c r="K495" i="8"/>
  <c r="Q35" i="8"/>
  <c r="K494" i="8"/>
  <c r="P35" i="8"/>
  <c r="O35" i="8"/>
  <c r="N35" i="8"/>
  <c r="Q34" i="8"/>
  <c r="P34" i="8"/>
  <c r="O34" i="8"/>
  <c r="N34" i="8"/>
  <c r="Q33" i="8"/>
  <c r="P33" i="8"/>
  <c r="O33" i="8"/>
  <c r="N33" i="8"/>
  <c r="Q32" i="8"/>
  <c r="P32" i="8"/>
  <c r="O32" i="8"/>
  <c r="N32" i="8"/>
  <c r="S29" i="8"/>
  <c r="R29" i="8"/>
  <c r="Q29" i="8"/>
  <c r="P29" i="8"/>
  <c r="O29" i="8"/>
  <c r="N29" i="8"/>
  <c r="Q28" i="8"/>
  <c r="P28" i="8"/>
  <c r="O28" i="8"/>
  <c r="N28" i="8"/>
  <c r="Q27" i="8"/>
  <c r="P27" i="8"/>
  <c r="O27" i="8"/>
  <c r="N27" i="8"/>
  <c r="Q26" i="8"/>
  <c r="P26" i="8"/>
  <c r="O26" i="8"/>
  <c r="N26" i="8"/>
  <c r="S25" i="8"/>
  <c r="R25" i="8"/>
  <c r="Q25" i="8"/>
  <c r="P25" i="8"/>
  <c r="O25" i="8"/>
  <c r="N25" i="8"/>
  <c r="Q22" i="8"/>
  <c r="P22" i="8"/>
  <c r="O22" i="8"/>
  <c r="N22" i="8"/>
  <c r="Q21" i="8"/>
  <c r="P21" i="8"/>
  <c r="O21" i="8"/>
  <c r="N21" i="8"/>
  <c r="Q20" i="8"/>
  <c r="P20" i="8"/>
  <c r="O20" i="8"/>
  <c r="N20" i="8"/>
  <c r="Q19" i="8"/>
  <c r="P19" i="8"/>
  <c r="O19" i="8"/>
  <c r="N19" i="8"/>
  <c r="Q18" i="8"/>
  <c r="P18" i="8"/>
  <c r="O18" i="8"/>
  <c r="N18" i="8"/>
  <c r="S15" i="8"/>
  <c r="R15" i="8"/>
  <c r="Q15" i="8"/>
  <c r="P15" i="8"/>
  <c r="O15" i="8"/>
  <c r="N15" i="8"/>
  <c r="Q14" i="8"/>
  <c r="P14" i="8"/>
  <c r="O14" i="8"/>
  <c r="N14" i="8"/>
  <c r="Q13" i="8"/>
  <c r="P13" i="8"/>
  <c r="O13" i="8"/>
  <c r="N13" i="8"/>
  <c r="Q12" i="8"/>
  <c r="P12" i="8"/>
  <c r="O12" i="8"/>
  <c r="N12" i="8"/>
  <c r="S11" i="8"/>
  <c r="R11" i="8"/>
  <c r="Q11" i="8"/>
  <c r="P11" i="8"/>
  <c r="O11" i="8"/>
  <c r="N11" i="8"/>
  <c r="Q8" i="8"/>
  <c r="P8" i="8"/>
  <c r="O8" i="8"/>
  <c r="N8" i="8"/>
  <c r="AI7" i="8"/>
  <c r="S49" i="8"/>
  <c r="K554" i="8"/>
  <c r="AH7" i="8"/>
  <c r="R14" i="8"/>
  <c r="Q7" i="8"/>
  <c r="P7" i="8"/>
  <c r="O7" i="8"/>
  <c r="N7" i="8"/>
  <c r="AI6" i="8"/>
  <c r="S48" i="8"/>
  <c r="K548" i="8"/>
  <c r="AH6" i="8"/>
  <c r="R13" i="8"/>
  <c r="Q6" i="8"/>
  <c r="P6" i="8"/>
  <c r="O6" i="8"/>
  <c r="N6" i="8"/>
  <c r="AI5" i="8"/>
  <c r="S26" i="8"/>
  <c r="AH5" i="8"/>
  <c r="R12" i="8"/>
  <c r="Q5" i="8"/>
  <c r="P5" i="8"/>
  <c r="O5" i="8"/>
  <c r="N5" i="8"/>
  <c r="Q4" i="8"/>
  <c r="P4" i="8"/>
  <c r="O4" i="8"/>
  <c r="N4" i="8"/>
  <c r="C173" i="7"/>
  <c r="D173" i="7"/>
  <c r="E173" i="7"/>
  <c r="C172" i="7"/>
  <c r="D172" i="7"/>
  <c r="E172" i="7"/>
  <c r="D171" i="7"/>
  <c r="E171" i="7"/>
  <c r="D169" i="7"/>
  <c r="E169" i="7"/>
  <c r="D168" i="7"/>
  <c r="E168" i="7"/>
  <c r="D167" i="7"/>
  <c r="E167" i="7"/>
  <c r="D166" i="7"/>
  <c r="E166" i="7"/>
  <c r="D128" i="7"/>
  <c r="E128" i="7"/>
  <c r="E121" i="7"/>
  <c r="D121" i="7"/>
  <c r="D116" i="7"/>
  <c r="E116" i="7"/>
  <c r="E109" i="7"/>
  <c r="D109" i="7"/>
  <c r="D105" i="7"/>
  <c r="E105" i="7"/>
  <c r="D99" i="7"/>
  <c r="E99" i="7"/>
  <c r="D94" i="7"/>
  <c r="E94" i="7"/>
  <c r="E84" i="7"/>
  <c r="D682" i="8"/>
  <c r="K590" i="8"/>
  <c r="D84" i="7"/>
  <c r="D77" i="7"/>
  <c r="E77" i="7"/>
  <c r="E70" i="7"/>
  <c r="D70" i="7"/>
  <c r="D67" i="7"/>
  <c r="E67" i="7"/>
  <c r="E66" i="7"/>
  <c r="D66" i="7"/>
  <c r="D65" i="7"/>
  <c r="E65" i="7"/>
  <c r="E64" i="7"/>
  <c r="D64" i="7"/>
  <c r="D63" i="7"/>
  <c r="E63" i="7"/>
  <c r="E62" i="7"/>
  <c r="D62" i="7"/>
  <c r="D61" i="7"/>
  <c r="E61" i="7"/>
  <c r="E41" i="7"/>
  <c r="D41" i="7"/>
  <c r="D40" i="7"/>
  <c r="E40" i="7"/>
  <c r="E39" i="7"/>
  <c r="D39" i="7"/>
  <c r="D38" i="7"/>
  <c r="E38" i="7"/>
  <c r="D33" i="7"/>
  <c r="E33" i="7"/>
  <c r="D670" i="8"/>
  <c r="K578" i="8"/>
  <c r="C33" i="7"/>
  <c r="D30" i="7"/>
  <c r="E30" i="7"/>
  <c r="D666" i="8"/>
  <c r="K574" i="8"/>
  <c r="D23" i="7"/>
  <c r="E23" i="7"/>
  <c r="D19" i="7"/>
  <c r="E19" i="7"/>
  <c r="D664" i="8"/>
  <c r="E664" i="8"/>
  <c r="C18" i="7"/>
  <c r="D18" i="7"/>
  <c r="E18" i="7"/>
  <c r="D663" i="8"/>
  <c r="E663" i="8"/>
  <c r="C17" i="7"/>
  <c r="D17" i="7"/>
  <c r="E17" i="7"/>
  <c r="D662" i="8"/>
  <c r="E662" i="8"/>
  <c r="D13" i="7"/>
  <c r="E13" i="7"/>
  <c r="B13" i="7"/>
  <c r="D12" i="7"/>
  <c r="E12" i="7"/>
  <c r="D11" i="7"/>
  <c r="E11" i="7"/>
  <c r="C10" i="7"/>
  <c r="D10" i="7"/>
  <c r="E10" i="7"/>
  <c r="C9" i="7"/>
  <c r="D9" i="7"/>
  <c r="E9" i="7"/>
  <c r="C8" i="7"/>
  <c r="D8" i="7"/>
  <c r="E8" i="7"/>
  <c r="C7" i="7"/>
  <c r="D7" i="7"/>
  <c r="E7" i="7"/>
  <c r="C6" i="7"/>
  <c r="D6" i="7"/>
  <c r="E6" i="7"/>
  <c r="C5" i="7"/>
  <c r="C123" i="7"/>
  <c r="C4" i="7"/>
  <c r="C160" i="7"/>
  <c r="D160" i="7"/>
  <c r="E160" i="7"/>
  <c r="E16" i="3"/>
  <c r="E100" i="3"/>
  <c r="E99" i="3"/>
  <c r="E96" i="3"/>
  <c r="E95" i="3"/>
  <c r="E94" i="3"/>
  <c r="E93" i="3"/>
  <c r="E91" i="3"/>
  <c r="E90" i="3"/>
  <c r="E89" i="3"/>
  <c r="E87" i="3"/>
  <c r="E86" i="3"/>
  <c r="E85" i="3"/>
  <c r="E84" i="3"/>
  <c r="E82" i="3"/>
  <c r="E81" i="3"/>
  <c r="E79" i="3"/>
  <c r="E78" i="3"/>
  <c r="E77" i="3"/>
  <c r="E76" i="3"/>
  <c r="E75" i="3"/>
  <c r="E74" i="3"/>
  <c r="E73" i="3"/>
  <c r="E72" i="3"/>
  <c r="E70" i="3"/>
  <c r="E69" i="3"/>
  <c r="E68" i="3"/>
  <c r="E67" i="3"/>
  <c r="E63" i="3"/>
  <c r="E62" i="3"/>
  <c r="E61" i="3"/>
  <c r="E60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93" i="6"/>
  <c r="E94" i="6"/>
  <c r="E95" i="6"/>
  <c r="E96" i="6"/>
  <c r="E63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F248" i="5"/>
  <c r="F247" i="5"/>
  <c r="F246" i="5"/>
  <c r="F245" i="5"/>
  <c r="F244" i="5"/>
  <c r="F242" i="5"/>
  <c r="F241" i="5"/>
  <c r="F240" i="5"/>
  <c r="F239" i="5"/>
  <c r="F238" i="5"/>
  <c r="F237" i="5"/>
  <c r="F236" i="5"/>
  <c r="F235" i="5"/>
  <c r="F234" i="5"/>
  <c r="F233" i="5"/>
  <c r="F232" i="5"/>
  <c r="F230" i="5"/>
  <c r="F229" i="5"/>
  <c r="F228" i="5"/>
  <c r="F227" i="5"/>
  <c r="F226" i="5"/>
  <c r="F225" i="5"/>
  <c r="F224" i="5"/>
  <c r="F223" i="5"/>
  <c r="F222" i="5"/>
  <c r="F221" i="5"/>
  <c r="F220" i="5"/>
  <c r="F218" i="5"/>
  <c r="F217" i="5"/>
  <c r="F216" i="5"/>
  <c r="F215" i="5"/>
  <c r="F214" i="5"/>
  <c r="F213" i="5"/>
  <c r="F212" i="5"/>
  <c r="F211" i="5"/>
  <c r="F210" i="5"/>
  <c r="F209" i="5"/>
  <c r="F208" i="5"/>
  <c r="F207" i="5"/>
  <c r="F206" i="5"/>
  <c r="F205" i="5"/>
  <c r="F204" i="5"/>
  <c r="F203" i="5"/>
  <c r="J12" i="5"/>
  <c r="G12" i="5"/>
  <c r="H12" i="5"/>
  <c r="D18" i="6"/>
  <c r="E18" i="6"/>
  <c r="F202" i="5"/>
  <c r="J11" i="5"/>
  <c r="F201" i="5"/>
  <c r="F200" i="5"/>
  <c r="F199" i="5"/>
  <c r="J8" i="5"/>
  <c r="F198" i="5"/>
  <c r="J7" i="5"/>
  <c r="F197" i="5"/>
  <c r="F196" i="5"/>
  <c r="F195" i="5"/>
  <c r="F192" i="5"/>
  <c r="L65" i="5"/>
  <c r="G65" i="5"/>
  <c r="H65" i="5"/>
  <c r="D82" i="6"/>
  <c r="E82" i="6"/>
  <c r="F189" i="5"/>
  <c r="D186" i="5"/>
  <c r="F186" i="5"/>
  <c r="K28" i="5"/>
  <c r="F183" i="5"/>
  <c r="F180" i="5"/>
  <c r="F179" i="5"/>
  <c r="L72" i="5"/>
  <c r="F178" i="5"/>
  <c r="L71" i="5"/>
  <c r="G71" i="5"/>
  <c r="H71" i="5"/>
  <c r="D86" i="6"/>
  <c r="E86" i="6"/>
  <c r="F177" i="5"/>
  <c r="L70" i="5"/>
  <c r="G70" i="5"/>
  <c r="H70" i="5"/>
  <c r="D85" i="6"/>
  <c r="E85" i="6"/>
  <c r="F174" i="5"/>
  <c r="F173" i="5"/>
  <c r="F172" i="5"/>
  <c r="L58" i="5"/>
  <c r="G58" i="5"/>
  <c r="H58" i="5"/>
  <c r="D77" i="6"/>
  <c r="E77" i="6"/>
  <c r="F171" i="5"/>
  <c r="F170" i="5"/>
  <c r="L56" i="5"/>
  <c r="G56" i="5"/>
  <c r="H56" i="5"/>
  <c r="D75" i="6"/>
  <c r="E75" i="6"/>
  <c r="F169" i="5"/>
  <c r="F168" i="5"/>
  <c r="L54" i="5"/>
  <c r="G54" i="5"/>
  <c r="H54" i="5"/>
  <c r="D73" i="6"/>
  <c r="E73" i="6"/>
  <c r="F165" i="5"/>
  <c r="P29" i="5"/>
  <c r="F164" i="5"/>
  <c r="O25" i="5"/>
  <c r="F163" i="5"/>
  <c r="F160" i="5"/>
  <c r="F159" i="5"/>
  <c r="P89" i="5"/>
  <c r="F158" i="5"/>
  <c r="F157" i="5"/>
  <c r="D154" i="5"/>
  <c r="F154" i="5"/>
  <c r="K77" i="5"/>
  <c r="G77" i="5"/>
  <c r="H77" i="5"/>
  <c r="D90" i="6"/>
  <c r="E90" i="6"/>
  <c r="D153" i="5"/>
  <c r="F153" i="5"/>
  <c r="K78" i="5"/>
  <c r="F152" i="5"/>
  <c r="F149" i="5"/>
  <c r="K35" i="5"/>
  <c r="F146" i="5"/>
  <c r="F145" i="5"/>
  <c r="F142" i="5"/>
  <c r="F141" i="5"/>
  <c r="K25" i="5"/>
  <c r="F140" i="5"/>
  <c r="F137" i="5"/>
  <c r="F136" i="5"/>
  <c r="K24" i="5"/>
  <c r="F135" i="5"/>
  <c r="F134" i="5"/>
  <c r="F131" i="5"/>
  <c r="J27" i="5"/>
  <c r="G27" i="5"/>
  <c r="H27" i="5"/>
  <c r="F130" i="5"/>
  <c r="F129" i="5"/>
  <c r="J28" i="5"/>
  <c r="F128" i="5"/>
  <c r="F127" i="5"/>
  <c r="F124" i="5"/>
  <c r="K6" i="5"/>
  <c r="F123" i="5"/>
  <c r="K9" i="5"/>
  <c r="F122" i="5"/>
  <c r="F121" i="5"/>
  <c r="F118" i="5"/>
  <c r="F117" i="5"/>
  <c r="K15" i="5"/>
  <c r="F116" i="5"/>
  <c r="F115" i="5"/>
  <c r="F114" i="5"/>
  <c r="F113" i="5"/>
  <c r="F110" i="5"/>
  <c r="F109" i="5"/>
  <c r="F108" i="5"/>
  <c r="K4" i="5"/>
  <c r="F107" i="5"/>
  <c r="F106" i="5"/>
  <c r="H100" i="5"/>
  <c r="D100" i="6"/>
  <c r="E100" i="6"/>
  <c r="H96" i="5"/>
  <c r="D99" i="6"/>
  <c r="E99" i="6"/>
  <c r="O92" i="5"/>
  <c r="G92" i="5"/>
  <c r="H92" i="5"/>
  <c r="D70" i="6"/>
  <c r="E70" i="6"/>
  <c r="P91" i="5"/>
  <c r="O91" i="5"/>
  <c r="G91" i="5"/>
  <c r="H91" i="5"/>
  <c r="D69" i="6"/>
  <c r="E69" i="6"/>
  <c r="P90" i="5"/>
  <c r="O90" i="5"/>
  <c r="G90" i="5"/>
  <c r="H90" i="5"/>
  <c r="D68" i="6"/>
  <c r="E68" i="6"/>
  <c r="O89" i="5"/>
  <c r="G85" i="5"/>
  <c r="H85" i="5"/>
  <c r="D62" i="6"/>
  <c r="E62" i="6"/>
  <c r="G84" i="5"/>
  <c r="H84" i="5"/>
  <c r="D61" i="6"/>
  <c r="E61" i="6"/>
  <c r="G83" i="5"/>
  <c r="H83" i="5"/>
  <c r="D60" i="6"/>
  <c r="E60" i="6"/>
  <c r="G82" i="5"/>
  <c r="J78" i="5"/>
  <c r="G76" i="5"/>
  <c r="H76" i="5"/>
  <c r="D89" i="6"/>
  <c r="E89" i="6"/>
  <c r="G72" i="5"/>
  <c r="H72" i="5"/>
  <c r="D87" i="6"/>
  <c r="E87" i="6"/>
  <c r="H69" i="5"/>
  <c r="D84" i="6"/>
  <c r="E84" i="6"/>
  <c r="G69" i="5"/>
  <c r="G64" i="5"/>
  <c r="H64" i="5"/>
  <c r="D81" i="6"/>
  <c r="E81" i="6"/>
  <c r="L60" i="5"/>
  <c r="G60" i="5"/>
  <c r="H60" i="5"/>
  <c r="D79" i="6"/>
  <c r="E79" i="6"/>
  <c r="L59" i="5"/>
  <c r="G59" i="5"/>
  <c r="H59" i="5"/>
  <c r="D78" i="6"/>
  <c r="E78" i="6"/>
  <c r="L57" i="5"/>
  <c r="G57" i="5"/>
  <c r="H57" i="5"/>
  <c r="D76" i="6"/>
  <c r="E76" i="6"/>
  <c r="L55" i="5"/>
  <c r="G55" i="5"/>
  <c r="H55" i="5"/>
  <c r="D74" i="6"/>
  <c r="E74" i="6"/>
  <c r="G53" i="5"/>
  <c r="H53" i="5"/>
  <c r="D72" i="6"/>
  <c r="E72" i="6"/>
  <c r="G52" i="5"/>
  <c r="H52" i="5"/>
  <c r="G48" i="5"/>
  <c r="H48" i="5"/>
  <c r="G47" i="5"/>
  <c r="H47" i="5"/>
  <c r="G46" i="5"/>
  <c r="H46" i="5"/>
  <c r="G45" i="5"/>
  <c r="H45" i="5"/>
  <c r="G44" i="5"/>
  <c r="H44" i="5"/>
  <c r="G43" i="5"/>
  <c r="H43" i="5"/>
  <c r="G42" i="5"/>
  <c r="H42" i="5"/>
  <c r="G41" i="5"/>
  <c r="H41" i="5"/>
  <c r="G40" i="5"/>
  <c r="H40" i="5"/>
  <c r="G39" i="5"/>
  <c r="H39" i="5"/>
  <c r="G35" i="5"/>
  <c r="H35" i="5"/>
  <c r="G34" i="5"/>
  <c r="H34" i="5"/>
  <c r="K33" i="5"/>
  <c r="G33" i="5"/>
  <c r="H33" i="5"/>
  <c r="D24" i="6"/>
  <c r="E24" i="6"/>
  <c r="P32" i="5"/>
  <c r="O32" i="5"/>
  <c r="N32" i="5"/>
  <c r="K32" i="5"/>
  <c r="O31" i="5"/>
  <c r="N31" i="5"/>
  <c r="K31" i="5"/>
  <c r="J31" i="5"/>
  <c r="O30" i="5"/>
  <c r="N30" i="5"/>
  <c r="K30" i="5"/>
  <c r="N29" i="5"/>
  <c r="K29" i="5"/>
  <c r="J29" i="5"/>
  <c r="K27" i="5"/>
  <c r="P26" i="5"/>
  <c r="O26" i="5"/>
  <c r="N26" i="5"/>
  <c r="K26" i="5"/>
  <c r="J26" i="5"/>
  <c r="G26" i="5"/>
  <c r="H26" i="5"/>
  <c r="N25" i="5"/>
  <c r="J25" i="5"/>
  <c r="G25" i="5"/>
  <c r="O24" i="5"/>
  <c r="N24" i="5"/>
  <c r="C24" i="5"/>
  <c r="O23" i="5"/>
  <c r="N23" i="5"/>
  <c r="K23" i="5"/>
  <c r="C23" i="5"/>
  <c r="K18" i="5"/>
  <c r="J18" i="5"/>
  <c r="L17" i="5"/>
  <c r="K17" i="5"/>
  <c r="G17" i="5"/>
  <c r="H17" i="5"/>
  <c r="J17" i="5"/>
  <c r="K16" i="5"/>
  <c r="G16" i="5"/>
  <c r="H16" i="5"/>
  <c r="J16" i="5"/>
  <c r="J15" i="5"/>
  <c r="L14" i="5"/>
  <c r="K14" i="5"/>
  <c r="G14" i="5"/>
  <c r="H14" i="5"/>
  <c r="D20" i="6"/>
  <c r="E20" i="6"/>
  <c r="J14" i="5"/>
  <c r="K13" i="5"/>
  <c r="G13" i="5"/>
  <c r="H13" i="5"/>
  <c r="J13" i="5"/>
  <c r="K12" i="5"/>
  <c r="K11" i="5"/>
  <c r="G11" i="5"/>
  <c r="H11" i="5"/>
  <c r="K10" i="5"/>
  <c r="J10" i="5"/>
  <c r="L9" i="5"/>
  <c r="J9" i="5"/>
  <c r="K8" i="5"/>
  <c r="L7" i="5"/>
  <c r="K7" i="5"/>
  <c r="J6" i="5"/>
  <c r="J5" i="5"/>
  <c r="J4" i="5"/>
  <c r="G130" i="2"/>
  <c r="H130" i="2"/>
  <c r="I130" i="2"/>
  <c r="D125" i="2"/>
  <c r="E62" i="2"/>
  <c r="G62" i="2"/>
  <c r="H62" i="2"/>
  <c r="I62" i="2"/>
  <c r="D124" i="2"/>
  <c r="M81" i="2"/>
  <c r="R22" i="2"/>
  <c r="M80" i="2"/>
  <c r="S38" i="2"/>
  <c r="H79" i="2"/>
  <c r="M79" i="2"/>
  <c r="Q18" i="2"/>
  <c r="M78" i="2"/>
  <c r="L77" i="2"/>
  <c r="H77" i="2"/>
  <c r="G77" i="2"/>
  <c r="M77" i="2"/>
  <c r="Q47" i="2"/>
  <c r="L76" i="2"/>
  <c r="M76" i="2"/>
  <c r="R30" i="2"/>
  <c r="Q25" i="2"/>
  <c r="L75" i="2"/>
  <c r="M75" i="2"/>
  <c r="B75" i="2"/>
  <c r="M74" i="2"/>
  <c r="Q40" i="2"/>
  <c r="Q41" i="2"/>
  <c r="L74" i="2"/>
  <c r="L73" i="2"/>
  <c r="M73" i="2"/>
  <c r="B73" i="2"/>
  <c r="L72" i="2"/>
  <c r="H72" i="2"/>
  <c r="G72" i="2"/>
  <c r="M72" i="2"/>
  <c r="D66" i="2"/>
  <c r="G66" i="2"/>
  <c r="H66" i="2"/>
  <c r="I66" i="2"/>
  <c r="D65" i="2"/>
  <c r="G65" i="2"/>
  <c r="H65" i="2"/>
  <c r="I65" i="2"/>
  <c r="G64" i="2"/>
  <c r="H64" i="2"/>
  <c r="I64" i="2"/>
  <c r="E63" i="2"/>
  <c r="G63" i="2"/>
  <c r="D63" i="2"/>
  <c r="H63" i="2"/>
  <c r="I63" i="2"/>
  <c r="G61" i="2"/>
  <c r="H61" i="2"/>
  <c r="I61" i="2"/>
  <c r="G60" i="2"/>
  <c r="H60" i="2"/>
  <c r="I60" i="2"/>
  <c r="H59" i="2"/>
  <c r="I59" i="2"/>
  <c r="G59" i="2"/>
  <c r="G58" i="2"/>
  <c r="H58" i="2"/>
  <c r="I58" i="2"/>
  <c r="D58" i="2"/>
  <c r="I57" i="2"/>
  <c r="G57" i="2"/>
  <c r="H57" i="2"/>
  <c r="G56" i="2"/>
  <c r="H56" i="2"/>
  <c r="I56" i="2"/>
  <c r="G55" i="2"/>
  <c r="H55" i="2"/>
  <c r="I55" i="2"/>
  <c r="D54" i="2"/>
  <c r="G54" i="2"/>
  <c r="H54" i="2"/>
  <c r="I54" i="2"/>
  <c r="I53" i="2"/>
  <c r="H53" i="2"/>
  <c r="G53" i="2"/>
  <c r="G52" i="2"/>
  <c r="H52" i="2"/>
  <c r="I52" i="2"/>
  <c r="G51" i="2"/>
  <c r="H51" i="2"/>
  <c r="I51" i="2"/>
  <c r="L47" i="2"/>
  <c r="R46" i="2"/>
  <c r="L46" i="2"/>
  <c r="L45" i="2"/>
  <c r="L44" i="2"/>
  <c r="L43" i="2"/>
  <c r="L42" i="2"/>
  <c r="L41" i="2"/>
  <c r="L40" i="2"/>
  <c r="L39" i="2"/>
  <c r="Q38" i="2"/>
  <c r="L38" i="2"/>
  <c r="L37" i="2"/>
  <c r="R36" i="2"/>
  <c r="L36" i="2"/>
  <c r="R35" i="2"/>
  <c r="L35" i="2"/>
  <c r="Q34" i="2"/>
  <c r="L34" i="2"/>
  <c r="L33" i="2"/>
  <c r="R32" i="2"/>
  <c r="L32" i="2"/>
  <c r="L31" i="2"/>
  <c r="S30" i="2"/>
  <c r="L30" i="2"/>
  <c r="R29" i="2"/>
  <c r="L29" i="2"/>
  <c r="L28" i="2"/>
  <c r="L27" i="2"/>
  <c r="O26" i="2"/>
  <c r="L26" i="2"/>
  <c r="L25" i="2"/>
  <c r="Q24" i="2"/>
  <c r="L24" i="2"/>
  <c r="O23" i="2"/>
  <c r="L23" i="2"/>
  <c r="Q22" i="2"/>
  <c r="C22" i="2"/>
  <c r="Q21" i="2"/>
  <c r="G21" i="2"/>
  <c r="H21" i="2"/>
  <c r="I21" i="2"/>
  <c r="J21" i="2"/>
  <c r="C21" i="2"/>
  <c r="H20" i="2"/>
  <c r="I20" i="2"/>
  <c r="J20" i="2"/>
  <c r="G20" i="2"/>
  <c r="C20" i="2"/>
  <c r="C19" i="2"/>
  <c r="O18" i="2"/>
  <c r="L18" i="2"/>
  <c r="C18" i="2"/>
  <c r="O17" i="2"/>
  <c r="L17" i="2"/>
  <c r="C17" i="2"/>
  <c r="O16" i="2"/>
  <c r="L16" i="2"/>
  <c r="C16" i="2"/>
  <c r="O15" i="2"/>
  <c r="L15" i="2"/>
  <c r="C15" i="2"/>
  <c r="O14" i="2"/>
  <c r="G14" i="2"/>
  <c r="H14" i="2"/>
  <c r="I14" i="2"/>
  <c r="J14" i="2"/>
  <c r="L14" i="2"/>
  <c r="C14" i="2"/>
  <c r="O13" i="2"/>
  <c r="O47" i="2"/>
  <c r="G47" i="2"/>
  <c r="H47" i="2"/>
  <c r="I47" i="2"/>
  <c r="J47" i="2"/>
  <c r="L13" i="2"/>
  <c r="C13" i="2"/>
  <c r="O12" i="2"/>
  <c r="L12" i="2"/>
  <c r="Q11" i="2"/>
  <c r="O11" i="2"/>
  <c r="O37" i="2"/>
  <c r="L11" i="2"/>
  <c r="O10" i="2"/>
  <c r="O28" i="2"/>
  <c r="O36" i="2"/>
  <c r="L10" i="2"/>
  <c r="O9" i="2"/>
  <c r="L9" i="2"/>
  <c r="Q8" i="2"/>
  <c r="O8" i="2"/>
  <c r="L8" i="2"/>
  <c r="R7" i="2"/>
  <c r="O7" i="2"/>
  <c r="L7" i="2"/>
  <c r="O6" i="2"/>
  <c r="L6" i="2"/>
  <c r="O5" i="2"/>
  <c r="L5" i="2"/>
  <c r="Q4" i="2"/>
  <c r="G4" i="2"/>
  <c r="H4" i="2"/>
  <c r="I4" i="2"/>
  <c r="J4" i="2"/>
  <c r="O4" i="2"/>
  <c r="L4" i="2"/>
  <c r="C4" i="2"/>
  <c r="C3" i="2"/>
  <c r="D259" i="8"/>
  <c r="E259" i="8"/>
  <c r="D168" i="8"/>
  <c r="E168" i="8"/>
  <c r="D229" i="8"/>
  <c r="E229" i="8"/>
  <c r="D169" i="8"/>
  <c r="E169" i="8"/>
  <c r="D257" i="8"/>
  <c r="E257" i="8"/>
  <c r="D198" i="8"/>
  <c r="E198" i="8"/>
  <c r="D258" i="8"/>
  <c r="E258" i="8"/>
  <c r="D136" i="8"/>
  <c r="E136" i="8"/>
  <c r="D226" i="8"/>
  <c r="E226" i="8"/>
  <c r="D620" i="8"/>
  <c r="E620" i="8"/>
  <c r="D588" i="8"/>
  <c r="E588" i="8"/>
  <c r="D560" i="8"/>
  <c r="E560" i="8"/>
  <c r="D528" i="8"/>
  <c r="E528" i="8"/>
  <c r="D500" i="8"/>
  <c r="E500" i="8"/>
  <c r="D468" i="8"/>
  <c r="E468" i="8"/>
  <c r="D618" i="8"/>
  <c r="E618" i="8"/>
  <c r="D591" i="8"/>
  <c r="E591" i="8"/>
  <c r="D559" i="8"/>
  <c r="E559" i="8"/>
  <c r="D501" i="8"/>
  <c r="E501" i="8"/>
  <c r="D469" i="8"/>
  <c r="E469" i="8"/>
  <c r="D589" i="8"/>
  <c r="E589" i="8"/>
  <c r="D561" i="8"/>
  <c r="E561" i="8"/>
  <c r="D531" i="8"/>
  <c r="E531" i="8"/>
  <c r="D621" i="8"/>
  <c r="E621" i="8"/>
  <c r="D529" i="8"/>
  <c r="E529" i="8"/>
  <c r="D499" i="8"/>
  <c r="E499" i="8"/>
  <c r="D471" i="8"/>
  <c r="E471" i="8"/>
  <c r="D619" i="8"/>
  <c r="E619" i="8"/>
  <c r="D590" i="8"/>
  <c r="E590" i="8"/>
  <c r="D558" i="8"/>
  <c r="E558" i="8"/>
  <c r="D530" i="8"/>
  <c r="E530" i="8"/>
  <c r="D498" i="8"/>
  <c r="E498" i="8"/>
  <c r="D470" i="8"/>
  <c r="E470" i="8"/>
  <c r="D440" i="8"/>
  <c r="E440" i="8"/>
  <c r="D408" i="8"/>
  <c r="E408" i="8"/>
  <c r="D380" i="8"/>
  <c r="E380" i="8"/>
  <c r="D348" i="8"/>
  <c r="E348" i="8"/>
  <c r="D320" i="8"/>
  <c r="E320" i="8"/>
  <c r="D288" i="8"/>
  <c r="E288" i="8"/>
  <c r="D438" i="8"/>
  <c r="E438" i="8"/>
  <c r="D379" i="8"/>
  <c r="E379" i="8"/>
  <c r="D347" i="8"/>
  <c r="E347" i="8"/>
  <c r="D289" i="8"/>
  <c r="E289" i="8"/>
  <c r="D409" i="8"/>
  <c r="E409" i="8"/>
  <c r="D377" i="8"/>
  <c r="E377" i="8"/>
  <c r="D439" i="8"/>
  <c r="E439" i="8"/>
  <c r="D407" i="8"/>
  <c r="E407" i="8"/>
  <c r="D350" i="8"/>
  <c r="E350" i="8"/>
  <c r="D437" i="8"/>
  <c r="E437" i="8"/>
  <c r="D349" i="8"/>
  <c r="E349" i="8"/>
  <c r="D319" i="8"/>
  <c r="E319" i="8"/>
  <c r="D378" i="8"/>
  <c r="E378" i="8"/>
  <c r="D410" i="8"/>
  <c r="E410" i="8"/>
  <c r="D318" i="8"/>
  <c r="E318" i="8"/>
  <c r="D290" i="8"/>
  <c r="E290" i="8"/>
  <c r="D317" i="8"/>
  <c r="E317" i="8"/>
  <c r="D287" i="8"/>
  <c r="E287" i="8"/>
  <c r="S47" i="8"/>
  <c r="K542" i="8"/>
  <c r="R28" i="8"/>
  <c r="S40" i="8"/>
  <c r="K511" i="8"/>
  <c r="S41" i="8"/>
  <c r="K517" i="8"/>
  <c r="S12" i="8"/>
  <c r="S14" i="8"/>
  <c r="S13" i="8"/>
  <c r="R47" i="8"/>
  <c r="K541" i="8"/>
  <c r="R40" i="8"/>
  <c r="K510" i="8"/>
  <c r="R48" i="8"/>
  <c r="K547" i="8"/>
  <c r="R41" i="8"/>
  <c r="K516" i="8"/>
  <c r="R49" i="8"/>
  <c r="K553" i="8"/>
  <c r="R42" i="8"/>
  <c r="K522" i="8"/>
  <c r="R27" i="8"/>
  <c r="S28" i="8"/>
  <c r="R26" i="8"/>
  <c r="S27" i="8"/>
  <c r="S42" i="8"/>
  <c r="K523" i="8"/>
  <c r="D4" i="7"/>
  <c r="E4" i="7"/>
  <c r="C43" i="7"/>
  <c r="D43" i="7"/>
  <c r="E43" i="7"/>
  <c r="D352" i="8"/>
  <c r="E352" i="8"/>
  <c r="D123" i="7"/>
  <c r="E123" i="7"/>
  <c r="C102" i="7"/>
  <c r="C106" i="7"/>
  <c r="C110" i="7"/>
  <c r="C115" i="7"/>
  <c r="D115" i="7"/>
  <c r="E115" i="7"/>
  <c r="C119" i="7"/>
  <c r="D119" i="7"/>
  <c r="E119" i="7"/>
  <c r="C122" i="7"/>
  <c r="C127" i="7"/>
  <c r="D127" i="7"/>
  <c r="E127" i="7"/>
  <c r="C131" i="7"/>
  <c r="C135" i="7"/>
  <c r="C55" i="7"/>
  <c r="D55" i="7"/>
  <c r="E55" i="7"/>
  <c r="D675" i="8"/>
  <c r="E675" i="8"/>
  <c r="C139" i="7"/>
  <c r="D139" i="7"/>
  <c r="E139" i="7"/>
  <c r="C145" i="7"/>
  <c r="D145" i="7"/>
  <c r="E145" i="7"/>
  <c r="D5" i="7"/>
  <c r="E5" i="7"/>
  <c r="C101" i="7"/>
  <c r="C114" i="7"/>
  <c r="D114" i="7"/>
  <c r="E114" i="7"/>
  <c r="C118" i="7"/>
  <c r="D118" i="7"/>
  <c r="E118" i="7"/>
  <c r="C126" i="7"/>
  <c r="D126" i="7"/>
  <c r="E126" i="7"/>
  <c r="C130" i="7"/>
  <c r="D130" i="7"/>
  <c r="E130" i="7"/>
  <c r="C134" i="7"/>
  <c r="D134" i="7"/>
  <c r="E134" i="7"/>
  <c r="C138" i="7"/>
  <c r="D138" i="7"/>
  <c r="E138" i="7"/>
  <c r="C144" i="7"/>
  <c r="D144" i="7"/>
  <c r="E144" i="7"/>
  <c r="C162" i="7"/>
  <c r="D162" i="7"/>
  <c r="E162" i="7"/>
  <c r="C100" i="7"/>
  <c r="C113" i="7"/>
  <c r="D113" i="7"/>
  <c r="E113" i="7"/>
  <c r="C125" i="7"/>
  <c r="D125" i="7"/>
  <c r="E125" i="7"/>
  <c r="C133" i="7"/>
  <c r="D133" i="7"/>
  <c r="E133" i="7"/>
  <c r="C137" i="7"/>
  <c r="C147" i="7"/>
  <c r="D147" i="7"/>
  <c r="E147" i="7"/>
  <c r="C161" i="7"/>
  <c r="C85" i="7"/>
  <c r="D85" i="7"/>
  <c r="E85" i="7"/>
  <c r="D685" i="8"/>
  <c r="E685" i="8"/>
  <c r="K593" i="8"/>
  <c r="C103" i="7"/>
  <c r="C107" i="7"/>
  <c r="C32" i="7"/>
  <c r="C111" i="7"/>
  <c r="C120" i="7"/>
  <c r="D120" i="7"/>
  <c r="E120" i="7"/>
  <c r="C132" i="7"/>
  <c r="D132" i="7"/>
  <c r="E132" i="7"/>
  <c r="C136" i="7"/>
  <c r="D136" i="7"/>
  <c r="E136" i="7"/>
  <c r="C140" i="7"/>
  <c r="C146" i="7"/>
  <c r="D146" i="7"/>
  <c r="E146" i="7"/>
  <c r="G6" i="5"/>
  <c r="H6" i="5"/>
  <c r="G28" i="5"/>
  <c r="H28" i="5"/>
  <c r="P25" i="5"/>
  <c r="H25" i="5"/>
  <c r="K5" i="5"/>
  <c r="G5" i="5"/>
  <c r="H5" i="5"/>
  <c r="J23" i="5"/>
  <c r="P23" i="5"/>
  <c r="G23" i="5"/>
  <c r="H23" i="5"/>
  <c r="J24" i="5"/>
  <c r="P24" i="5"/>
  <c r="G24" i="5"/>
  <c r="H24" i="5"/>
  <c r="P30" i="5"/>
  <c r="P31" i="5"/>
  <c r="Q30" i="2"/>
  <c r="Q29" i="2"/>
  <c r="R28" i="2"/>
  <c r="R27" i="2"/>
  <c r="S25" i="2"/>
  <c r="Q28" i="2"/>
  <c r="Q26" i="2"/>
  <c r="R25" i="2"/>
  <c r="R24" i="2"/>
  <c r="Q23" i="2"/>
  <c r="Q46" i="2"/>
  <c r="Q45" i="2"/>
  <c r="R44" i="2"/>
  <c r="R43" i="2"/>
  <c r="S41" i="2"/>
  <c r="Q44" i="2"/>
  <c r="Q42" i="2"/>
  <c r="R41" i="2"/>
  <c r="R40" i="2"/>
  <c r="Q39" i="2"/>
  <c r="O45" i="2"/>
  <c r="O29" i="2"/>
  <c r="Q33" i="2"/>
  <c r="Q32" i="2"/>
  <c r="R38" i="2"/>
  <c r="Q7" i="2"/>
  <c r="Q6" i="2"/>
  <c r="R12" i="2"/>
  <c r="R11" i="2"/>
  <c r="G11" i="2"/>
  <c r="H11" i="2"/>
  <c r="I11" i="2"/>
  <c r="J11" i="2"/>
  <c r="R17" i="2"/>
  <c r="R37" i="2"/>
  <c r="S12" i="2"/>
  <c r="Q14" i="2"/>
  <c r="D442" i="8"/>
  <c r="E442" i="8"/>
  <c r="D503" i="8"/>
  <c r="E503" i="8"/>
  <c r="D122" i="7"/>
  <c r="E122" i="7"/>
  <c r="C42" i="7"/>
  <c r="D42" i="7"/>
  <c r="E42" i="7"/>
  <c r="C57" i="7"/>
  <c r="D57" i="7"/>
  <c r="E57" i="7"/>
  <c r="D679" i="8"/>
  <c r="E679" i="8"/>
  <c r="D140" i="7"/>
  <c r="E140" i="7"/>
  <c r="C35" i="7"/>
  <c r="D35" i="7"/>
  <c r="E35" i="7"/>
  <c r="D672" i="8"/>
  <c r="D111" i="7"/>
  <c r="E111" i="7"/>
  <c r="D135" i="7"/>
  <c r="E135" i="7"/>
  <c r="D107" i="7"/>
  <c r="E107" i="7"/>
  <c r="D32" i="7"/>
  <c r="E32" i="7"/>
  <c r="D668" i="8"/>
  <c r="E668" i="8"/>
  <c r="D137" i="7"/>
  <c r="E137" i="7"/>
  <c r="C56" i="7"/>
  <c r="D56" i="7"/>
  <c r="E56" i="7"/>
  <c r="D676" i="8"/>
  <c r="E676" i="8"/>
  <c r="D100" i="7"/>
  <c r="E100" i="7"/>
  <c r="C24" i="7"/>
  <c r="D24" i="7"/>
  <c r="E24" i="7"/>
  <c r="C148" i="7"/>
  <c r="C25" i="7"/>
  <c r="D25" i="7"/>
  <c r="E25" i="7"/>
  <c r="D364" i="8"/>
  <c r="E364" i="8"/>
  <c r="C149" i="7"/>
  <c r="D131" i="7"/>
  <c r="E131" i="7"/>
  <c r="C54" i="7"/>
  <c r="D54" i="7"/>
  <c r="E54" i="7"/>
  <c r="D674" i="8"/>
  <c r="C159" i="7"/>
  <c r="D159" i="7"/>
  <c r="E159" i="7"/>
  <c r="D106" i="7"/>
  <c r="E106" i="7"/>
  <c r="C31" i="7"/>
  <c r="D31" i="7"/>
  <c r="E31" i="7"/>
  <c r="D667" i="8"/>
  <c r="K575" i="8"/>
  <c r="D103" i="7"/>
  <c r="E103" i="7"/>
  <c r="C27" i="7"/>
  <c r="D27" i="7"/>
  <c r="E27" i="7"/>
  <c r="C34" i="7"/>
  <c r="D34" i="7"/>
  <c r="E34" i="7"/>
  <c r="D671" i="8"/>
  <c r="E671" i="8"/>
  <c r="D110" i="7"/>
  <c r="E110" i="7"/>
  <c r="D133" i="8"/>
  <c r="E133" i="8"/>
  <c r="D612" i="8"/>
  <c r="E612" i="8"/>
  <c r="D582" i="8"/>
  <c r="E582" i="8"/>
  <c r="D525" i="8"/>
  <c r="E525" i="8"/>
  <c r="D344" i="8"/>
  <c r="E344" i="8"/>
  <c r="D374" i="8"/>
  <c r="E374" i="8"/>
  <c r="D461" i="8"/>
  <c r="E461" i="8"/>
  <c r="D341" i="8"/>
  <c r="E341" i="8"/>
  <c r="D192" i="8"/>
  <c r="E192" i="8"/>
  <c r="D160" i="8"/>
  <c r="E160" i="8"/>
  <c r="D493" i="8"/>
  <c r="E493" i="8"/>
  <c r="D523" i="8"/>
  <c r="E523" i="8"/>
  <c r="D372" i="8"/>
  <c r="E372" i="8"/>
  <c r="D283" i="8"/>
  <c r="E283" i="8"/>
  <c r="D282" i="8"/>
  <c r="E282" i="8"/>
  <c r="D223" i="8"/>
  <c r="E223" i="8"/>
  <c r="D554" i="8"/>
  <c r="E554" i="8"/>
  <c r="D555" i="8"/>
  <c r="E555" i="8"/>
  <c r="D494" i="8"/>
  <c r="E494" i="8"/>
  <c r="D371" i="8"/>
  <c r="E371" i="8"/>
  <c r="D163" i="8"/>
  <c r="E163" i="8"/>
  <c r="D161" i="8"/>
  <c r="E161" i="8"/>
  <c r="D250" i="8"/>
  <c r="E250" i="8"/>
  <c r="D190" i="8"/>
  <c r="E190" i="8"/>
  <c r="D222" i="8"/>
  <c r="E222" i="8"/>
  <c r="D401" i="8"/>
  <c r="E401" i="8"/>
  <c r="D431" i="8"/>
  <c r="E431" i="8"/>
  <c r="D647" i="8"/>
  <c r="E647" i="8"/>
  <c r="D527" i="8"/>
  <c r="E527" i="8"/>
  <c r="D209" i="8"/>
  <c r="E209" i="8"/>
  <c r="D179" i="8"/>
  <c r="E179" i="8"/>
  <c r="D541" i="8"/>
  <c r="E541" i="8"/>
  <c r="D481" i="8"/>
  <c r="E481" i="8"/>
  <c r="D360" i="8"/>
  <c r="E360" i="8"/>
  <c r="D211" i="8"/>
  <c r="E211" i="8"/>
  <c r="D180" i="8"/>
  <c r="E180" i="8"/>
  <c r="D150" i="8"/>
  <c r="E150" i="8"/>
  <c r="D480" i="8"/>
  <c r="E480" i="8"/>
  <c r="D631" i="8"/>
  <c r="E631" i="8"/>
  <c r="D630" i="8"/>
  <c r="E630" i="8"/>
  <c r="D419" i="8"/>
  <c r="E419" i="8"/>
  <c r="D362" i="8"/>
  <c r="E362" i="8"/>
  <c r="D120" i="8"/>
  <c r="E120" i="8"/>
  <c r="D121" i="8"/>
  <c r="E121" i="8"/>
  <c r="D540" i="8"/>
  <c r="E540" i="8"/>
  <c r="D510" i="8"/>
  <c r="E510" i="8"/>
  <c r="D601" i="8"/>
  <c r="E601" i="8"/>
  <c r="D299" i="8"/>
  <c r="E299" i="8"/>
  <c r="D301" i="8"/>
  <c r="E301" i="8"/>
  <c r="D240" i="8"/>
  <c r="E240" i="8"/>
  <c r="D118" i="8"/>
  <c r="E118" i="8"/>
  <c r="D239" i="8"/>
  <c r="E239" i="8"/>
  <c r="D570" i="8"/>
  <c r="E570" i="8"/>
  <c r="D573" i="8"/>
  <c r="E573" i="8"/>
  <c r="D332" i="8"/>
  <c r="E332" i="8"/>
  <c r="D422" i="8"/>
  <c r="E422" i="8"/>
  <c r="D391" i="8"/>
  <c r="E391" i="8"/>
  <c r="D657" i="8"/>
  <c r="K565" i="8"/>
  <c r="D254" i="8"/>
  <c r="E254" i="8"/>
  <c r="D200" i="8"/>
  <c r="E200" i="8"/>
  <c r="D224" i="8"/>
  <c r="E224" i="8"/>
  <c r="D628" i="8"/>
  <c r="E628" i="8"/>
  <c r="D532" i="8"/>
  <c r="E532" i="8"/>
  <c r="D586" i="8"/>
  <c r="E586" i="8"/>
  <c r="D598" i="8"/>
  <c r="E598" i="8"/>
  <c r="D417" i="8"/>
  <c r="E417" i="8"/>
  <c r="D423" i="8"/>
  <c r="E423" i="8"/>
  <c r="D297" i="8"/>
  <c r="E297" i="8"/>
  <c r="D453" i="8"/>
  <c r="E453" i="8"/>
  <c r="D230" i="8"/>
  <c r="E230" i="8"/>
  <c r="D140" i="8"/>
  <c r="E140" i="8"/>
  <c r="D134" i="8"/>
  <c r="E134" i="8"/>
  <c r="D592" i="8"/>
  <c r="E592" i="8"/>
  <c r="D496" i="8"/>
  <c r="E496" i="8"/>
  <c r="D574" i="8"/>
  <c r="E574" i="8"/>
  <c r="D562" i="8"/>
  <c r="E562" i="8"/>
  <c r="D447" i="8"/>
  <c r="E447" i="8"/>
  <c r="D351" i="8"/>
  <c r="E351" i="8"/>
  <c r="D206" i="8"/>
  <c r="E206" i="8"/>
  <c r="D110" i="8"/>
  <c r="E110" i="8"/>
  <c r="D272" i="8"/>
  <c r="E272" i="8"/>
  <c r="D266" i="8"/>
  <c r="E266" i="8"/>
  <c r="D170" i="8"/>
  <c r="E170" i="8"/>
  <c r="D604" i="8"/>
  <c r="E604" i="8"/>
  <c r="D556" i="8"/>
  <c r="E556" i="8"/>
  <c r="D508" i="8"/>
  <c r="E508" i="8"/>
  <c r="D514" i="8"/>
  <c r="E514" i="8"/>
  <c r="D526" i="8"/>
  <c r="E526" i="8"/>
  <c r="D502" i="8"/>
  <c r="E502" i="8"/>
  <c r="D622" i="8"/>
  <c r="E622" i="8"/>
  <c r="D363" i="8"/>
  <c r="E363" i="8"/>
  <c r="D321" i="8"/>
  <c r="E321" i="8"/>
  <c r="D435" i="8"/>
  <c r="E435" i="8"/>
  <c r="D393" i="8"/>
  <c r="E393" i="8"/>
  <c r="D357" i="8"/>
  <c r="E357" i="8"/>
  <c r="D327" i="8"/>
  <c r="E327" i="8"/>
  <c r="D333" i="8"/>
  <c r="E333" i="8"/>
  <c r="D182" i="8"/>
  <c r="E182" i="8"/>
  <c r="D284" i="8"/>
  <c r="E284" i="8"/>
  <c r="D146" i="8"/>
  <c r="E146" i="8"/>
  <c r="D242" i="8"/>
  <c r="E242" i="8"/>
  <c r="D236" i="8"/>
  <c r="E236" i="8"/>
  <c r="D176" i="8"/>
  <c r="E176" i="8"/>
  <c r="D212" i="8"/>
  <c r="E212" i="8"/>
  <c r="D616" i="8"/>
  <c r="E616" i="8"/>
  <c r="D568" i="8"/>
  <c r="E568" i="8"/>
  <c r="D472" i="8"/>
  <c r="E472" i="8"/>
  <c r="D634" i="8"/>
  <c r="E634" i="8"/>
  <c r="D646" i="8"/>
  <c r="E646" i="8"/>
  <c r="D478" i="8"/>
  <c r="E478" i="8"/>
  <c r="D465" i="8"/>
  <c r="E465" i="8"/>
  <c r="D315" i="8"/>
  <c r="E315" i="8"/>
  <c r="D387" i="8"/>
  <c r="E387" i="8"/>
  <c r="D291" i="8"/>
  <c r="E291" i="8"/>
  <c r="D207" i="8"/>
  <c r="E207" i="8"/>
  <c r="D165" i="8"/>
  <c r="E165" i="8"/>
  <c r="D557" i="8"/>
  <c r="E557" i="8"/>
  <c r="D545" i="8"/>
  <c r="E545" i="8"/>
  <c r="D346" i="8"/>
  <c r="E346" i="8"/>
  <c r="D153" i="8"/>
  <c r="E153" i="8"/>
  <c r="D515" i="8"/>
  <c r="E515" i="8"/>
  <c r="D454" i="8"/>
  <c r="E454" i="8"/>
  <c r="D123" i="8"/>
  <c r="E123" i="8"/>
  <c r="D575" i="8"/>
  <c r="E575" i="8"/>
  <c r="D394" i="8"/>
  <c r="E394" i="8"/>
  <c r="D485" i="8"/>
  <c r="E485" i="8"/>
  <c r="D509" i="8"/>
  <c r="E509" i="8"/>
  <c r="D316" i="8"/>
  <c r="E316" i="8"/>
  <c r="E674" i="8"/>
  <c r="K582" i="8"/>
  <c r="E672" i="8"/>
  <c r="K580" i="8"/>
  <c r="D195" i="8"/>
  <c r="E195" i="8"/>
  <c r="D629" i="8"/>
  <c r="E629" i="8"/>
  <c r="D569" i="8"/>
  <c r="E569" i="8"/>
  <c r="D424" i="8"/>
  <c r="E424" i="8"/>
  <c r="D436" i="8"/>
  <c r="E436" i="8"/>
  <c r="D334" i="8"/>
  <c r="E334" i="8"/>
  <c r="D267" i="8"/>
  <c r="E267" i="8"/>
  <c r="D298" i="8"/>
  <c r="E298" i="8"/>
  <c r="D255" i="8"/>
  <c r="E255" i="8"/>
  <c r="D617" i="8"/>
  <c r="E617" i="8"/>
  <c r="D605" i="8"/>
  <c r="E605" i="8"/>
  <c r="D235" i="8"/>
  <c r="E235" i="8"/>
  <c r="D114" i="8"/>
  <c r="E114" i="8"/>
  <c r="D205" i="8"/>
  <c r="E205" i="8"/>
  <c r="D204" i="8"/>
  <c r="E204" i="8"/>
  <c r="D203" i="8"/>
  <c r="E203" i="8"/>
  <c r="D202" i="8"/>
  <c r="E202" i="8"/>
  <c r="D175" i="8"/>
  <c r="E175" i="8"/>
  <c r="D596" i="8"/>
  <c r="E596" i="8"/>
  <c r="D564" i="8"/>
  <c r="E564" i="8"/>
  <c r="D565" i="8"/>
  <c r="E565" i="8"/>
  <c r="D626" i="8"/>
  <c r="E626" i="8"/>
  <c r="D477" i="8"/>
  <c r="E477" i="8"/>
  <c r="D296" i="8"/>
  <c r="E296" i="8"/>
  <c r="D353" i="8"/>
  <c r="E353" i="8"/>
  <c r="D446" i="8"/>
  <c r="E446" i="8"/>
  <c r="D415" i="8"/>
  <c r="E415" i="8"/>
  <c r="D173" i="8"/>
  <c r="E173" i="8"/>
  <c r="D265" i="8"/>
  <c r="E265" i="8"/>
  <c r="D172" i="8"/>
  <c r="E172" i="8"/>
  <c r="D145" i="8"/>
  <c r="E145" i="8"/>
  <c r="D624" i="8"/>
  <c r="E624" i="8"/>
  <c r="D474" i="8"/>
  <c r="E474" i="8"/>
  <c r="D534" i="8"/>
  <c r="E534" i="8"/>
  <c r="D594" i="8"/>
  <c r="E594" i="8"/>
  <c r="D537" i="8"/>
  <c r="E537" i="8"/>
  <c r="D356" i="8"/>
  <c r="E356" i="8"/>
  <c r="D324" i="8"/>
  <c r="E324" i="8"/>
  <c r="D326" i="8"/>
  <c r="E326" i="8"/>
  <c r="D413" i="8"/>
  <c r="E413" i="8"/>
  <c r="D323" i="8"/>
  <c r="E323" i="8"/>
  <c r="D264" i="8"/>
  <c r="E264" i="8"/>
  <c r="D143" i="8"/>
  <c r="E143" i="8"/>
  <c r="D144" i="8"/>
  <c r="E144" i="8"/>
  <c r="D142" i="8"/>
  <c r="E142" i="8"/>
  <c r="D115" i="8"/>
  <c r="E115" i="8"/>
  <c r="D113" i="8"/>
  <c r="E113" i="8"/>
  <c r="D174" i="8"/>
  <c r="E174" i="8"/>
  <c r="D232" i="8"/>
  <c r="E232" i="8"/>
  <c r="D233" i="8"/>
  <c r="E233" i="8"/>
  <c r="D476" i="8"/>
  <c r="E476" i="8"/>
  <c r="D597" i="8"/>
  <c r="E597" i="8"/>
  <c r="D625" i="8"/>
  <c r="E625" i="8"/>
  <c r="D595" i="8"/>
  <c r="E595" i="8"/>
  <c r="D567" i="8"/>
  <c r="E567" i="8"/>
  <c r="D627" i="8"/>
  <c r="E627" i="8"/>
  <c r="D505" i="8"/>
  <c r="E505" i="8"/>
  <c r="D416" i="8"/>
  <c r="E416" i="8"/>
  <c r="D384" i="8"/>
  <c r="E384" i="8"/>
  <c r="D385" i="8"/>
  <c r="E385" i="8"/>
  <c r="D414" i="8"/>
  <c r="E414" i="8"/>
  <c r="D355" i="8"/>
  <c r="E355" i="8"/>
  <c r="D445" i="8"/>
  <c r="E445" i="8"/>
  <c r="D325" i="8"/>
  <c r="E325" i="8"/>
  <c r="D234" i="8"/>
  <c r="E234" i="8"/>
  <c r="D112" i="8"/>
  <c r="E112" i="8"/>
  <c r="D263" i="8"/>
  <c r="E263" i="8"/>
  <c r="D262" i="8"/>
  <c r="E262" i="8"/>
  <c r="D536" i="8"/>
  <c r="E536" i="8"/>
  <c r="D504" i="8"/>
  <c r="E504" i="8"/>
  <c r="D506" i="8"/>
  <c r="E506" i="8"/>
  <c r="D475" i="8"/>
  <c r="E475" i="8"/>
  <c r="D535" i="8"/>
  <c r="E535" i="8"/>
  <c r="D507" i="8"/>
  <c r="E507" i="8"/>
  <c r="D566" i="8"/>
  <c r="E566" i="8"/>
  <c r="D444" i="8"/>
  <c r="E444" i="8"/>
  <c r="D443" i="8"/>
  <c r="E443" i="8"/>
  <c r="D294" i="8"/>
  <c r="E294" i="8"/>
  <c r="D386" i="8"/>
  <c r="E386" i="8"/>
  <c r="D293" i="8"/>
  <c r="E293" i="8"/>
  <c r="D383" i="8"/>
  <c r="E383" i="8"/>
  <c r="D354" i="8"/>
  <c r="E354" i="8"/>
  <c r="D295" i="8"/>
  <c r="E295" i="8"/>
  <c r="D273" i="8"/>
  <c r="E273" i="8"/>
  <c r="D479" i="8"/>
  <c r="E479" i="8"/>
  <c r="D376" i="8"/>
  <c r="E376" i="8"/>
  <c r="D418" i="8"/>
  <c r="E418" i="8"/>
  <c r="D147" i="8"/>
  <c r="E147" i="8"/>
  <c r="D183" i="8"/>
  <c r="E183" i="8"/>
  <c r="D635" i="8"/>
  <c r="E635" i="8"/>
  <c r="D388" i="8"/>
  <c r="E388" i="8"/>
  <c r="D135" i="8"/>
  <c r="E135" i="8"/>
  <c r="D539" i="8"/>
  <c r="E539" i="8"/>
  <c r="D304" i="8"/>
  <c r="E304" i="8"/>
  <c r="D237" i="8"/>
  <c r="E237" i="8"/>
  <c r="D587" i="8"/>
  <c r="E587" i="8"/>
  <c r="D149" i="7"/>
  <c r="E149" i="7"/>
  <c r="C153" i="7"/>
  <c r="D153" i="7"/>
  <c r="E153" i="7"/>
  <c r="C152" i="7"/>
  <c r="C92" i="7"/>
  <c r="D92" i="7"/>
  <c r="E92" i="7"/>
  <c r="C151" i="7"/>
  <c r="C80" i="7"/>
  <c r="D80" i="7"/>
  <c r="E80" i="7"/>
  <c r="D148" i="7"/>
  <c r="E148" i="7"/>
  <c r="C79" i="7"/>
  <c r="D79" i="7"/>
  <c r="E79" i="7"/>
  <c r="C156" i="7"/>
  <c r="D156" i="7"/>
  <c r="C157" i="7"/>
  <c r="C150" i="7"/>
  <c r="D150" i="7"/>
  <c r="E150" i="7"/>
  <c r="C158" i="7"/>
  <c r="I53" i="1"/>
  <c r="E53" i="1"/>
  <c r="F53" i="1"/>
  <c r="G53" i="1"/>
  <c r="H53" i="1"/>
  <c r="D53" i="1"/>
  <c r="I50" i="1"/>
  <c r="H50" i="1"/>
  <c r="G47" i="1"/>
  <c r="G48" i="1"/>
  <c r="G49" i="1"/>
  <c r="G50" i="1"/>
  <c r="F47" i="1"/>
  <c r="F48" i="1"/>
  <c r="F49" i="1"/>
  <c r="F50" i="1"/>
  <c r="E47" i="1"/>
  <c r="E48" i="1"/>
  <c r="E49" i="1"/>
  <c r="E50" i="1"/>
  <c r="E46" i="1"/>
  <c r="F46" i="1"/>
  <c r="G46" i="1"/>
  <c r="H46" i="1"/>
  <c r="I46" i="1"/>
  <c r="D47" i="1"/>
  <c r="D48" i="1"/>
  <c r="D49" i="1"/>
  <c r="D50" i="1"/>
  <c r="D46" i="1"/>
  <c r="I43" i="1"/>
  <c r="H43" i="1"/>
  <c r="G40" i="1"/>
  <c r="G41" i="1"/>
  <c r="G42" i="1"/>
  <c r="G43" i="1"/>
  <c r="F40" i="1"/>
  <c r="F41" i="1"/>
  <c r="F42" i="1"/>
  <c r="F43" i="1"/>
  <c r="E40" i="1"/>
  <c r="E41" i="1"/>
  <c r="E42" i="1"/>
  <c r="E43" i="1"/>
  <c r="D40" i="1"/>
  <c r="D41" i="1"/>
  <c r="D42" i="1"/>
  <c r="D43" i="1"/>
  <c r="E39" i="1"/>
  <c r="F39" i="1"/>
  <c r="G39" i="1"/>
  <c r="H39" i="1"/>
  <c r="I39" i="1"/>
  <c r="D39" i="1"/>
  <c r="G33" i="1"/>
  <c r="G34" i="1"/>
  <c r="G35" i="1"/>
  <c r="G36" i="1"/>
  <c r="F33" i="1"/>
  <c r="F34" i="1"/>
  <c r="F35" i="1"/>
  <c r="F36" i="1"/>
  <c r="E33" i="1"/>
  <c r="E34" i="1"/>
  <c r="E35" i="1"/>
  <c r="E36" i="1"/>
  <c r="D33" i="1"/>
  <c r="D34" i="1"/>
  <c r="D35" i="1"/>
  <c r="D36" i="1"/>
  <c r="E32" i="1"/>
  <c r="F32" i="1"/>
  <c r="G32" i="1"/>
  <c r="D32" i="1"/>
  <c r="I29" i="1"/>
  <c r="H29" i="1"/>
  <c r="G26" i="1"/>
  <c r="G27" i="1"/>
  <c r="G28" i="1"/>
  <c r="G29" i="1"/>
  <c r="F26" i="1"/>
  <c r="F27" i="1"/>
  <c r="F28" i="1"/>
  <c r="F29" i="1"/>
  <c r="E26" i="1"/>
  <c r="E27" i="1"/>
  <c r="E28" i="1"/>
  <c r="E29" i="1"/>
  <c r="E25" i="1"/>
  <c r="F25" i="1"/>
  <c r="G25" i="1"/>
  <c r="H25" i="1"/>
  <c r="I25" i="1"/>
  <c r="D26" i="1"/>
  <c r="D27" i="1"/>
  <c r="D28" i="1"/>
  <c r="D29" i="1"/>
  <c r="D25" i="1"/>
  <c r="G19" i="1"/>
  <c r="G20" i="1"/>
  <c r="G21" i="1"/>
  <c r="G22" i="1"/>
  <c r="F19" i="1"/>
  <c r="F20" i="1"/>
  <c r="F21" i="1"/>
  <c r="F22" i="1"/>
  <c r="E19" i="1"/>
  <c r="E20" i="1"/>
  <c r="E21" i="1"/>
  <c r="E22" i="1"/>
  <c r="D19" i="1"/>
  <c r="D20" i="1"/>
  <c r="D21" i="1"/>
  <c r="D22" i="1"/>
  <c r="E18" i="1"/>
  <c r="F18" i="1"/>
  <c r="G18" i="1"/>
  <c r="D18" i="1"/>
  <c r="I15" i="1"/>
  <c r="H15" i="1"/>
  <c r="G12" i="1"/>
  <c r="G13" i="1"/>
  <c r="G14" i="1"/>
  <c r="G15" i="1"/>
  <c r="F12" i="1"/>
  <c r="F13" i="1"/>
  <c r="F14" i="1"/>
  <c r="F15" i="1"/>
  <c r="E12" i="1"/>
  <c r="E13" i="1"/>
  <c r="E14" i="1"/>
  <c r="E15" i="1"/>
  <c r="D12" i="1"/>
  <c r="D13" i="1"/>
  <c r="D14" i="1"/>
  <c r="D15" i="1"/>
  <c r="E11" i="1"/>
  <c r="F11" i="1"/>
  <c r="G11" i="1"/>
  <c r="H11" i="1"/>
  <c r="I11" i="1"/>
  <c r="D11" i="1"/>
  <c r="G5" i="1"/>
  <c r="G6" i="1"/>
  <c r="G7" i="1"/>
  <c r="G8" i="1"/>
  <c r="F5" i="1"/>
  <c r="F6" i="1"/>
  <c r="F7" i="1"/>
  <c r="F8" i="1"/>
  <c r="E5" i="1"/>
  <c r="E6" i="1"/>
  <c r="E7" i="1"/>
  <c r="E8" i="1"/>
  <c r="D5" i="1"/>
  <c r="D6" i="1"/>
  <c r="D7" i="1"/>
  <c r="D8" i="1"/>
  <c r="E4" i="1"/>
  <c r="F4" i="1"/>
  <c r="G4" i="1"/>
  <c r="D4" i="1"/>
  <c r="Y7" i="1"/>
  <c r="X7" i="1"/>
  <c r="H49" i="1"/>
  <c r="Y6" i="1"/>
  <c r="X6" i="1"/>
  <c r="H41" i="1"/>
  <c r="Y5" i="1"/>
  <c r="I40" i="1"/>
  <c r="X5" i="1"/>
  <c r="H40" i="1"/>
  <c r="C81" i="7"/>
  <c r="D81" i="7"/>
  <c r="E81" i="7"/>
  <c r="C73" i="7"/>
  <c r="D73" i="7"/>
  <c r="E73" i="7"/>
  <c r="D158" i="7"/>
  <c r="E158" i="7"/>
  <c r="C91" i="7"/>
  <c r="D91" i="7"/>
  <c r="E91" i="7"/>
  <c r="D152" i="7"/>
  <c r="E152" i="7"/>
  <c r="C87" i="7"/>
  <c r="D87" i="7"/>
  <c r="E87" i="7"/>
  <c r="C89" i="7"/>
  <c r="D89" i="7"/>
  <c r="E89" i="7"/>
  <c r="E156" i="7"/>
  <c r="C78" i="7"/>
  <c r="D78" i="7"/>
  <c r="E78" i="7"/>
  <c r="D683" i="8"/>
  <c r="D151" i="7"/>
  <c r="E151" i="7"/>
  <c r="C86" i="7"/>
  <c r="D86" i="7"/>
  <c r="E86" i="7"/>
  <c r="C88" i="7"/>
  <c r="D88" i="7"/>
  <c r="E88" i="7"/>
  <c r="C72" i="7"/>
  <c r="D72" i="7"/>
  <c r="E72" i="7"/>
  <c r="D157" i="7"/>
  <c r="E157" i="7"/>
  <c r="C90" i="7"/>
  <c r="D90" i="7"/>
  <c r="E90" i="7"/>
  <c r="C74" i="7"/>
  <c r="D74" i="7"/>
  <c r="E74" i="7"/>
  <c r="C71" i="7"/>
  <c r="D71" i="7"/>
  <c r="E71" i="7"/>
  <c r="I13" i="1"/>
  <c r="H27" i="1"/>
  <c r="H48" i="1"/>
  <c r="I27" i="1"/>
  <c r="H26" i="1"/>
  <c r="H47" i="1"/>
  <c r="H14" i="1"/>
  <c r="I26" i="1"/>
  <c r="H42" i="1"/>
  <c r="H13" i="1"/>
  <c r="H12" i="1"/>
  <c r="I12" i="1"/>
  <c r="H28" i="1"/>
  <c r="K584" i="8"/>
  <c r="E670" i="8"/>
  <c r="K576" i="8"/>
  <c r="K589" i="8"/>
  <c r="K583" i="8"/>
  <c r="E682" i="8"/>
  <c r="K585" i="8"/>
  <c r="E666" i="8"/>
  <c r="D76" i="8"/>
  <c r="E76" i="8"/>
  <c r="D80" i="8"/>
  <c r="E80" i="8"/>
  <c r="D28" i="8"/>
  <c r="E28" i="8"/>
  <c r="D101" i="8"/>
  <c r="E101" i="8"/>
  <c r="D21" i="8"/>
  <c r="E21" i="8"/>
  <c r="D50" i="8"/>
  <c r="E50" i="8"/>
  <c r="D81" i="8"/>
  <c r="E81" i="8"/>
  <c r="D39" i="8"/>
  <c r="E39" i="8"/>
  <c r="D78" i="8"/>
  <c r="E78" i="8"/>
  <c r="D104" i="8"/>
  <c r="E104" i="8"/>
  <c r="D70" i="8"/>
  <c r="E70" i="8"/>
  <c r="D6" i="8"/>
  <c r="E6" i="8"/>
  <c r="D33" i="8"/>
  <c r="E33" i="8"/>
  <c r="D36" i="8"/>
  <c r="E36" i="8"/>
  <c r="D18" i="8"/>
  <c r="E18" i="8"/>
  <c r="D90" i="8"/>
  <c r="E90" i="8"/>
  <c r="D55" i="8"/>
  <c r="E55" i="8"/>
  <c r="D77" i="8"/>
  <c r="E77" i="8"/>
  <c r="D24" i="8"/>
  <c r="E24" i="8"/>
  <c r="D99" i="8"/>
  <c r="E99" i="8"/>
  <c r="D59" i="8"/>
  <c r="E59" i="8"/>
  <c r="D56" i="8"/>
  <c r="E56" i="8"/>
  <c r="D75" i="8"/>
  <c r="E75" i="8"/>
  <c r="D7" i="8"/>
  <c r="E7" i="8"/>
  <c r="D51" i="8"/>
  <c r="E51" i="8"/>
  <c r="D27" i="8"/>
  <c r="E27" i="8"/>
  <c r="D10" i="8"/>
  <c r="E10" i="8"/>
  <c r="D100" i="8"/>
  <c r="E100" i="8"/>
  <c r="D87" i="8"/>
  <c r="E87" i="8"/>
  <c r="D73" i="8"/>
  <c r="E73" i="8"/>
  <c r="D54" i="8"/>
  <c r="E54" i="8"/>
  <c r="D25" i="8"/>
  <c r="E25" i="8"/>
  <c r="D19" i="8"/>
  <c r="E19" i="8"/>
  <c r="D63" i="8"/>
  <c r="E63" i="8"/>
  <c r="D12" i="8"/>
  <c r="E12" i="8"/>
  <c r="D86" i="8"/>
  <c r="E86" i="8"/>
  <c r="D61" i="8"/>
  <c r="E61" i="8"/>
  <c r="D40" i="8"/>
  <c r="E40" i="8"/>
  <c r="D20" i="8"/>
  <c r="E20" i="8"/>
  <c r="D4" i="8"/>
  <c r="E4" i="8"/>
  <c r="D102" i="8"/>
  <c r="E102" i="8"/>
  <c r="D35" i="8"/>
  <c r="E35" i="8"/>
  <c r="D8" i="8"/>
  <c r="E8" i="8"/>
  <c r="D47" i="8"/>
  <c r="E47" i="8"/>
  <c r="D85" i="8"/>
  <c r="E85" i="8"/>
  <c r="D71" i="8"/>
  <c r="E71" i="8"/>
  <c r="D57" i="8"/>
  <c r="E57" i="8"/>
  <c r="D3" i="8"/>
  <c r="E3" i="8"/>
  <c r="D23" i="8"/>
  <c r="E23" i="8"/>
  <c r="D48" i="8"/>
  <c r="E48" i="8"/>
  <c r="D65" i="8"/>
  <c r="E65" i="8"/>
  <c r="D89" i="8"/>
  <c r="E89" i="8"/>
  <c r="D79" i="8"/>
  <c r="E79" i="8"/>
  <c r="D37" i="8"/>
  <c r="E37" i="8"/>
  <c r="D13" i="8"/>
  <c r="E13" i="8"/>
  <c r="D60" i="8"/>
  <c r="E60" i="8"/>
  <c r="D29" i="8"/>
  <c r="E29" i="8"/>
  <c r="D5" i="8"/>
  <c r="E5" i="8"/>
  <c r="D26" i="8"/>
  <c r="E26" i="8"/>
  <c r="D64" i="8"/>
  <c r="E64" i="8"/>
  <c r="D30" i="8"/>
  <c r="E30" i="8"/>
  <c r="D9" i="8"/>
  <c r="E9" i="8"/>
  <c r="D58" i="8"/>
  <c r="E58" i="8"/>
  <c r="D38" i="8"/>
  <c r="E38" i="8"/>
  <c r="D91" i="8"/>
  <c r="E91" i="8"/>
  <c r="D82" i="8"/>
  <c r="E82" i="8"/>
  <c r="D2" i="8"/>
  <c r="E2" i="8"/>
  <c r="D34" i="8"/>
  <c r="E34" i="8"/>
  <c r="D62" i="8"/>
  <c r="E62" i="8"/>
  <c r="D31" i="8"/>
  <c r="E31" i="8"/>
  <c r="D11" i="8"/>
  <c r="E11" i="8"/>
  <c r="D52" i="8"/>
  <c r="E52" i="8"/>
  <c r="D32" i="8"/>
  <c r="E32" i="8"/>
  <c r="D72" i="8"/>
  <c r="E72" i="8"/>
  <c r="D88" i="8"/>
  <c r="E88" i="8"/>
  <c r="D92" i="8"/>
  <c r="E92" i="8"/>
  <c r="D49" i="8"/>
  <c r="E49" i="8"/>
  <c r="D84" i="8"/>
  <c r="E84" i="8"/>
  <c r="D83" i="8"/>
  <c r="E83" i="8"/>
  <c r="D103" i="8"/>
  <c r="E103" i="8"/>
  <c r="K579" i="8"/>
  <c r="K587" i="8"/>
  <c r="E667" i="8"/>
  <c r="D684" i="8"/>
  <c r="E683" i="8"/>
  <c r="K591" i="8"/>
  <c r="I49" i="1"/>
  <c r="I42" i="1"/>
  <c r="I14" i="1"/>
  <c r="I28" i="1"/>
  <c r="I47" i="1"/>
  <c r="E657" i="8"/>
  <c r="I48" i="1"/>
  <c r="I41" i="1"/>
  <c r="D102" i="7"/>
  <c r="E102" i="7"/>
  <c r="C26" i="7"/>
  <c r="D26" i="7"/>
  <c r="E26" i="7"/>
  <c r="G29" i="5"/>
  <c r="H29" i="5"/>
  <c r="D655" i="8"/>
  <c r="D659" i="8"/>
  <c r="D656" i="8"/>
  <c r="D654" i="8"/>
  <c r="D658" i="8"/>
  <c r="D161" i="7"/>
  <c r="E161" i="7"/>
  <c r="C93" i="7"/>
  <c r="D93" i="7"/>
  <c r="E93" i="7"/>
  <c r="O27" i="2"/>
  <c r="G27" i="2"/>
  <c r="H27" i="2"/>
  <c r="I27" i="2"/>
  <c r="J27" i="2"/>
  <c r="O35" i="2"/>
  <c r="D152" i="8"/>
  <c r="E152" i="8"/>
  <c r="D116" i="8"/>
  <c r="E116" i="8"/>
  <c r="D194" i="8"/>
  <c r="E194" i="8"/>
  <c r="D122" i="8"/>
  <c r="E122" i="8"/>
  <c r="D580" i="8"/>
  <c r="E580" i="8"/>
  <c r="D484" i="8"/>
  <c r="E484" i="8"/>
  <c r="D610" i="8"/>
  <c r="E610" i="8"/>
  <c r="D459" i="8"/>
  <c r="E459" i="8"/>
  <c r="D375" i="8"/>
  <c r="E375" i="8"/>
  <c r="D381" i="8"/>
  <c r="E381" i="8"/>
  <c r="D345" i="8"/>
  <c r="E345" i="8"/>
  <c r="D399" i="8"/>
  <c r="E399" i="8"/>
  <c r="D128" i="8"/>
  <c r="E128" i="8"/>
  <c r="D164" i="8"/>
  <c r="E164" i="8"/>
  <c r="D260" i="8"/>
  <c r="E260" i="8"/>
  <c r="D640" i="8"/>
  <c r="E640" i="8"/>
  <c r="D544" i="8"/>
  <c r="E544" i="8"/>
  <c r="D538" i="8"/>
  <c r="E538" i="8"/>
  <c r="D550" i="8"/>
  <c r="E550" i="8"/>
  <c r="D411" i="8"/>
  <c r="E411" i="8"/>
  <c r="D441" i="8"/>
  <c r="E441" i="8"/>
  <c r="D405" i="8"/>
  <c r="E405" i="8"/>
  <c r="D303" i="8"/>
  <c r="E303" i="8"/>
  <c r="O46" i="2"/>
  <c r="G46" i="2"/>
  <c r="H46" i="2"/>
  <c r="I46" i="2"/>
  <c r="J46" i="2"/>
  <c r="O38" i="2"/>
  <c r="G38" i="2"/>
  <c r="H38" i="2"/>
  <c r="I38" i="2"/>
  <c r="J38" i="2"/>
  <c r="O30" i="2"/>
  <c r="G30" i="2"/>
  <c r="H30" i="2"/>
  <c r="I30" i="2"/>
  <c r="J30" i="2"/>
  <c r="R42" i="2"/>
  <c r="S28" i="2"/>
  <c r="R18" i="2"/>
  <c r="G18" i="2"/>
  <c r="H18" i="2"/>
  <c r="I18" i="2"/>
  <c r="J18" i="2"/>
  <c r="Q17" i="2"/>
  <c r="S46" i="2"/>
  <c r="Q43" i="2"/>
  <c r="R34" i="2"/>
  <c r="R15" i="2"/>
  <c r="Q13" i="2"/>
  <c r="G13" i="2"/>
  <c r="H13" i="2"/>
  <c r="I13" i="2"/>
  <c r="J13" i="2"/>
  <c r="S44" i="2"/>
  <c r="R26" i="2"/>
  <c r="Q15" i="2"/>
  <c r="S36" i="2"/>
  <c r="Q35" i="2"/>
  <c r="S10" i="2"/>
  <c r="R8" i="2"/>
  <c r="Q27" i="2"/>
  <c r="Q9" i="2"/>
  <c r="G9" i="2"/>
  <c r="H9" i="2"/>
  <c r="I9" i="2"/>
  <c r="J9" i="2"/>
  <c r="D292" i="8"/>
  <c r="E292" i="8"/>
  <c r="D382" i="8"/>
  <c r="E382" i="8"/>
  <c r="D491" i="8"/>
  <c r="E491" i="8"/>
  <c r="D328" i="8"/>
  <c r="E328" i="8"/>
  <c r="D448" i="8"/>
  <c r="E448" i="8"/>
  <c r="D563" i="8"/>
  <c r="E563" i="8"/>
  <c r="D231" i="8"/>
  <c r="E231" i="8"/>
  <c r="D473" i="8"/>
  <c r="E473" i="8"/>
  <c r="D466" i="8"/>
  <c r="E466" i="8"/>
  <c r="D406" i="8"/>
  <c r="E406" i="8"/>
  <c r="D322" i="8"/>
  <c r="E322" i="8"/>
  <c r="D593" i="8"/>
  <c r="E593" i="8"/>
  <c r="D533" i="8"/>
  <c r="E533" i="8"/>
  <c r="D171" i="8"/>
  <c r="E171" i="8"/>
  <c r="D358" i="8"/>
  <c r="E358" i="8"/>
  <c r="D497" i="8"/>
  <c r="E497" i="8"/>
  <c r="D599" i="8"/>
  <c r="E599" i="8"/>
  <c r="D412" i="8"/>
  <c r="E412" i="8"/>
  <c r="D201" i="8"/>
  <c r="E201" i="8"/>
  <c r="D111" i="8"/>
  <c r="E111" i="8"/>
  <c r="D623" i="8"/>
  <c r="E623" i="8"/>
  <c r="D285" i="8"/>
  <c r="E285" i="8"/>
  <c r="G36" i="2"/>
  <c r="H36" i="2"/>
  <c r="I36" i="2"/>
  <c r="J36" i="2"/>
  <c r="O43" i="2"/>
  <c r="D543" i="8"/>
  <c r="E543" i="8"/>
  <c r="D513" i="8"/>
  <c r="E513" i="8"/>
  <c r="D392" i="8"/>
  <c r="E392" i="8"/>
  <c r="D331" i="8"/>
  <c r="E331" i="8"/>
  <c r="D302" i="8"/>
  <c r="E302" i="8"/>
  <c r="D512" i="8"/>
  <c r="E512" i="8"/>
  <c r="D602" i="8"/>
  <c r="E602" i="8"/>
  <c r="D603" i="8"/>
  <c r="E603" i="8"/>
  <c r="D452" i="8"/>
  <c r="E452" i="8"/>
  <c r="D390" i="8"/>
  <c r="E390" i="8"/>
  <c r="D450" i="8"/>
  <c r="E450" i="8"/>
  <c r="D359" i="8"/>
  <c r="E359" i="8"/>
  <c r="D572" i="8"/>
  <c r="E572" i="8"/>
  <c r="D511" i="8"/>
  <c r="E511" i="8"/>
  <c r="D482" i="8"/>
  <c r="E482" i="8"/>
  <c r="D542" i="8"/>
  <c r="E542" i="8"/>
  <c r="D449" i="8"/>
  <c r="E449" i="8"/>
  <c r="D329" i="8"/>
  <c r="E329" i="8"/>
  <c r="D361" i="8"/>
  <c r="E361" i="8"/>
  <c r="D330" i="8"/>
  <c r="E330" i="8"/>
  <c r="D600" i="8"/>
  <c r="E600" i="8"/>
  <c r="D633" i="8"/>
  <c r="E633" i="8"/>
  <c r="O25" i="2"/>
  <c r="G25" i="2"/>
  <c r="H25" i="2"/>
  <c r="I25" i="2"/>
  <c r="J25" i="2"/>
  <c r="O33" i="2"/>
  <c r="G8" i="2"/>
  <c r="H8" i="2"/>
  <c r="I8" i="2"/>
  <c r="J8" i="2"/>
  <c r="G23" i="2"/>
  <c r="H23" i="2"/>
  <c r="I23" i="2"/>
  <c r="J23" i="2"/>
  <c r="O41" i="2"/>
  <c r="G41" i="2"/>
  <c r="H41" i="2"/>
  <c r="I41" i="2"/>
  <c r="J41" i="2"/>
  <c r="Q12" i="2"/>
  <c r="R10" i="2"/>
  <c r="R9" i="2"/>
  <c r="Q10" i="2"/>
  <c r="Q5" i="2"/>
  <c r="G5" i="2"/>
  <c r="H5" i="2"/>
  <c r="I5" i="2"/>
  <c r="J5" i="2"/>
  <c r="D109" i="8"/>
  <c r="E109" i="8"/>
  <c r="D138" i="8"/>
  <c r="E138" i="8"/>
  <c r="D256" i="8"/>
  <c r="E256" i="8"/>
  <c r="D199" i="8"/>
  <c r="E199" i="8"/>
  <c r="D108" i="8"/>
  <c r="E108" i="8"/>
  <c r="D227" i="8"/>
  <c r="E227" i="8"/>
  <c r="D167" i="8"/>
  <c r="E167" i="8"/>
  <c r="D107" i="8"/>
  <c r="E107" i="8"/>
  <c r="D106" i="8"/>
  <c r="E106" i="8"/>
  <c r="D139" i="8"/>
  <c r="E139" i="8"/>
  <c r="D137" i="8"/>
  <c r="E137" i="8"/>
  <c r="D166" i="8"/>
  <c r="E166" i="8"/>
  <c r="D197" i="8"/>
  <c r="E197" i="8"/>
  <c r="D196" i="8"/>
  <c r="E196" i="8"/>
  <c r="D228" i="8"/>
  <c r="E228" i="8"/>
  <c r="D141" i="8"/>
  <c r="E141" i="8"/>
  <c r="D261" i="8"/>
  <c r="E261" i="8"/>
  <c r="D177" i="8"/>
  <c r="E177" i="8"/>
  <c r="D280" i="8"/>
  <c r="E280" i="8"/>
  <c r="D162" i="8"/>
  <c r="E162" i="8"/>
  <c r="D132" i="8"/>
  <c r="E132" i="8"/>
  <c r="D191" i="8"/>
  <c r="E191" i="8"/>
  <c r="D281" i="8"/>
  <c r="E281" i="8"/>
  <c r="D131" i="8"/>
  <c r="E131" i="8"/>
  <c r="D221" i="8"/>
  <c r="E221" i="8"/>
  <c r="D220" i="8"/>
  <c r="E220" i="8"/>
  <c r="D251" i="8"/>
  <c r="E251" i="8"/>
  <c r="D253" i="8"/>
  <c r="E253" i="8"/>
  <c r="D130" i="8"/>
  <c r="E130" i="8"/>
  <c r="D213" i="8"/>
  <c r="E213" i="8"/>
  <c r="D225" i="8"/>
  <c r="E225" i="8"/>
  <c r="D117" i="8"/>
  <c r="E117" i="8"/>
  <c r="D243" i="8"/>
  <c r="E243" i="8"/>
  <c r="D210" i="8"/>
  <c r="E210" i="8"/>
  <c r="D271" i="8"/>
  <c r="E271" i="8"/>
  <c r="D268" i="8"/>
  <c r="E268" i="8"/>
  <c r="D269" i="8"/>
  <c r="E269" i="8"/>
  <c r="D151" i="8"/>
  <c r="E151" i="8"/>
  <c r="D149" i="8"/>
  <c r="E149" i="8"/>
  <c r="D148" i="8"/>
  <c r="E148" i="8"/>
  <c r="D178" i="8"/>
  <c r="E178" i="8"/>
  <c r="D119" i="8"/>
  <c r="E119" i="8"/>
  <c r="D241" i="8"/>
  <c r="E241" i="8"/>
  <c r="D238" i="8"/>
  <c r="E238" i="8"/>
  <c r="D644" i="8"/>
  <c r="E644" i="8"/>
  <c r="D522" i="8"/>
  <c r="E522" i="8"/>
  <c r="D553" i="8"/>
  <c r="E553" i="8"/>
  <c r="D642" i="8"/>
  <c r="E642" i="8"/>
  <c r="D585" i="8"/>
  <c r="E585" i="8"/>
  <c r="D312" i="8"/>
  <c r="E312" i="8"/>
  <c r="D403" i="8"/>
  <c r="E403" i="8"/>
  <c r="D343" i="8"/>
  <c r="E343" i="8"/>
  <c r="D373" i="8"/>
  <c r="E373" i="8"/>
  <c r="D313" i="8"/>
  <c r="E313" i="8"/>
  <c r="D495" i="8"/>
  <c r="E495" i="8"/>
  <c r="D643" i="8"/>
  <c r="E643" i="8"/>
  <c r="D404" i="8"/>
  <c r="E404" i="8"/>
  <c r="D433" i="8"/>
  <c r="E433" i="8"/>
  <c r="D463" i="8"/>
  <c r="E463" i="8"/>
  <c r="D492" i="8"/>
  <c r="E492" i="8"/>
  <c r="D583" i="8"/>
  <c r="E583" i="8"/>
  <c r="D615" i="8"/>
  <c r="E615" i="8"/>
  <c r="D464" i="8"/>
  <c r="E464" i="8"/>
  <c r="D342" i="8"/>
  <c r="E342" i="8"/>
  <c r="D402" i="8"/>
  <c r="E402" i="8"/>
  <c r="D584" i="8"/>
  <c r="E584" i="8"/>
  <c r="D613" i="8"/>
  <c r="E613" i="8"/>
  <c r="D434" i="8"/>
  <c r="E434" i="8"/>
  <c r="D311" i="8"/>
  <c r="E311" i="8"/>
  <c r="D34" i="6"/>
  <c r="E34" i="6"/>
  <c r="D26" i="6"/>
  <c r="E26" i="6"/>
  <c r="D11" i="6"/>
  <c r="E11" i="6"/>
  <c r="D3" i="6"/>
  <c r="E3" i="6"/>
  <c r="D4" i="6"/>
  <c r="E4" i="6"/>
  <c r="D35" i="6"/>
  <c r="E35" i="6"/>
  <c r="D27" i="6"/>
  <c r="E27" i="6"/>
  <c r="D12" i="6"/>
  <c r="E12" i="6"/>
  <c r="C141" i="7"/>
  <c r="D101" i="7"/>
  <c r="E101" i="7"/>
  <c r="O24" i="2"/>
  <c r="G24" i="2"/>
  <c r="H24" i="2"/>
  <c r="I24" i="2"/>
  <c r="J24" i="2"/>
  <c r="O32" i="2"/>
  <c r="G32" i="2"/>
  <c r="H32" i="2"/>
  <c r="I32" i="2"/>
  <c r="J32" i="2"/>
  <c r="O40" i="2"/>
  <c r="G10" i="2"/>
  <c r="H10" i="2"/>
  <c r="I10" i="2"/>
  <c r="J10" i="2"/>
  <c r="G17" i="2"/>
  <c r="H17" i="2"/>
  <c r="I17" i="2"/>
  <c r="J17" i="2"/>
  <c r="G22" i="2"/>
  <c r="H22" i="2"/>
  <c r="I22" i="2"/>
  <c r="J22" i="2"/>
  <c r="G26" i="2"/>
  <c r="H26" i="2"/>
  <c r="I26" i="2"/>
  <c r="J26" i="2"/>
  <c r="G28" i="2"/>
  <c r="H28" i="2"/>
  <c r="I28" i="2"/>
  <c r="J28" i="2"/>
  <c r="O44" i="2"/>
  <c r="D19" i="6"/>
  <c r="E19" i="6"/>
  <c r="G31" i="5"/>
  <c r="H31" i="5"/>
  <c r="J32" i="5"/>
  <c r="G32" i="5"/>
  <c r="H32" i="5"/>
  <c r="J30" i="5"/>
  <c r="G30" i="5"/>
  <c r="H30" i="5"/>
  <c r="D451" i="8"/>
  <c r="E451" i="8"/>
  <c r="D300" i="8"/>
  <c r="E300" i="8"/>
  <c r="D483" i="8"/>
  <c r="E483" i="8"/>
  <c r="D632" i="8"/>
  <c r="E632" i="8"/>
  <c r="D421" i="8"/>
  <c r="E421" i="8"/>
  <c r="D571" i="8"/>
  <c r="E571" i="8"/>
  <c r="D270" i="8"/>
  <c r="E270" i="8"/>
  <c r="D420" i="8"/>
  <c r="E420" i="8"/>
  <c r="D181" i="8"/>
  <c r="E181" i="8"/>
  <c r="D389" i="8"/>
  <c r="E389" i="8"/>
  <c r="D208" i="8"/>
  <c r="E208" i="8"/>
  <c r="D552" i="8"/>
  <c r="E552" i="8"/>
  <c r="D252" i="8"/>
  <c r="E252" i="8"/>
  <c r="D432" i="8"/>
  <c r="E432" i="8"/>
  <c r="D524" i="8"/>
  <c r="E524" i="8"/>
  <c r="D462" i="8"/>
  <c r="E462" i="8"/>
  <c r="D645" i="8"/>
  <c r="E645" i="8"/>
  <c r="D314" i="8"/>
  <c r="E314" i="8"/>
  <c r="D614" i="8"/>
  <c r="E614" i="8"/>
  <c r="D193" i="8"/>
  <c r="E193" i="8"/>
  <c r="R6" i="2"/>
  <c r="G6" i="2"/>
  <c r="H6" i="2"/>
  <c r="I6" i="2"/>
  <c r="J6" i="2"/>
  <c r="S7" i="2"/>
  <c r="G7" i="2"/>
  <c r="H7" i="2"/>
  <c r="I7" i="2"/>
  <c r="J7" i="2"/>
  <c r="G12" i="2"/>
  <c r="H12" i="2"/>
  <c r="I12" i="2"/>
  <c r="J12" i="2"/>
  <c r="Q19" i="2"/>
  <c r="G19" i="2"/>
  <c r="H19" i="2"/>
  <c r="I19" i="2"/>
  <c r="J19" i="2"/>
  <c r="G29" i="2"/>
  <c r="H29" i="2"/>
  <c r="I29" i="2"/>
  <c r="J29" i="2"/>
  <c r="G40" i="2"/>
  <c r="H40" i="2"/>
  <c r="I40" i="2"/>
  <c r="J40" i="2"/>
  <c r="D17" i="6"/>
  <c r="E17" i="6"/>
  <c r="D40" i="6"/>
  <c r="E40" i="6"/>
  <c r="D32" i="6"/>
  <c r="E32" i="6"/>
  <c r="D9" i="6"/>
  <c r="E9" i="6"/>
  <c r="G15" i="5"/>
  <c r="H15" i="5"/>
  <c r="D21" i="6"/>
  <c r="E21" i="6"/>
  <c r="D23" i="6"/>
  <c r="E23" i="6"/>
  <c r="O39" i="2"/>
  <c r="G39" i="2"/>
  <c r="H39" i="2"/>
  <c r="I39" i="2"/>
  <c r="J39" i="2"/>
  <c r="O31" i="2"/>
  <c r="O42" i="2"/>
  <c r="G42" i="2"/>
  <c r="H42" i="2"/>
  <c r="I42" i="2"/>
  <c r="J42" i="2"/>
  <c r="O34" i="2"/>
  <c r="G34" i="2"/>
  <c r="H34" i="2"/>
  <c r="I34" i="2"/>
  <c r="J34" i="2"/>
  <c r="G15" i="2"/>
  <c r="H15" i="2"/>
  <c r="I15" i="2"/>
  <c r="J15" i="2"/>
  <c r="Q37" i="2"/>
  <c r="G37" i="2"/>
  <c r="H37" i="2"/>
  <c r="I37" i="2"/>
  <c r="J37" i="2"/>
  <c r="Q36" i="2"/>
  <c r="S33" i="2"/>
  <c r="R33" i="2"/>
  <c r="Q31" i="2"/>
  <c r="R45" i="2"/>
  <c r="G45" i="2"/>
  <c r="H45" i="2"/>
  <c r="I45" i="2"/>
  <c r="J45" i="2"/>
  <c r="R16" i="2"/>
  <c r="Q16" i="2"/>
  <c r="G16" i="2"/>
  <c r="H16" i="2"/>
  <c r="I16" i="2"/>
  <c r="J16" i="2"/>
  <c r="G4" i="5"/>
  <c r="H4" i="5"/>
  <c r="G10" i="5"/>
  <c r="H10" i="5"/>
  <c r="D22" i="6"/>
  <c r="E22" i="6"/>
  <c r="G18" i="5"/>
  <c r="H18" i="5"/>
  <c r="G78" i="5"/>
  <c r="H78" i="5"/>
  <c r="D91" i="6"/>
  <c r="E91" i="6"/>
  <c r="G7" i="5"/>
  <c r="H7" i="5"/>
  <c r="G9" i="5"/>
  <c r="H9" i="5"/>
  <c r="O29" i="5"/>
  <c r="G89" i="5"/>
  <c r="H89" i="5"/>
  <c r="D67" i="6"/>
  <c r="E67" i="6"/>
  <c r="G8" i="5"/>
  <c r="H8" i="5"/>
  <c r="D650" i="8"/>
  <c r="E650" i="8"/>
  <c r="D652" i="8"/>
  <c r="E652" i="8"/>
  <c r="D651" i="8"/>
  <c r="E651" i="8"/>
  <c r="D649" i="8"/>
  <c r="E649" i="8"/>
  <c r="D33" i="6"/>
  <c r="E33" i="6"/>
  <c r="D25" i="6"/>
  <c r="E25" i="6"/>
  <c r="D10" i="6"/>
  <c r="E10" i="6"/>
  <c r="D2" i="6"/>
  <c r="E2" i="6"/>
  <c r="K562" i="8"/>
  <c r="E654" i="8"/>
  <c r="C58" i="7"/>
  <c r="D58" i="7"/>
  <c r="E58" i="7"/>
  <c r="D680" i="8"/>
  <c r="D141" i="7"/>
  <c r="E141" i="7"/>
  <c r="K564" i="8"/>
  <c r="E656" i="8"/>
  <c r="G31" i="2"/>
  <c r="H31" i="2"/>
  <c r="I31" i="2"/>
  <c r="J31" i="2"/>
  <c r="D7" i="6"/>
  <c r="E7" i="6"/>
  <c r="D15" i="6"/>
  <c r="E15" i="6"/>
  <c r="D38" i="6"/>
  <c r="E38" i="6"/>
  <c r="D30" i="6"/>
  <c r="E30" i="6"/>
  <c r="E659" i="8"/>
  <c r="K567" i="8"/>
  <c r="D216" i="8"/>
  <c r="E216" i="8"/>
  <c r="D214" i="8"/>
  <c r="E214" i="8"/>
  <c r="D126" i="8"/>
  <c r="E126" i="8"/>
  <c r="D516" i="8"/>
  <c r="E516" i="8"/>
  <c r="D638" i="8"/>
  <c r="E638" i="8"/>
  <c r="D395" i="8"/>
  <c r="E395" i="8"/>
  <c r="D458" i="8"/>
  <c r="E458" i="8"/>
  <c r="D274" i="8"/>
  <c r="E274" i="8"/>
  <c r="D184" i="8"/>
  <c r="E184" i="8"/>
  <c r="D217" i="8"/>
  <c r="E217" i="8"/>
  <c r="D608" i="8"/>
  <c r="E608" i="8"/>
  <c r="D517" i="8"/>
  <c r="E517" i="8"/>
  <c r="D518" i="8"/>
  <c r="E518" i="8"/>
  <c r="D606" i="8"/>
  <c r="E606" i="8"/>
  <c r="D521" i="8"/>
  <c r="E521" i="8"/>
  <c r="D340" i="8"/>
  <c r="E340" i="8"/>
  <c r="D305" i="8"/>
  <c r="E305" i="8"/>
  <c r="D365" i="8"/>
  <c r="E365" i="8"/>
  <c r="D307" i="8"/>
  <c r="E307" i="8"/>
  <c r="D455" i="8"/>
  <c r="E455" i="8"/>
  <c r="D187" i="8"/>
  <c r="E187" i="8"/>
  <c r="D276" i="8"/>
  <c r="E276" i="8"/>
  <c r="D277" i="8"/>
  <c r="E277" i="8"/>
  <c r="D124" i="8"/>
  <c r="E124" i="8"/>
  <c r="D639" i="8"/>
  <c r="E639" i="8"/>
  <c r="D609" i="8"/>
  <c r="E609" i="8"/>
  <c r="D336" i="8"/>
  <c r="E336" i="8"/>
  <c r="D457" i="8"/>
  <c r="E457" i="8"/>
  <c r="D367" i="8"/>
  <c r="E367" i="8"/>
  <c r="D247" i="8"/>
  <c r="E247" i="8"/>
  <c r="D156" i="8"/>
  <c r="E156" i="8"/>
  <c r="D488" i="8"/>
  <c r="E488" i="8"/>
  <c r="D577" i="8"/>
  <c r="E577" i="8"/>
  <c r="D519" i="8"/>
  <c r="E519" i="8"/>
  <c r="D487" i="8"/>
  <c r="E487" i="8"/>
  <c r="D396" i="8"/>
  <c r="E396" i="8"/>
  <c r="D366" i="8"/>
  <c r="E366" i="8"/>
  <c r="D338" i="8"/>
  <c r="E338" i="8"/>
  <c r="D125" i="8"/>
  <c r="E125" i="8"/>
  <c r="D275" i="8"/>
  <c r="E275" i="8"/>
  <c r="D548" i="8"/>
  <c r="E548" i="8"/>
  <c r="D607" i="8"/>
  <c r="E607" i="8"/>
  <c r="D456" i="8"/>
  <c r="E456" i="8"/>
  <c r="D425" i="8"/>
  <c r="E425" i="8"/>
  <c r="D127" i="8"/>
  <c r="E127" i="8"/>
  <c r="D154" i="8"/>
  <c r="E154" i="8"/>
  <c r="D185" i="8"/>
  <c r="E185" i="8"/>
  <c r="D369" i="8"/>
  <c r="E369" i="8"/>
  <c r="D429" i="8"/>
  <c r="E429" i="8"/>
  <c r="D641" i="8"/>
  <c r="E641" i="8"/>
  <c r="D581" i="8"/>
  <c r="E581" i="8"/>
  <c r="D611" i="8"/>
  <c r="E611" i="8"/>
  <c r="D370" i="8"/>
  <c r="E370" i="8"/>
  <c r="D430" i="8"/>
  <c r="E430" i="8"/>
  <c r="D576" i="8"/>
  <c r="E576" i="8"/>
  <c r="D489" i="8"/>
  <c r="E489" i="8"/>
  <c r="D637" i="8"/>
  <c r="E637" i="8"/>
  <c r="D398" i="8"/>
  <c r="E398" i="8"/>
  <c r="D306" i="8"/>
  <c r="E306" i="8"/>
  <c r="D245" i="8"/>
  <c r="E245" i="8"/>
  <c r="D155" i="8"/>
  <c r="E155" i="8"/>
  <c r="D486" i="8"/>
  <c r="E486" i="8"/>
  <c r="D427" i="8"/>
  <c r="E427" i="8"/>
  <c r="D246" i="8"/>
  <c r="E246" i="8"/>
  <c r="D520" i="8"/>
  <c r="E520" i="8"/>
  <c r="D547" i="8"/>
  <c r="E547" i="8"/>
  <c r="D428" i="8"/>
  <c r="E428" i="8"/>
  <c r="D426" i="8"/>
  <c r="E426" i="8"/>
  <c r="D309" i="8"/>
  <c r="E309" i="8"/>
  <c r="D310" i="8"/>
  <c r="E310" i="8"/>
  <c r="D400" i="8"/>
  <c r="E400" i="8"/>
  <c r="D551" i="8"/>
  <c r="E551" i="8"/>
  <c r="D129" i="8"/>
  <c r="E129" i="8"/>
  <c r="D248" i="8"/>
  <c r="E248" i="8"/>
  <c r="D218" i="8"/>
  <c r="E218" i="8"/>
  <c r="D279" i="8"/>
  <c r="E279" i="8"/>
  <c r="D189" i="8"/>
  <c r="E189" i="8"/>
  <c r="D68" i="8"/>
  <c r="E68" i="8"/>
  <c r="D17" i="8"/>
  <c r="E17" i="8"/>
  <c r="D66" i="8"/>
  <c r="E66" i="8"/>
  <c r="D42" i="8"/>
  <c r="E42" i="8"/>
  <c r="D15" i="8"/>
  <c r="E15" i="8"/>
  <c r="D45" i="8"/>
  <c r="E45" i="8"/>
  <c r="D97" i="8"/>
  <c r="E97" i="8"/>
  <c r="D95" i="8"/>
  <c r="E95" i="8"/>
  <c r="D215" i="8"/>
  <c r="E215" i="8"/>
  <c r="D335" i="8"/>
  <c r="E335" i="8"/>
  <c r="D368" i="8"/>
  <c r="E368" i="8"/>
  <c r="D579" i="8"/>
  <c r="E579" i="8"/>
  <c r="D490" i="8"/>
  <c r="E490" i="8"/>
  <c r="D460" i="8"/>
  <c r="E460" i="8"/>
  <c r="D41" i="8"/>
  <c r="E41" i="8"/>
  <c r="D308" i="8"/>
  <c r="E308" i="8"/>
  <c r="D636" i="8"/>
  <c r="E636" i="8"/>
  <c r="D46" i="8"/>
  <c r="E46" i="8"/>
  <c r="D93" i="8"/>
  <c r="E93" i="8"/>
  <c r="D546" i="8"/>
  <c r="E546" i="8"/>
  <c r="D339" i="8"/>
  <c r="E339" i="8"/>
  <c r="D397" i="8"/>
  <c r="E397" i="8"/>
  <c r="D337" i="8"/>
  <c r="E337" i="8"/>
  <c r="D219" i="8"/>
  <c r="E219" i="8"/>
  <c r="D94" i="8"/>
  <c r="E94" i="8"/>
  <c r="D43" i="8"/>
  <c r="E43" i="8"/>
  <c r="D44" i="8"/>
  <c r="E44" i="8"/>
  <c r="D16" i="8"/>
  <c r="E16" i="8"/>
  <c r="D96" i="8"/>
  <c r="E96" i="8"/>
  <c r="D14" i="8"/>
  <c r="E14" i="8"/>
  <c r="D67" i="8"/>
  <c r="E67" i="8"/>
  <c r="D98" i="8"/>
  <c r="E98" i="8"/>
  <c r="D159" i="8"/>
  <c r="E159" i="8"/>
  <c r="D549" i="8"/>
  <c r="E549" i="8"/>
  <c r="D249" i="8"/>
  <c r="E249" i="8"/>
  <c r="D158" i="8"/>
  <c r="E158" i="8"/>
  <c r="D69" i="8"/>
  <c r="E69" i="8"/>
  <c r="D578" i="8"/>
  <c r="E578" i="8"/>
  <c r="D244" i="8"/>
  <c r="E244" i="8"/>
  <c r="D186" i="8"/>
  <c r="E186" i="8"/>
  <c r="D278" i="8"/>
  <c r="E278" i="8"/>
  <c r="D188" i="8"/>
  <c r="E188" i="8"/>
  <c r="D157" i="8"/>
  <c r="E157" i="8"/>
  <c r="D37" i="6"/>
  <c r="E37" i="6"/>
  <c r="D29" i="6"/>
  <c r="E29" i="6"/>
  <c r="D6" i="6"/>
  <c r="E6" i="6"/>
  <c r="D14" i="6"/>
  <c r="E14" i="6"/>
  <c r="D13" i="6"/>
  <c r="E13" i="6"/>
  <c r="D36" i="6"/>
  <c r="E36" i="6"/>
  <c r="D28" i="6"/>
  <c r="E28" i="6"/>
  <c r="D5" i="6"/>
  <c r="E5" i="6"/>
  <c r="D16" i="6"/>
  <c r="E16" i="6"/>
  <c r="D39" i="6"/>
  <c r="E39" i="6"/>
  <c r="D31" i="6"/>
  <c r="E31" i="6"/>
  <c r="D8" i="6"/>
  <c r="E8" i="6"/>
  <c r="G44" i="2"/>
  <c r="H44" i="2"/>
  <c r="I44" i="2"/>
  <c r="J44" i="2"/>
  <c r="G33" i="2"/>
  <c r="H33" i="2"/>
  <c r="I33" i="2"/>
  <c r="J33" i="2"/>
  <c r="G43" i="2"/>
  <c r="H43" i="2"/>
  <c r="I43" i="2"/>
  <c r="J43" i="2"/>
  <c r="G35" i="2"/>
  <c r="H35" i="2"/>
  <c r="I35" i="2"/>
  <c r="J35" i="2"/>
  <c r="E658" i="8"/>
  <c r="K566" i="8"/>
  <c r="E655" i="8"/>
  <c r="K563" i="8"/>
  <c r="E684" i="8"/>
  <c r="K592" i="8"/>
  <c r="E680" i="8"/>
  <c r="K588" i="8"/>
</calcChain>
</file>

<file path=xl/sharedStrings.xml><?xml version="1.0" encoding="utf-8"?>
<sst xmlns="http://schemas.openxmlformats.org/spreadsheetml/2006/main" count="4047" uniqueCount="2293">
  <si>
    <t>Part Number</t>
  </si>
  <si>
    <t>Configuration</t>
  </si>
  <si>
    <t>Imagine List Price</t>
  </si>
  <si>
    <t>Imagine Sales Price</t>
  </si>
  <si>
    <t>Boom Options</t>
  </si>
  <si>
    <t>Ceiling Flange (E)</t>
  </si>
  <si>
    <t>211-101-001</t>
  </si>
  <si>
    <t>Powered Boom, Top Arm 600mm, SH 200mm</t>
  </si>
  <si>
    <t>Sections</t>
  </si>
  <si>
    <t>Boom Discount</t>
  </si>
  <si>
    <t>Model (A)</t>
  </si>
  <si>
    <t>Service Head</t>
  </si>
  <si>
    <t>for standard models</t>
  </si>
  <si>
    <t>211-102-001</t>
  </si>
  <si>
    <t>Powered Boom, Top Arm 800mm, SH 200mm</t>
  </si>
  <si>
    <t>Powered Model</t>
  </si>
  <si>
    <t>211-XXX-XXX</t>
  </si>
  <si>
    <t>Standard Top Arm</t>
  </si>
  <si>
    <t xml:space="preserve">Powered </t>
  </si>
  <si>
    <t>100mm</t>
  </si>
  <si>
    <t>Key</t>
  </si>
  <si>
    <t>Price Increase</t>
  </si>
  <si>
    <t>211-103-001</t>
  </si>
  <si>
    <t>Powered Boom, Top Arm 1000mm, SH 200mm</t>
  </si>
  <si>
    <t>Spring Model</t>
  </si>
  <si>
    <t>212-XXX-XXX</t>
  </si>
  <si>
    <t>Powered Bottom Arm</t>
  </si>
  <si>
    <t>na</t>
  </si>
  <si>
    <t>300mm</t>
  </si>
  <si>
    <t>Model</t>
  </si>
  <si>
    <t>A</t>
  </si>
  <si>
    <t>211-104-001</t>
  </si>
  <si>
    <t>Powered Boom, Top Arm 1200mm, SH 200mm</t>
  </si>
  <si>
    <t>Fixed Model</t>
  </si>
  <si>
    <t>213-XXX-XXX</t>
  </si>
  <si>
    <t>(articulating - 1000mm)</t>
  </si>
  <si>
    <t>500mm</t>
  </si>
  <si>
    <t>Service Head Length</t>
  </si>
  <si>
    <t>B</t>
  </si>
  <si>
    <t>211-101-002</t>
  </si>
  <si>
    <t>Powered Boom, Top Arm 600mm, SH 400mm</t>
  </si>
  <si>
    <t>Large Monitor Mount</t>
  </si>
  <si>
    <t>212-XXX-XXX-301</t>
  </si>
  <si>
    <t>for XL+ models</t>
  </si>
  <si>
    <t>Top Arm Length</t>
  </si>
  <si>
    <t>211-102-002</t>
  </si>
  <si>
    <t>Powered Boom, Top Arm 800mm, SH 400mm</t>
  </si>
  <si>
    <t>Top Arm (600mm-1200mm)</t>
  </si>
  <si>
    <t>XXX-101-XXX (etc)</t>
  </si>
  <si>
    <t>Ceiling Flange</t>
  </si>
  <si>
    <t>D</t>
  </si>
  <si>
    <t>211-103-002</t>
  </si>
  <si>
    <t>Powered Boom, Top Arm 1000mm, SH 400mm</t>
  </si>
  <si>
    <t>XL Top Arm</t>
  </si>
  <si>
    <t>XXX-111-XXX (etc)</t>
  </si>
  <si>
    <t>Optional Services</t>
  </si>
  <si>
    <t>C</t>
  </si>
  <si>
    <t>211-104-002</t>
  </si>
  <si>
    <t>Powered Boom, Top Arm 1200mm, SH 400mm</t>
  </si>
  <si>
    <t>XL Bottom Arm</t>
  </si>
  <si>
    <t>XXX-XXX-101-XXX (etc)</t>
  </si>
  <si>
    <t>Light Options</t>
  </si>
  <si>
    <t>E</t>
  </si>
  <si>
    <t>211-101-003</t>
  </si>
  <si>
    <t>Powered Boom, Top Arm 600mm, SH 600mm</t>
  </si>
  <si>
    <t>Service Head (200mm - 1000mm)</t>
  </si>
  <si>
    <t>XXX-XXX-001 (etc)</t>
  </si>
  <si>
    <t>Powered XL</t>
  </si>
  <si>
    <t>Optional Light Accessories</t>
  </si>
  <si>
    <t>F</t>
  </si>
  <si>
    <t>211-102-003</t>
  </si>
  <si>
    <t>Powered Boom, Top Arm 800mm, SH 600mm</t>
  </si>
  <si>
    <t>Accessories</t>
  </si>
  <si>
    <t>600-XXX</t>
  </si>
  <si>
    <t>Not in the Tool</t>
  </si>
  <si>
    <t>211-103-003</t>
  </si>
  <si>
    <t>Powered Boom, Top Arm 1000mm, SH 600mm</t>
  </si>
  <si>
    <t>Services / Accessories (D - if applicable)</t>
  </si>
  <si>
    <t>optional</t>
  </si>
  <si>
    <t>211-104-003</t>
  </si>
  <si>
    <t>Powered Boom, Top Arm 1200mm, SH 600mm</t>
  </si>
  <si>
    <t>Med-Gas</t>
  </si>
  <si>
    <t>per gas addition</t>
  </si>
  <si>
    <t>Total Price = A + B + C + D + E + F</t>
  </si>
  <si>
    <t>211-101-004</t>
  </si>
  <si>
    <t>Powered Boom, Top Arm 600mm, SH 800mm</t>
  </si>
  <si>
    <t>Electrical (2 duplexes)</t>
  </si>
  <si>
    <t>per layer</t>
  </si>
  <si>
    <t>211-102-004</t>
  </si>
  <si>
    <t>Powered Boom, Top Arm 800mm, SH 800mm</t>
  </si>
  <si>
    <t>Shipping &amp; Installation</t>
  </si>
  <si>
    <t>Electrical (3 duplexes)</t>
  </si>
  <si>
    <t>211-103-004</t>
  </si>
  <si>
    <t>Powered Boom, Top Arm 1000mm, SH 800mm</t>
  </si>
  <si>
    <t>Data</t>
  </si>
  <si>
    <t>211-104-004</t>
  </si>
  <si>
    <t>Powered Boom, Top Arm 1200mm, SH 800mm</t>
  </si>
  <si>
    <t>Spring</t>
  </si>
  <si>
    <t>Nitrogen Regulator</t>
  </si>
  <si>
    <t>per boom</t>
  </si>
  <si>
    <t>211-101-005</t>
  </si>
  <si>
    <t>Powered Boom, Top Arm 600mm, SH 1000mm</t>
  </si>
  <si>
    <t>Spring Bottom Arm</t>
  </si>
  <si>
    <t>Data Pass thru</t>
  </si>
  <si>
    <t>211-102-005</t>
  </si>
  <si>
    <t>Powered Boom, Top Arm 800mm, SH 1000mm</t>
  </si>
  <si>
    <t>Tandem Mount with 1 future boom option</t>
  </si>
  <si>
    <t>per mount</t>
  </si>
  <si>
    <t>211-103-005</t>
  </si>
  <si>
    <t>Powered Boom, Top Arm 1000mm, SH 1000mm</t>
  </si>
  <si>
    <t>Rails</t>
  </si>
  <si>
    <t>211-104-005</t>
  </si>
  <si>
    <t>Powered Boom, Top Arm 1200mm, SH 1000mm</t>
  </si>
  <si>
    <t>Shelfs</t>
  </si>
  <si>
    <t>per shelf</t>
  </si>
  <si>
    <t>211-111-001</t>
  </si>
  <si>
    <t>Powered Boom, XL Top Arm 600mm, SH 200mm</t>
  </si>
  <si>
    <t>211-112-001</t>
  </si>
  <si>
    <t>Powered Boom, XL Top Arm 800mm, SH 200mm</t>
  </si>
  <si>
    <t>Spring XL</t>
  </si>
  <si>
    <t>211-113-001</t>
  </si>
  <si>
    <t>Powered Boom, XL Top Arm 1000mm, SH 200mm</t>
  </si>
  <si>
    <t>211-114-001</t>
  </si>
  <si>
    <t>Powered Boom, XL Top Arm 1200mm, SH 200mm</t>
  </si>
  <si>
    <t>211-115-001</t>
  </si>
  <si>
    <t>Powered Boom, XL Top Arm 1400mm, SH 200mm</t>
  </si>
  <si>
    <t>211-116-001</t>
  </si>
  <si>
    <t>Powered Boom, XL Top Arm 1600mm, SH 200mm</t>
  </si>
  <si>
    <t>211-111-002</t>
  </si>
  <si>
    <t>Powered Boom, XL Top Arm 600mm, SH 400mm</t>
  </si>
  <si>
    <t>211-112-002</t>
  </si>
  <si>
    <t>Powered Boom, XL Top Arm 800mm, SH 400mm</t>
  </si>
  <si>
    <t>211-113-002</t>
  </si>
  <si>
    <t>Powered Boom, XL Top Arm 1000mm, SH 400mm</t>
  </si>
  <si>
    <t>Fixed</t>
  </si>
  <si>
    <t>Incorporate "sales price" and discounted List price</t>
  </si>
  <si>
    <t>211-114-002</t>
  </si>
  <si>
    <t>Powered Boom, XL Top Arm 1200mm, SH 400mm</t>
  </si>
  <si>
    <t>Standard Fixeed Arm (1000mm)</t>
  </si>
  <si>
    <t>211-115-002</t>
  </si>
  <si>
    <t>Powered Boom, XL Top Arm 1400mm, SH 400mm</t>
  </si>
  <si>
    <t>211-116-002</t>
  </si>
  <si>
    <t>Powered Boom, XL Top Arm 1600mm, SH 400mm</t>
  </si>
  <si>
    <t>211-111-003</t>
  </si>
  <si>
    <t>Powered Boom, XL Top Arm 600mm, SH 600mm</t>
  </si>
  <si>
    <t>211-112-003</t>
  </si>
  <si>
    <t>Powered Boom, XL Top Arm 800mm, SH 600mm</t>
  </si>
  <si>
    <t>211-113-003</t>
  </si>
  <si>
    <t>Powered Boom, XL Top Arm 1000mm, SH 600mm</t>
  </si>
  <si>
    <t>211-114-003</t>
  </si>
  <si>
    <t>Powered Boom, XL Top Arm 1200mm, SH 600mm</t>
  </si>
  <si>
    <t>Fixed XL</t>
  </si>
  <si>
    <t>211-115-003</t>
  </si>
  <si>
    <t>Powered Boom, XL Top Arm 1400mm, SH 600mm</t>
  </si>
  <si>
    <t>211-116-003</t>
  </si>
  <si>
    <t>Powered Boom, XL Top Arm 1600mm, SH 600mm</t>
  </si>
  <si>
    <t>211-111-004</t>
  </si>
  <si>
    <t>Powered Boom, XL Top Arm 600mm, SH 800mm</t>
  </si>
  <si>
    <t>211-112-004</t>
  </si>
  <si>
    <t>Powered Boom, XL Top Arm 800mm, SH 800mm</t>
  </si>
  <si>
    <t>211-113-004</t>
  </si>
  <si>
    <t>Powered Boom, XL Top Arm 1000mm, SH 800mm</t>
  </si>
  <si>
    <t>211-114-004</t>
  </si>
  <si>
    <t>Powered Boom, XL Top Arm 1200mm, SH 800mm</t>
  </si>
  <si>
    <t>211-115-004</t>
  </si>
  <si>
    <t>Powered Boom, XL Top Arm 1400mm, SH 800mm</t>
  </si>
  <si>
    <t>XXL Top Arm</t>
  </si>
  <si>
    <t>Fixed XXL</t>
  </si>
  <si>
    <t>211-116-004</t>
  </si>
  <si>
    <t>Powered Boom, XL Top Arm 1600mm, SH 800mm</t>
  </si>
  <si>
    <t>211-111-005</t>
  </si>
  <si>
    <t>Powered Boom, XL Top Arm 600mm, SH 1000mm</t>
  </si>
  <si>
    <t>211-112-005</t>
  </si>
  <si>
    <t>Powered Boom, XL Top Arm 800mm, SH 1000mm</t>
  </si>
  <si>
    <t>211-113-005</t>
  </si>
  <si>
    <t>Powered Boom, XL Top Arm 1000mm, SH 1000mm</t>
  </si>
  <si>
    <t>211-114-005</t>
  </si>
  <si>
    <t>Powered Boom, XL Top Arm 1200mm, SH 1000mm</t>
  </si>
  <si>
    <t>211-115-005</t>
  </si>
  <si>
    <t>Powered Boom, XL Top Arm 1400mm, SH 1000mm</t>
  </si>
  <si>
    <t>211-116-005</t>
  </si>
  <si>
    <t>Powered Boom, XL Top Arm 1600mm, SH 1000mm</t>
  </si>
  <si>
    <t>Large Monitor</t>
  </si>
  <si>
    <t>212-101-001</t>
  </si>
  <si>
    <t>Spring Boom, Top Arm 600mm, SH 200mm</t>
  </si>
  <si>
    <t>212-102-001</t>
  </si>
  <si>
    <t>Spring Boom, Top Arm 800mm, SH 200mm</t>
  </si>
  <si>
    <t>212-103-001</t>
  </si>
  <si>
    <t>Spring Boom, Top Arm 1000mm, SH 200mm</t>
  </si>
  <si>
    <t>212-104-001</t>
  </si>
  <si>
    <t>Spring Boom, Top Arm 1200mm, SH 200mm</t>
  </si>
  <si>
    <t>212-101-002</t>
  </si>
  <si>
    <t>Spring Boom, Top Arm 600mm, SH 400mm</t>
  </si>
  <si>
    <t>212-102-002</t>
  </si>
  <si>
    <t>Spring Boom, Top Arm 800mm, SH 400mm</t>
  </si>
  <si>
    <t>212-103-002</t>
  </si>
  <si>
    <t>Spring Boom, Top Arm 1000mm, SH 400mm</t>
  </si>
  <si>
    <t>212-104-002</t>
  </si>
  <si>
    <t>Spring Boom, Top Arm 1200mm, SH 400mm</t>
  </si>
  <si>
    <t>212-101-003</t>
  </si>
  <si>
    <t>Spring Boom, Top Arm 600mm, SH 600mm</t>
  </si>
  <si>
    <t>212-102-003</t>
  </si>
  <si>
    <t>Spring Boom, Top Arm 800mm, SH 600mm</t>
  </si>
  <si>
    <t>212-103-003</t>
  </si>
  <si>
    <t>Spring Boom, Top Arm 1000mm, SH 600mm</t>
  </si>
  <si>
    <t>212-104-003</t>
  </si>
  <si>
    <t>Spring Boom, Top Arm 1200mm, SH 600mm</t>
  </si>
  <si>
    <t>212-101-004</t>
  </si>
  <si>
    <t>Spring Boom, Top Arm 600mm, SH 800mm</t>
  </si>
  <si>
    <t>212-102-004</t>
  </si>
  <si>
    <t>Spring Boom, Top Arm 800mm, SH 800mm</t>
  </si>
  <si>
    <t>212-103-004</t>
  </si>
  <si>
    <t>Spring Boom, Top Arm 1000mm, SH 800mm</t>
  </si>
  <si>
    <t>212-104-004</t>
  </si>
  <si>
    <t>Spring Boom, Top Arm 1200mm, SH 800mm</t>
  </si>
  <si>
    <t>212-101-005</t>
  </si>
  <si>
    <t>Spring Boom, Top Arm 600mm, SH 1000mm</t>
  </si>
  <si>
    <t>212-102-005</t>
  </si>
  <si>
    <t>Spring Boom, Top Arm 800mm, SH 1000mm</t>
  </si>
  <si>
    <t>212-103-005</t>
  </si>
  <si>
    <t>Spring Boom, Top Arm 1000mm, SH 1000mm</t>
  </si>
  <si>
    <t>212-104-005</t>
  </si>
  <si>
    <t>Spring Boom, Top Arm 1200mm, SH 1000mm</t>
  </si>
  <si>
    <t>212-111-001</t>
  </si>
  <si>
    <t>Spring Boom, XL Top Arm 600mm, SH 200mm</t>
  </si>
  <si>
    <t>212-112-001</t>
  </si>
  <si>
    <t>Spring Boom, XL Top Arm 800mm, SH 200mm</t>
  </si>
  <si>
    <t>212-113-001</t>
  </si>
  <si>
    <t>Spring Boom, XL Top Arm 1000mm, SH 200mm</t>
  </si>
  <si>
    <t>212-114-001</t>
  </si>
  <si>
    <t>Spring Boom, XL Top Arm 1200mm, SH 200mm</t>
  </si>
  <si>
    <t>212-115-001</t>
  </si>
  <si>
    <t>Spring Boom, XL Top Arm 1400mm, SH 200mm</t>
  </si>
  <si>
    <t>212-116-001</t>
  </si>
  <si>
    <t>Spring Boom, XL Top Arm 1600mm, SH 200mm</t>
  </si>
  <si>
    <t>212-111-002</t>
  </si>
  <si>
    <t>Spring Boom, XL Top Arm 600mm, SH 400mm</t>
  </si>
  <si>
    <t>212-112-002</t>
  </si>
  <si>
    <t>Spring Boom, XL Top Arm 800mm, SH 400mm</t>
  </si>
  <si>
    <t>212-113-002</t>
  </si>
  <si>
    <t>Spring Boom, XL Top Arm 1000mm, SH 400mm</t>
  </si>
  <si>
    <t>212-114-002</t>
  </si>
  <si>
    <t>Spring Boom, XL Top Arm 1200mm, SH 400mm</t>
  </si>
  <si>
    <t>212-115-002</t>
  </si>
  <si>
    <t>Spring Boom, XL Top Arm 1400mm, SH 400mm</t>
  </si>
  <si>
    <t>212-116-002</t>
  </si>
  <si>
    <t>Spring Boom, XL Top Arm 1600mm, SH 400mm</t>
  </si>
  <si>
    <t>212-111-003</t>
  </si>
  <si>
    <t>Spring Boom, XL Top Arm 600mm, SH 600mm</t>
  </si>
  <si>
    <t>212-112-003</t>
  </si>
  <si>
    <t>Spring Boom, XL Top Arm 800mm, SH 600mm</t>
  </si>
  <si>
    <t>212-113-003</t>
  </si>
  <si>
    <t>Spring Boom, XL Top Arm 1000mm, SH 600mm</t>
  </si>
  <si>
    <t>212-114-003</t>
  </si>
  <si>
    <t>Spring Boom, XL Top Arm 1200mm, SH 600mm</t>
  </si>
  <si>
    <t>212-115-003</t>
  </si>
  <si>
    <t>Spring Boom, XL Top Arm 1400mm, SH 600mm</t>
  </si>
  <si>
    <t>212-116-003</t>
  </si>
  <si>
    <t>Spring Boom, XL Top Arm 1600mm, SH 600mm</t>
  </si>
  <si>
    <t>212-111-004</t>
  </si>
  <si>
    <t>Spring Boom, XL Top Arm 600mm, SH 800mm</t>
  </si>
  <si>
    <t>212-112-004</t>
  </si>
  <si>
    <t>Spring Boom, XL Top Arm 800mm, SH 800mm</t>
  </si>
  <si>
    <t>212-113-004</t>
  </si>
  <si>
    <t>Spring Boom, XL Top Arm 1000mm, SH 800mm</t>
  </si>
  <si>
    <t>212-114-004</t>
  </si>
  <si>
    <t>Spring Boom, XL Top Arm 1200mm, SH 800mm</t>
  </si>
  <si>
    <t>212-115-004</t>
  </si>
  <si>
    <t>Spring Boom, XL Top Arm 1400mm, SH 800mm</t>
  </si>
  <si>
    <t>212-116-004</t>
  </si>
  <si>
    <t>Spring Boom, XL Top Arm 1600mm, SH 800mm</t>
  </si>
  <si>
    <t>212-111-005</t>
  </si>
  <si>
    <t>Spring Boom, XL Top Arm 600mm, SH 1000mm</t>
  </si>
  <si>
    <t>212-112-005</t>
  </si>
  <si>
    <t>Spring Boom, XL Top Arm 800mm, SH 1000mm</t>
  </si>
  <si>
    <t>212-113-005</t>
  </si>
  <si>
    <t>Spring Boom, XL Top Arm 1000mm, SH 1000mm</t>
  </si>
  <si>
    <t>212-114-005</t>
  </si>
  <si>
    <t>Spring Boom, XL Top Arm 1200mm, SH 1000mm</t>
  </si>
  <si>
    <t>212-115-005</t>
  </si>
  <si>
    <t>Spring Boom, XL Top Arm 1400mm, SH 1000mm</t>
  </si>
  <si>
    <t>212-116-005</t>
  </si>
  <si>
    <t>Spring Boom, XL Top Arm 1600mm, SH 1000mm</t>
  </si>
  <si>
    <t>213-101-101-001</t>
  </si>
  <si>
    <t>Fixed Boom, Top Arm 600mm, Bottom Arm 600mm, SH 200mm</t>
  </si>
  <si>
    <t>213-102-101-001</t>
  </si>
  <si>
    <t>Fixed Boom, Top Arm 800mm, Bottom Arm 600mm, SH 200mm</t>
  </si>
  <si>
    <t>213-103-101-001</t>
  </si>
  <si>
    <t>Fixed Boom, Top Arm 1000mm, Bottom Arm 600mm, SH 200mm</t>
  </si>
  <si>
    <t>213-104-101-001</t>
  </si>
  <si>
    <t>Fixed Boom, Top Arm 1200mm, Bottom Arm 600mm, SH 200mm</t>
  </si>
  <si>
    <t>213-105-101-001</t>
  </si>
  <si>
    <t>Fixed Boom, Top Arm 1400mm, Bottom Arm 600mm, SH 200mm</t>
  </si>
  <si>
    <t>213-106-101-001</t>
  </si>
  <si>
    <t>Fixed Boom, Top Arm 1600mm, Bottom Arm 600mm, SH 200mm</t>
  </si>
  <si>
    <t>213-101-101-002</t>
  </si>
  <si>
    <t>Fixed Boom, Top Arm 600mm, Bottom Arm 600mm, SH 400mm</t>
  </si>
  <si>
    <t>213-102-101-002</t>
  </si>
  <si>
    <t>Fixed Boom, Top Arm 800mm, Bottom Arm 600mm, SH 400mm</t>
  </si>
  <si>
    <t>213-103-101-002</t>
  </si>
  <si>
    <t>Fixed Boom, Top Arm 1000mm, Bottom Arm 600mm, SH 400mm</t>
  </si>
  <si>
    <t>213-104-101-002</t>
  </si>
  <si>
    <t>Fixed Boom, Top Arm 1200mm, Bottom Arm 600mm, SH 400mm</t>
  </si>
  <si>
    <t>213-105-101-002</t>
  </si>
  <si>
    <t>Fixed Boom, Top Arm 1400mm, Bottom Arm 600mm, SH 400mm</t>
  </si>
  <si>
    <t>213-106-101-002</t>
  </si>
  <si>
    <t>Fixed Boom, Top Arm 1600mm, Bottom Arm 600mm, SH 400mm</t>
  </si>
  <si>
    <t>213-101-101-003</t>
  </si>
  <si>
    <t>Fixed Boom, Top Arm 600mm, Bottom Arm 600mm, SH 600mm</t>
  </si>
  <si>
    <t>213-102-101-003</t>
  </si>
  <si>
    <t>Fixed Boom, Top Arm 800mm, Bottom Arm 600mm, SH 600mm</t>
  </si>
  <si>
    <t>213-103-101-003</t>
  </si>
  <si>
    <t>Fixed Boom, Top Arm 1000mm, Bottom Arm 600mm, SH 600mm</t>
  </si>
  <si>
    <t>213-104-101-003</t>
  </si>
  <si>
    <t>Fixed Boom, Top Arm 1200mm, Bottom Arm 600mm, SH 600mm</t>
  </si>
  <si>
    <t>213-105-101-003</t>
  </si>
  <si>
    <t>Fixed Boom, Top Arm 1600mm, Bottom Arm 600mm, SH 600mm</t>
  </si>
  <si>
    <t>213-106-101-003</t>
  </si>
  <si>
    <t>213-101-101-004</t>
  </si>
  <si>
    <t>Fixed Boom, Top Arm 600mm, Bottom Arm 600mm, SH 800mm</t>
  </si>
  <si>
    <t>213-102-101-004</t>
  </si>
  <si>
    <t>Fixed Boom, Top Arm 800mm, Bottom Arm 600mm, SH 800mm</t>
  </si>
  <si>
    <t>213-103-101-004</t>
  </si>
  <si>
    <t>Fixed Boom, Top Arm 1000mm, Bottom Arm 600mm, SH 800mm</t>
  </si>
  <si>
    <t>213-104-101-004</t>
  </si>
  <si>
    <t>Fixed Boom, Top Arm 1200mm, Bottom Arm 600mm, SH 800mm</t>
  </si>
  <si>
    <t>213-105-101-004</t>
  </si>
  <si>
    <t>Fixed Boom, Top Arm 1400mm, Bottom Arm 600mm, SH 800mm</t>
  </si>
  <si>
    <t>213-106-101-004</t>
  </si>
  <si>
    <t>Fixed Boom, Top Arm 1600mm, Bottom Arm 600mm, SH 800mm</t>
  </si>
  <si>
    <t>213-101-101-005</t>
  </si>
  <si>
    <t>Fixed Boom, Top Arm 600mm, Bottom Arm 600mm, SH 1000mm</t>
  </si>
  <si>
    <t>213-102-101-005</t>
  </si>
  <si>
    <t>Fixed Boom, Top Arm 800mm, Bottom Arm 600mm, SH 1000mm</t>
  </si>
  <si>
    <t>213-103-101-005</t>
  </si>
  <si>
    <t>Fixed Boom, Top Arm 1000mm, Bottom Arm 600mm, SH 1000mm</t>
  </si>
  <si>
    <t>213-104-101-005</t>
  </si>
  <si>
    <t>Fixed Boom, Top Arm 1200mm, Bottom Arm 600mm, SH 1000mm</t>
  </si>
  <si>
    <t>213-105-101-005</t>
  </si>
  <si>
    <t>Fixed Boom, Top Arm 1400mm, Bottom Arm 600mm, SH 1000mm</t>
  </si>
  <si>
    <t>213-106-101-005</t>
  </si>
  <si>
    <t>Fixed Boom, Top Arm 1600mm, Bottom Arm 600mm, SH 1000mm</t>
  </si>
  <si>
    <t>213-101-102-001</t>
  </si>
  <si>
    <t>Fixed Boom, Top Arm 600mm, Bottom Arm 800mm, SH 200mm</t>
  </si>
  <si>
    <t>213-102-102-001</t>
  </si>
  <si>
    <t>Fixed Boom, Top Arm 800mm, Bottom Arm 800mm, SH 200mm</t>
  </si>
  <si>
    <t>213-103-102-001</t>
  </si>
  <si>
    <t>Fixed Boom, Top Arm 1000mm, Bottom Arm 800mm, SH 200mm</t>
  </si>
  <si>
    <t>213-104-102-001</t>
  </si>
  <si>
    <t>Fixed Boom, Top Arm 1200mm, Bottom Arm 800mm, SH 200mm</t>
  </si>
  <si>
    <t>213-105-102-001</t>
  </si>
  <si>
    <t>Fixed Boom, Top Arm 1400mm, Bottom Arm 800mm, SH 200mm</t>
  </si>
  <si>
    <t>213-106-102-001</t>
  </si>
  <si>
    <t>Fixed Boom, Top Arm 1600mm, Bottom Arm 800mm, SH 200mm</t>
  </si>
  <si>
    <t>213-101-102-002</t>
  </si>
  <si>
    <t>Fixed Boom, Top Arm 600mm, Bottom Arm 800mm, SH 400mm</t>
  </si>
  <si>
    <t>213-102-102-002</t>
  </si>
  <si>
    <t>Fixed Boom, Top Arm 800mm, Bottom Arm 800mm, SH 400mm</t>
  </si>
  <si>
    <t>213-103-102-002</t>
  </si>
  <si>
    <t>Fixed Boom, Top Arm 1000mm, Bottom Arm 800mm, SH 400mm</t>
  </si>
  <si>
    <t>213-104-102-002</t>
  </si>
  <si>
    <t>Fixed Boom, Top Arm 1200mm, Bottom Arm 800mm, SH 400mm</t>
  </si>
  <si>
    <t>213-105-102-002</t>
  </si>
  <si>
    <t>Fixed Boom, Top Arm 1400mm, Bottom Arm 800mm, SH 400mm</t>
  </si>
  <si>
    <t>213-106-102-002</t>
  </si>
  <si>
    <t>Fixed Boom, Top Arm 1600mm, Bottom Arm 800mm, SH 400mm</t>
  </si>
  <si>
    <t>213-101-102-003</t>
  </si>
  <si>
    <t>Fixed Boom, Top Arm 600mm, Bottom Arm 800mm, SH 600mm</t>
  </si>
  <si>
    <t>213-102-102-003</t>
  </si>
  <si>
    <t>Fixed Boom, Top Arm 800mm, Bottom Arm 800mm, SH 600mm</t>
  </si>
  <si>
    <t>213-103-102-003</t>
  </si>
  <si>
    <t>Fixed Boom, Top Arm 1000mm, Bottom Arm 800mm, SH 600mm</t>
  </si>
  <si>
    <t>213-104-102-003</t>
  </si>
  <si>
    <t>Fixed Boom, Top Arm 1200mm, Bottom Arm 800mm, SH 600mm</t>
  </si>
  <si>
    <t>213-105-102-003</t>
  </si>
  <si>
    <t>Fixed Boom, Top Arm 1400mm, Bottom Arm 800mm, SH 600mm</t>
  </si>
  <si>
    <t>213-106-102-003</t>
  </si>
  <si>
    <t>Fixed Boom, Top Arm 1600mm, Bottom Arm 800mm, SH 600mm</t>
  </si>
  <si>
    <t>213-101-102-004</t>
  </si>
  <si>
    <t>Fixed Boom, Top Arm 600mm, Bottom Arm 800mm, SH 800mm</t>
  </si>
  <si>
    <t>213-102-102-004</t>
  </si>
  <si>
    <t>Fixed Boom, Top Arm 800mm, Bottom Arm 800mm, SH 800mm</t>
  </si>
  <si>
    <t>213-103-102-004</t>
  </si>
  <si>
    <t>Fixed Boom, Top Arm 1000mm, Bottom Arm 800mm, SH 800mm</t>
  </si>
  <si>
    <t>213-104-102-004</t>
  </si>
  <si>
    <t>Fixed Boom, Top Arm 1200mm, Bottom Arm 800mm, SH 800mm</t>
  </si>
  <si>
    <t>213-105-102-004</t>
  </si>
  <si>
    <t>Fixed Boom, Top Arm 1400mm, Bottom Arm 800mm, SH 800mm</t>
  </si>
  <si>
    <t>213-106-102-004</t>
  </si>
  <si>
    <t>Fixed Boom, Top Arm 1600mm, Bottom Arm 800mm, SH 800mm</t>
  </si>
  <si>
    <t>213-101-102-005</t>
  </si>
  <si>
    <t>Fixed Boom, Top Arm 600mm, Bottom Arm 800mm, SH 1000mm</t>
  </si>
  <si>
    <t>213-102-102-005</t>
  </si>
  <si>
    <t>Fixed Boom, Top Arm 800mm, Bottom Arm 800mm, SH 1000mm</t>
  </si>
  <si>
    <t>213-103-102-005</t>
  </si>
  <si>
    <t>Fixed Boom, Top Arm 1000mm, Bottom Arm 800mm, SH 1000mm</t>
  </si>
  <si>
    <t>213-104-102-005</t>
  </si>
  <si>
    <t>Fixed Boom, Top Arm 1200mm, Bottom Arm 800mm, SH 1000mm</t>
  </si>
  <si>
    <t>213-105-102-005</t>
  </si>
  <si>
    <t>Fixed Boom, Top Arm 1400mm, Bottom Arm 800mm, SH 1000mm</t>
  </si>
  <si>
    <t>213-106-102-005</t>
  </si>
  <si>
    <t>Fixed Boom, Top Arm 1600mm, Bottom Arm 800mm, SH 1000mm</t>
  </si>
  <si>
    <t>213-101-103-001</t>
  </si>
  <si>
    <t>Fixed Boom, Top Arm 600mm, Bottom Arm 1000mm, SH 200mm</t>
  </si>
  <si>
    <t>213-102-103-001</t>
  </si>
  <si>
    <t>Fixed Boom, Top Arm 800mm, Bottom Arm 1000mm, SH 200mm</t>
  </si>
  <si>
    <t>213-103-103-001</t>
  </si>
  <si>
    <t>Fixed Boom, Top Arm 1000mm, Bottom Arm 1000mm, SH 200mm</t>
  </si>
  <si>
    <t>213-104-103-001</t>
  </si>
  <si>
    <t>Fixed Boom, Top Arm 1200mm, Bottom Arm 1000mm, SH 200mm</t>
  </si>
  <si>
    <t>213-105-103-001</t>
  </si>
  <si>
    <t>Fixed Boom, Top Arm 1400mm, Bottom Arm 1000mm, SH 200mm</t>
  </si>
  <si>
    <t>213-106-103-001</t>
  </si>
  <si>
    <t>Fixed Boom, Top Arm 1600mm, Bottom Arm 1000mm, SH 200mm</t>
  </si>
  <si>
    <t>213-101-103-002</t>
  </si>
  <si>
    <t>Fixed Boom, Top Arm 600mm, Bottom Arm 1000mm, SH 400mm</t>
  </si>
  <si>
    <t>213-102-103-002</t>
  </si>
  <si>
    <t>Fixed Boom, Top Arm 800mm, Bottom Arm 1000mm, SH 400mm</t>
  </si>
  <si>
    <t>213-103-103-002</t>
  </si>
  <si>
    <t>Fixed Boom, Top Arm 1000mm, Bottom Arm 1000mm, SH 400mm</t>
  </si>
  <si>
    <t>213-104-103-002</t>
  </si>
  <si>
    <t>Fixed Boom, Top Arm 1200mm, Bottom Arm 1000mm, SH 400mm</t>
  </si>
  <si>
    <t>213-105-103-002</t>
  </si>
  <si>
    <t>Fixed Boom, Top Arm 1400mm, Bottom Arm 1000mm, SH 400mm</t>
  </si>
  <si>
    <t>213-106-103-002</t>
  </si>
  <si>
    <t>Fixed Boom, Top Arm 1600mm, Bottom Arm 1000mm, SH 400mm</t>
  </si>
  <si>
    <t>213-101-103-003</t>
  </si>
  <si>
    <t>Fixed Boom, Top Arm 600mm, Bottom Arm 1000mm, SH 600mm</t>
  </si>
  <si>
    <t>213-102-103-003</t>
  </si>
  <si>
    <t>Fixed Boom, Top Arm 800mm, Bottom Arm 1000mm, SH 600mm</t>
  </si>
  <si>
    <t>213-103-103-003</t>
  </si>
  <si>
    <t>Fixed Boom, Top Arm 1000mm, Bottom Arm 1000mm, SH 600mm</t>
  </si>
  <si>
    <t>213-104-103-003</t>
  </si>
  <si>
    <t>Fixed Boom, Top Arm 1200mm, Bottom Arm 1000mm, SH 600mm</t>
  </si>
  <si>
    <t>213-105-103-003</t>
  </si>
  <si>
    <t>Fixed Boom, Top Arm 1400mm, Bottom Arm 1000mm, SH 600mm</t>
  </si>
  <si>
    <t>213-106-103-003</t>
  </si>
  <si>
    <t>Fixed Boom, Top Arm 1600mm, Bottom Arm 1000mm, SH 600mm</t>
  </si>
  <si>
    <t>213-101-103-004</t>
  </si>
  <si>
    <t>Fixed Boom, Top Arm 600mm, Bottom Arm 1000mm, SH 800mm</t>
  </si>
  <si>
    <t>213-102-103-004</t>
  </si>
  <si>
    <t>Fixed Boom, Top Arm 800mm, Bottom Arm 1000mm, SH 800mm</t>
  </si>
  <si>
    <t>213-103-103-004</t>
  </si>
  <si>
    <t>Fixed Boom, Top Arm 1000mm, Bottom Arm 1000mm, SH 800mm</t>
  </si>
  <si>
    <t>213-104-103-004</t>
  </si>
  <si>
    <t>Fixed Boom, Top Arm 1200mm, Bottom Arm 1000mm, SH 800mm</t>
  </si>
  <si>
    <t>213-105-103-004</t>
  </si>
  <si>
    <t>Fixed Boom, Top Arm 1400mm, Bottom Arm 1000mm, SH 800mm</t>
  </si>
  <si>
    <t>213-106-103-004</t>
  </si>
  <si>
    <t>Fixed Boom, Top Arm 1600mm, Bottom Arm 1000mm, SH 800mm</t>
  </si>
  <si>
    <t>213-101-103-005</t>
  </si>
  <si>
    <t>Fixed Boom, Top Arm 600mm, Bottom Arm 1000mm, SH 1000mm</t>
  </si>
  <si>
    <t>213-102-103-005</t>
  </si>
  <si>
    <t>Fixed Boom, Top Arm 800mm, Bottom Arm 1000mm, SH 1000mm</t>
  </si>
  <si>
    <t>213-103-103-005</t>
  </si>
  <si>
    <t>Fixed Boom, Top Arm 1000mm, Bottom Arm 1000mm, SH 1000mm</t>
  </si>
  <si>
    <t>213-104-103-005</t>
  </si>
  <si>
    <t>Fixed Boom, Top Arm 1200mm, Bottom Arm 1000mm, SH 1000mm</t>
  </si>
  <si>
    <t>213-105-103-005</t>
  </si>
  <si>
    <t>Fixed Boom, Top Arm 1400mm, Bottom Arm 1000mm, SH 1000mm</t>
  </si>
  <si>
    <t>213-106-103-005</t>
  </si>
  <si>
    <t>Fixed Boom, Top Arm 1600mm, Bottom Arm 1000mm, SH 1000mm</t>
  </si>
  <si>
    <t>213-101-104-001</t>
  </si>
  <si>
    <t>Fixed Boom, Top Arm 600mm, Bottom Arm 1200mm, SH 200mm</t>
  </si>
  <si>
    <t>213-102-104-001</t>
  </si>
  <si>
    <t>Fixed Boom, Top Arm 800mm, Bottom Arm 1200mm, SH 200mm</t>
  </si>
  <si>
    <t>213-103-104-001</t>
  </si>
  <si>
    <t>Fixed Boom, Top Arm 1000mm, Bottom Arm 1200mm, SH 200mm</t>
  </si>
  <si>
    <t>213-104-104-001</t>
  </si>
  <si>
    <t>Fixed Boom, Top Arm 1200mm, Bottom Arm 1200mm, SH 200mm</t>
  </si>
  <si>
    <t>213-105-104-001</t>
  </si>
  <si>
    <t>Fixed Boom, Top Arm 1400mm, Bottom Arm 1200mm, SH 200mm</t>
  </si>
  <si>
    <t>213-106-104-001</t>
  </si>
  <si>
    <t>Fixed Boom, Top Arm 1600mm, Bottom Arm 1200mm, SH 200mm</t>
  </si>
  <si>
    <t>213-101-104-002</t>
  </si>
  <si>
    <t>Fixed Boom, Top Arm 600mm, Bottom Arm 1200mm, SH 400mm</t>
  </si>
  <si>
    <t>213-102-104-002</t>
  </si>
  <si>
    <t>Fixed Boom, Top Arm 800mm, Bottom Arm 1200mm, SH 400mm</t>
  </si>
  <si>
    <t>213-103-104-002</t>
  </si>
  <si>
    <t>Fixed Boom, Top Arm 1000mm, Bottom Arm 1200mm, SH 400mm</t>
  </si>
  <si>
    <t>213-104-104-002</t>
  </si>
  <si>
    <t>Fixed Boom, Top Arm 1200mm, Bottom Arm 1200mm, SH 400mm</t>
  </si>
  <si>
    <t>213-105-104-002</t>
  </si>
  <si>
    <t>Fixed Boom, Top Arm 1400mm, Bottom Arm 1200mm, SH 400mm</t>
  </si>
  <si>
    <t>213-106-104-002</t>
  </si>
  <si>
    <t>Fixed Boom, Top Arm 1600mm, Bottom Arm 1200mm, SH 400mm</t>
  </si>
  <si>
    <t>213-101-104-003</t>
  </si>
  <si>
    <t>Fixed Boom, Top Arm 600mm, Bottom Arm 1200mm, SH 600mm</t>
  </si>
  <si>
    <t>213-102-104-003</t>
  </si>
  <si>
    <t>Fixed Boom, Top Arm 800mm, Bottom Arm 1200mm, SH 600mm</t>
  </si>
  <si>
    <t>213-103-104-003</t>
  </si>
  <si>
    <t>Fixed Boom, Top Arm 1000mm, Bottom Arm 1200mm, SH 600mm</t>
  </si>
  <si>
    <t>213-104-104-003</t>
  </si>
  <si>
    <t>Fixed Boom, Top Arm 1200mm, Bottom Arm 1200mm, SH 600mm</t>
  </si>
  <si>
    <t>213-105-104-003</t>
  </si>
  <si>
    <t>Fixed Boom, Top Arm 1400mm, Bottom Arm 1200mm, SH 600mm</t>
  </si>
  <si>
    <t>213-106-104-003</t>
  </si>
  <si>
    <t>Fixed Boom, Top Arm 1600mm, Bottom Arm 1200mm, SH 600mm</t>
  </si>
  <si>
    <t>213-101-104-004</t>
  </si>
  <si>
    <t>Fixed Boom, Top Arm 600mm, Bottom Arm 1200mm, SH 800mm</t>
  </si>
  <si>
    <t>213-102-104-004</t>
  </si>
  <si>
    <t>Fixed Boom, Top Arm 800mm, Bottom Arm 1200mm, SH 800mm</t>
  </si>
  <si>
    <t>213-103-104-004</t>
  </si>
  <si>
    <t>Fixed Boom, Top Arm 1000mm, Bottom Arm 1200mm, SH 800mm</t>
  </si>
  <si>
    <t>213-104-104-004</t>
  </si>
  <si>
    <t>Fixed Boom, Top Arm 1200mm, Bottom Arm 1200mm, SH 800mm</t>
  </si>
  <si>
    <t>213-105-104-004</t>
  </si>
  <si>
    <t>Fixed Boom, Top Arm 1400mm, Bottom Arm 1200mm, SH 800mm</t>
  </si>
  <si>
    <t>213-106-104-004</t>
  </si>
  <si>
    <t>Fixed Boom, Top Arm 1600mm, Bottom Arm 1200mm, SH 800mm</t>
  </si>
  <si>
    <t>213-101-104-005</t>
  </si>
  <si>
    <t>Fixed Boom, Top Arm 600mm, Bottom Arm 1200mm, SH 1000mm</t>
  </si>
  <si>
    <t>213-102-104-005</t>
  </si>
  <si>
    <t>Fixed Boom, Top Arm 800mm, Bottom Arm 1200mm, SH 1000mm</t>
  </si>
  <si>
    <t>213-103-104-005</t>
  </si>
  <si>
    <t>Fixed Boom, Top Arm 1000mm, Bottom Arm 1200mm, SH 1000mm</t>
  </si>
  <si>
    <t>213-104-104-005</t>
  </si>
  <si>
    <t>Fixed Boom, Top Arm 1200mm, Bottom Arm 1200mm, SH 1000mm</t>
  </si>
  <si>
    <t>213-105-104-005</t>
  </si>
  <si>
    <t>Fixed Boom, Top Arm 1400mm, Bottom Arm 1200mm, SH 1000mm</t>
  </si>
  <si>
    <t>213-106-104-005</t>
  </si>
  <si>
    <t>Fixed Boom, Top Arm 1600mm, Bottom Arm 1200mm, SH 1000mm</t>
  </si>
  <si>
    <t>213-101-105-001</t>
  </si>
  <si>
    <t>Fixed Boom, Top Arm 600mm, Bottom Arm 1400mm, SH 200mm</t>
  </si>
  <si>
    <t>213-102-105-001</t>
  </si>
  <si>
    <t>Fixed Boom, Top Arm 800mm, Bottom Arm 1400mm, SH 200mm</t>
  </si>
  <si>
    <t>213-103-105-001</t>
  </si>
  <si>
    <t>Fixed Boom, Top Arm 1000mm, Bottom Arm 1400mm, SH 200mm</t>
  </si>
  <si>
    <t>213-104-105-001</t>
  </si>
  <si>
    <t>Fixed Boom, Top Arm 1200mm, Bottom Arm 1400mm, SH 200mm</t>
  </si>
  <si>
    <t>213-105-105-001</t>
  </si>
  <si>
    <t>Fixed Boom, Top Arm 1400mm, Bottom Arm 1400mm, SH 200mm</t>
  </si>
  <si>
    <t>213-106-105-001</t>
  </si>
  <si>
    <t>Fixed Boom, Top Arm 1600mm, Bottom Arm 1400mm, SH 200mm</t>
  </si>
  <si>
    <t>213-101-105-002</t>
  </si>
  <si>
    <t>Fixed Boom, Top Arm 600mm, Bottom Arm 1400mm, SH 400mm</t>
  </si>
  <si>
    <t>213-102-105-002</t>
  </si>
  <si>
    <t>Fixed Boom, Top Arm 800mm, Bottom Arm 1400mm, SH 400mm</t>
  </si>
  <si>
    <t>213-103-105-002</t>
  </si>
  <si>
    <t>Fixed Boom, Top Arm 1000mm, Bottom Arm 1400mm, SH 400mm</t>
  </si>
  <si>
    <t>213-104-105-002</t>
  </si>
  <si>
    <t>Fixed Boom, Top Arm 1200mm, Bottom Arm 1400mm, SH 400mm</t>
  </si>
  <si>
    <t>213-105-105-002</t>
  </si>
  <si>
    <t>Fixed Boom, Top Arm 1400mm, Bottom Arm 1400mm, SH 400mm</t>
  </si>
  <si>
    <t>213-106-105-002</t>
  </si>
  <si>
    <t>Fixed Boom, Top Arm 1600mm, Bottom Arm 1400mm, SH 400mm</t>
  </si>
  <si>
    <t>213-101-105-003</t>
  </si>
  <si>
    <t>Fixed Boom, Top Arm 600mm, Bottom Arm 1400mm, SH 600mm</t>
  </si>
  <si>
    <t>213-102-105-003</t>
  </si>
  <si>
    <t>Fixed Boom, Top Arm 800mm, Bottom Arm 1400mm, SH 600mm</t>
  </si>
  <si>
    <t>213-103-105-003</t>
  </si>
  <si>
    <t>Fixed Boom, Top Arm 1000mm, Bottom Arm 1400mm, SH 600mm</t>
  </si>
  <si>
    <t>213-104-105-003</t>
  </si>
  <si>
    <t>Fixed Boom, Top Arm 1200mm, Bottom Arm 1400mm, SH 600mm</t>
  </si>
  <si>
    <t>213-105-105-003</t>
  </si>
  <si>
    <t>Fixed Boom, Top Arm 1400mm, Bottom Arm 1400mm, SH 600mm</t>
  </si>
  <si>
    <t>213-106-105-003</t>
  </si>
  <si>
    <t>Fixed Boom, Top Arm 1600mm, Bottom Arm 1400mm, SH 600mm</t>
  </si>
  <si>
    <t>213-101-105-004</t>
  </si>
  <si>
    <t>Fixed Boom, Top Arm 600mm, Bottom Arm 1400mm, SH 800mm</t>
  </si>
  <si>
    <t>213-102-105-004</t>
  </si>
  <si>
    <t>Fixed Boom, Top Arm 800mm, Bottom Arm 1400mm, SH 800mm</t>
  </si>
  <si>
    <t>213-103-105-004</t>
  </si>
  <si>
    <t>Fixed Boom, Top Arm 1000mm, Bottom Arm 1400mm, SH 800mm</t>
  </si>
  <si>
    <t>213-104-105-004</t>
  </si>
  <si>
    <t>Fixed Boom, Top Arm 1200mm, Bottom Arm 1400mm, SH 800mm</t>
  </si>
  <si>
    <t>213-105-105-004</t>
  </si>
  <si>
    <t>Fixed Boom, Top Arm 1400mm, Bottom Arm 1400mm, SH 800mm</t>
  </si>
  <si>
    <t>213-106-105-004</t>
  </si>
  <si>
    <t>Fixed Boom, Top Arm 1600mm, Bottom Arm 1400mm, SH 800mm</t>
  </si>
  <si>
    <t>213-101-105-005</t>
  </si>
  <si>
    <t>Fixed Boom, Top Arm 600mm, Bottom Arm 1400mm, SH 1000mm</t>
  </si>
  <si>
    <t>213-102-105-005</t>
  </si>
  <si>
    <t>Fixed Boom, Top Arm 800mm, Bottom Arm 1400mm, SH 1000mm</t>
  </si>
  <si>
    <t>213-103-105-005</t>
  </si>
  <si>
    <t>Fixed Boom, Top Arm 1000mm, Bottom Arm 1400mm, SH 1000mm</t>
  </si>
  <si>
    <t>213-104-105-005</t>
  </si>
  <si>
    <t>Fixed Boom, Top Arm 1200mm, Bottom Arm 1400mm, SH 1000mm</t>
  </si>
  <si>
    <t>213-105-105-005</t>
  </si>
  <si>
    <t>Fixed Boom, Top Arm 1400mm, Bottom Arm 1400mm, SH 1000mm</t>
  </si>
  <si>
    <t>213-106-105-005</t>
  </si>
  <si>
    <t>Fixed Boom, Top Arm 1600mm, Bottom Arm 1400mm, SH 1000mm</t>
  </si>
  <si>
    <t>213-101-106-001</t>
  </si>
  <si>
    <t>Fixed Boom, Top Arm 600mm, Bottom Arm 1600mm, SH 200mm</t>
  </si>
  <si>
    <t>213-102-106-001</t>
  </si>
  <si>
    <t>Fixed Boom, Top Arm 800mm, Bottom Arm 1600mm, SH 200mm</t>
  </si>
  <si>
    <t>213-103-106-001</t>
  </si>
  <si>
    <t>Fixed Boom, Top Arm 1000mm, Bottom Arm 1600mm, SH 200mm</t>
  </si>
  <si>
    <t>213-104-106-001</t>
  </si>
  <si>
    <t>Fixed Boom, Top Arm 1200mm, Bottom Arm 1600mm, SH 200mm</t>
  </si>
  <si>
    <t>213-105-106-001</t>
  </si>
  <si>
    <t>Fixed Boom, Top Arm 1400mm, Bottom Arm 1600mm, SH 200mm</t>
  </si>
  <si>
    <t>213-106-106-001</t>
  </si>
  <si>
    <t>Fixed Boom, Top Arm 1600mm, Bottom Arm 1600mm, SH 200mm</t>
  </si>
  <si>
    <t>213-101-106-002</t>
  </si>
  <si>
    <t>Fixed Boom, Top Arm 600mm, Bottom Arm 1600mm, SH 400mm</t>
  </si>
  <si>
    <t>213-102-106-002</t>
  </si>
  <si>
    <t>Fixed Boom, Top Arm 800mm, Bottom Arm 1600mm, SH 400mm</t>
  </si>
  <si>
    <t>213-103-106-002</t>
  </si>
  <si>
    <t>Fixed Boom, Top Arm 1000mm, Bottom Arm 1600mm, SH 400mm</t>
  </si>
  <si>
    <t>213-104-106-002</t>
  </si>
  <si>
    <t>Fixed Boom, Top Arm 1200mm, Bottom Arm 1600mm, SH 400mm</t>
  </si>
  <si>
    <t>213-105-106-002</t>
  </si>
  <si>
    <t>Fixed Boom, Top Arm 1400mm, Bottom Arm 1600mm, SH 400mm</t>
  </si>
  <si>
    <t>213-106-106-002</t>
  </si>
  <si>
    <t>Fixed Boom, Top Arm 1600mm, Bottom Arm 1600mm, SH 400mm</t>
  </si>
  <si>
    <t>213-101-106-003</t>
  </si>
  <si>
    <t>Fixed Boom, Top Arm 600mm, Bottom Arm 1600mm, SH 600mm</t>
  </si>
  <si>
    <t>213-102-106-003</t>
  </si>
  <si>
    <t>Fixed Boom, Top Arm 800mm, Bottom Arm 1600mm, SH 600mm</t>
  </si>
  <si>
    <t>213-103-106-003</t>
  </si>
  <si>
    <t>Fixed Boom, Top Arm 1000mm, Bottom Arm 1600mm, SH 600mm</t>
  </si>
  <si>
    <t>213-104-106-003</t>
  </si>
  <si>
    <t>Fixed Boom, Top Arm 1200mm, Bottom Arm 1600mm, SH 600mm</t>
  </si>
  <si>
    <t>213-105-106-003</t>
  </si>
  <si>
    <t>Fixed Boom, Top Arm 1400mm, Bottom Arm 1600mm, SH 600mm</t>
  </si>
  <si>
    <t>213-106-106-003</t>
  </si>
  <si>
    <t>Fixed Boom, Top Arm 1600mm, Bottom Arm 1600mm, SH 600mm</t>
  </si>
  <si>
    <t>213-101-106-004</t>
  </si>
  <si>
    <t>Fixed Boom, Top Arm 600mm, Bottom Arm 1600mm, SH 800mm</t>
  </si>
  <si>
    <t>213-102-106-004</t>
  </si>
  <si>
    <t>Fixed Boom, Top Arm 800mm, Bottom Arm 1600mm, SH 800mm</t>
  </si>
  <si>
    <t>213-103-106-004</t>
  </si>
  <si>
    <t>Fixed Boom, Top Arm 1000mm, Bottom Arm 1600mm, SH 800mm</t>
  </si>
  <si>
    <t>213-104-106-004</t>
  </si>
  <si>
    <t>Fixed Boom, Top Arm 1200mm, Bottom Arm 1600mm, SH 800mm</t>
  </si>
  <si>
    <t>213-105-106-004</t>
  </si>
  <si>
    <t>Fixed Boom, Top Arm 1400mm, Bottom Arm 1600mm, SH 800mm</t>
  </si>
  <si>
    <t>213-106-106-004</t>
  </si>
  <si>
    <t>Fixed Boom, Top Arm 1600mm, Bottom Arm 1600mm, SH 800mm</t>
  </si>
  <si>
    <t>213-101-106-005</t>
  </si>
  <si>
    <t>Fixed Boom, Top Arm 600mm, Bottom Arm 1600mm, SH 1000mm</t>
  </si>
  <si>
    <t>213-102-106-005</t>
  </si>
  <si>
    <t>Fixed Boom, Top Arm 800mm, Bottom Arm 1600mm, SH 1000mm</t>
  </si>
  <si>
    <t>213-103-106-005</t>
  </si>
  <si>
    <t>Fixed Boom, Top Arm 1000mm, Bottom Arm 1600mm, SH 1000mm</t>
  </si>
  <si>
    <t>213-104-106-005</t>
  </si>
  <si>
    <t>Fixed Boom, Top Arm 1200mm, Bottom Arm 1600mm, SH 1000mm</t>
  </si>
  <si>
    <t>213-105-106-005</t>
  </si>
  <si>
    <t>Fixed Boom, Top Arm 1400mm, Bottom Arm 1600mm, SH 1000mm</t>
  </si>
  <si>
    <t>213-106-106-005</t>
  </si>
  <si>
    <t>Fixed Boom, Top Arm 1600mm, Bottom Arm 1600mm, SH 1000mm</t>
  </si>
  <si>
    <t>213-111-101-001</t>
  </si>
  <si>
    <t>Fixed Boom, XL Top 600mm, Bottom Arm 600mm, SH 200mm</t>
  </si>
  <si>
    <t>213-112-101-001</t>
  </si>
  <si>
    <t>Fixed Boom, XL Top 800mm, Bottom Arm 600mm, SH 200mm</t>
  </si>
  <si>
    <t>213-113-101-001</t>
  </si>
  <si>
    <t>Fixed Boom, XL Top 1000mm, Bottom Arm 600mm, SH 200mm</t>
  </si>
  <si>
    <t>213-114-101-001</t>
  </si>
  <si>
    <t>Fixed Boom, XL Top 1200mm, Bottom Arm 600mm, SH 200mm</t>
  </si>
  <si>
    <t>213-115-101-001</t>
  </si>
  <si>
    <t>Fixed Boom, XL Top 1400mm, Bottom Arm 600mm, SH 200mm</t>
  </si>
  <si>
    <t>213-116-101-001</t>
  </si>
  <si>
    <t>Fixed Boom, XL Top 1600mm, Bottom Arm 600mm, SH 200mm</t>
  </si>
  <si>
    <t>213-111-101-002</t>
  </si>
  <si>
    <t>Fixed Boom, XL Top 600mm, Bottom Arm 600mm, SH 400mm</t>
  </si>
  <si>
    <t>213-112-101-002</t>
  </si>
  <si>
    <t>Fixed Boom, XL Top 800mm, Bottom Arm 600mm, SH 400mm</t>
  </si>
  <si>
    <t>213-113-101-002</t>
  </si>
  <si>
    <t>Fixed Boom, XL Top 1000mm, Bottom Arm 600mm, SH 400mm</t>
  </si>
  <si>
    <t>213-114-101-002</t>
  </si>
  <si>
    <t>Fixed Boom, XL Top 1200mm, Bottom Arm 600mm, SH 400mm</t>
  </si>
  <si>
    <t>213-115-101-002</t>
  </si>
  <si>
    <t>Fixed Boom, XL Top 1400mm, Bottom Arm 600mm, SH 400mm</t>
  </si>
  <si>
    <t>213-116-101-002</t>
  </si>
  <si>
    <t>Fixed Boom, XL Top 1600mm, Bottom Arm 600mm, SH 400mm</t>
  </si>
  <si>
    <t>213-111-101-003</t>
  </si>
  <si>
    <t>Fixed Boom, XL Top 600mm, Bottom Arm 600mm, SH 600mm</t>
  </si>
  <si>
    <t>213-112-101-003</t>
  </si>
  <si>
    <t>Fixed Boom, XL Top 800mm, Bottom Arm 600mm, SH 600mm</t>
  </si>
  <si>
    <t>213-113-101-003</t>
  </si>
  <si>
    <t>Fixed Boom, XL Top 1000mm, Bottom Arm 600mm, SH 600mm</t>
  </si>
  <si>
    <t>213-114-101-003</t>
  </si>
  <si>
    <t>Fixed Boom, XL Top 1200mm, Bottom Arm 600mm, SH 600mm</t>
  </si>
  <si>
    <t>213-115-101-003</t>
  </si>
  <si>
    <t>Fixed Boom, XL Top 1600mm, Bottom Arm 600mm, SH 600mm</t>
  </si>
  <si>
    <t>213-116-101-003</t>
  </si>
  <si>
    <t>213-111-101-004</t>
  </si>
  <si>
    <t>Fixed Boom, XL Top 600mm, Bottom Arm 600mm, SH 800mm</t>
  </si>
  <si>
    <t>213-112-101-004</t>
  </si>
  <si>
    <t>Fixed Boom, XL Top 800mm, Bottom Arm 600mm, SH 800mm</t>
  </si>
  <si>
    <t>213-113-101-004</t>
  </si>
  <si>
    <t>Fixed Boom, XL Top 1000mm, Bottom Arm 600mm, SH 800mm</t>
  </si>
  <si>
    <t>213-114-101-004</t>
  </si>
  <si>
    <t>Fixed Boom, XL Top 1200mm, Bottom Arm 600mm, SH 800mm</t>
  </si>
  <si>
    <t>213-115-101-004</t>
  </si>
  <si>
    <t>Fixed Boom, XL Top 1400mm, Bottom Arm 600mm, SH 800mm</t>
  </si>
  <si>
    <t>213-116-101-004</t>
  </si>
  <si>
    <t>Fixed Boom, XL Top 1600mm, Bottom Arm 600mm, SH 800mm</t>
  </si>
  <si>
    <t>213-111-101-005</t>
  </si>
  <si>
    <t>Fixed Boom, XL Top 600mm, Bottom Arm 600mm, SH 1000mm</t>
  </si>
  <si>
    <t>213-112-101-005</t>
  </si>
  <si>
    <t>Fixed Boom, XL Top 800mm, Bottom Arm 600mm, SH 1000mm</t>
  </si>
  <si>
    <t>213-113-101-005</t>
  </si>
  <si>
    <t>Fixed Boom, XL Top 1000mm, Bottom Arm 600mm, SH 1000mm</t>
  </si>
  <si>
    <t>213-114-101-005</t>
  </si>
  <si>
    <t>Fixed Boom, XL Top 1200mm, Bottom Arm 600mm, SH 1000mm</t>
  </si>
  <si>
    <t>213-115-101-005</t>
  </si>
  <si>
    <t>Fixed Boom, XL Top 1400mm, Bottom Arm 600mm, SH 1000mm</t>
  </si>
  <si>
    <t>213-116-101-005</t>
  </si>
  <si>
    <t>Fixed Boom, XL Top 1600mm, Bottom Arm 600mm, SH 1000mm</t>
  </si>
  <si>
    <t>213-111-102-001</t>
  </si>
  <si>
    <t>Fixed Boom, XL Top 600mm, Bottom Arm 800mm, SH 200mm</t>
  </si>
  <si>
    <t>213-112-102-001</t>
  </si>
  <si>
    <t>Fixed Boom, XL Top 800mm, Bottom Arm 800mm, SH 200mm</t>
  </si>
  <si>
    <t>213-113-102-001</t>
  </si>
  <si>
    <t>Fixed Boom, XL Top 1000mm, Bottom Arm 800mm, SH 200mm</t>
  </si>
  <si>
    <t>213-114-102-001</t>
  </si>
  <si>
    <t>Fixed Boom, XL Top 1200mm, Bottom Arm 800mm, SH 200mm</t>
  </si>
  <si>
    <t>213-115-102-001</t>
  </si>
  <si>
    <t>Fixed Boom, XL Top 1400mm, Bottom Arm 800mm, SH 200mm</t>
  </si>
  <si>
    <t>213-116-102-001</t>
  </si>
  <si>
    <t>Fixed Boom, XL Top 1600mm, Bottom Arm 800mm, SH 200mm</t>
  </si>
  <si>
    <t>213-111-102-002</t>
  </si>
  <si>
    <t>Fixed Boom, XL Top 600mm, Bottom Arm 800mm, SH 400mm</t>
  </si>
  <si>
    <t>213-112-102-002</t>
  </si>
  <si>
    <t>Fixed Boom, XL Top 800mm, Bottom Arm 800mm, SH 400mm</t>
  </si>
  <si>
    <t>213-113-102-002</t>
  </si>
  <si>
    <t>Fixed Boom, XL Top 1000mm, Bottom Arm 800mm, SH 400mm</t>
  </si>
  <si>
    <t>213-114-102-002</t>
  </si>
  <si>
    <t>Fixed Boom, XL Top 1200mm, Bottom Arm 800mm, SH 400mm</t>
  </si>
  <si>
    <t>213-115-102-002</t>
  </si>
  <si>
    <t>Fixed Boom, XL Top 1400mm, Bottom Arm 800mm, SH 400mm</t>
  </si>
  <si>
    <t>213-116-102-002</t>
  </si>
  <si>
    <t>Fixed Boom, XL Top 1600mm, Bottom Arm 800mm, SH 400mm</t>
  </si>
  <si>
    <t>213-111-102-003</t>
  </si>
  <si>
    <t>Fixed Boom, XL Top 600mm, Bottom Arm 800mm, SH 600mm</t>
  </si>
  <si>
    <t>213-112-102-003</t>
  </si>
  <si>
    <t>Fixed Boom, XL Top 800mm, Bottom Arm 800mm, SH 600mm</t>
  </si>
  <si>
    <t>213-113-102-003</t>
  </si>
  <si>
    <t>Fixed Boom, XL Top 1000mm, Bottom Arm 800mm, SH 600mm</t>
  </si>
  <si>
    <t>213-114-102-003</t>
  </si>
  <si>
    <t>Fixed Boom, XL Top 1200mm, Bottom Arm 800mm, SH 600mm</t>
  </si>
  <si>
    <t>213-115-102-003</t>
  </si>
  <si>
    <t>Fixed Boom, XL Top 1400mm, Bottom Arm 800mm, SH 600mm</t>
  </si>
  <si>
    <t>213-116-102-003</t>
  </si>
  <si>
    <t>Fixed Boom, XL Top 1600mm, Bottom Arm 800mm, SH 600mm</t>
  </si>
  <si>
    <t>213-111-102-004</t>
  </si>
  <si>
    <t>Fixed Boom, XL Top 600mm, Bottom Arm 800mm, SH 800mm</t>
  </si>
  <si>
    <t>213-112-102-004</t>
  </si>
  <si>
    <t>Fixed Boom, XL Top 800mm, Bottom Arm 800mm, SH 800mm</t>
  </si>
  <si>
    <t>213-113-102-004</t>
  </si>
  <si>
    <t>Fixed Boom, XL Top 1000mm, Bottom Arm 800mm, SH 800mm</t>
  </si>
  <si>
    <t>213-114-102-004</t>
  </si>
  <si>
    <t>Fixed Boom, XL Top 1200mm, Bottom Arm 800mm, SH 800mm</t>
  </si>
  <si>
    <t>213-115-102-004</t>
  </si>
  <si>
    <t>Fixed Boom, XL Top 1400mm, Bottom Arm 800mm, SH 800mm</t>
  </si>
  <si>
    <t>213-116-102-004</t>
  </si>
  <si>
    <t>Fixed Boom, XL Top 1600mm, Bottom Arm 800mm, SH 800mm</t>
  </si>
  <si>
    <t>213-111-102-005</t>
  </si>
  <si>
    <t>Fixed Boom, XL Top 600mm, Bottom Arm 800mm, SH 1000mm</t>
  </si>
  <si>
    <t>213-112-102-005</t>
  </si>
  <si>
    <t>Fixed Boom, XL Top 800mm, Bottom Arm 800mm, SH 1000mm</t>
  </si>
  <si>
    <t>213-113-102-005</t>
  </si>
  <si>
    <t>Fixed Boom, XL Top 1000mm, Bottom Arm 800mm, SH 1000mm</t>
  </si>
  <si>
    <t>213-114-102-005</t>
  </si>
  <si>
    <t>Fixed Boom, XL Top 1200mm, Bottom Arm 800mm, SH 1000mm</t>
  </si>
  <si>
    <t>213-115-102-005</t>
  </si>
  <si>
    <t>Fixed Boom, XL Top 1400mm, Bottom Arm 800mm, SH 1000mm</t>
  </si>
  <si>
    <t>213-116-102-005</t>
  </si>
  <si>
    <t>Fixed Boom, XL Top 1600mm, Bottom Arm 800mm, SH 1000mm</t>
  </si>
  <si>
    <t>213-111-103-001</t>
  </si>
  <si>
    <t>Fixed Boom, XL Top 600mm, Bottom Arm 1000mm, SH 200mm</t>
  </si>
  <si>
    <t>213-112-103-001</t>
  </si>
  <si>
    <t>Fixed Boom, XL Top 800mm, Bottom Arm 1000mm, SH 200mm</t>
  </si>
  <si>
    <t>213-113-103-001</t>
  </si>
  <si>
    <t>Fixed Boom, XL Top 1000mm, Bottom Arm 1000mm, SH 200mm</t>
  </si>
  <si>
    <t>213-114-103-001</t>
  </si>
  <si>
    <t>Fixed Boom, XL Top 1200mm, Bottom Arm 1000mm, SH 200mm</t>
  </si>
  <si>
    <t>213-115-103-001</t>
  </si>
  <si>
    <t>Fixed Boom, XL Top 1400mm, Bottom Arm 1000mm, SH 200mm</t>
  </si>
  <si>
    <t>213-116-103-001</t>
  </si>
  <si>
    <t>Fixed Boom, XL Top 1600mm, Bottom Arm 1000mm, SH 200mm</t>
  </si>
  <si>
    <t>213-111-103-002</t>
  </si>
  <si>
    <t>Fixed Boom, XL Top 600mm, Bottom Arm 1000mm, SH 400mm</t>
  </si>
  <si>
    <t>213-112-103-002</t>
  </si>
  <si>
    <t>Fixed Boom, XL Top 800mm, Bottom Arm 1000mm, SH 400mm</t>
  </si>
  <si>
    <t>213-113-103-002</t>
  </si>
  <si>
    <t>Fixed Boom, XL Top 1000mm, Bottom Arm 1000mm, SH 400mm</t>
  </si>
  <si>
    <t>213-114-103-002</t>
  </si>
  <si>
    <t>Fixed Boom, XL Top 1200mm, Bottom Arm 1000mm, SH 400mm</t>
  </si>
  <si>
    <t>213-115-103-002</t>
  </si>
  <si>
    <t>Fixed Boom, XL Top 1400mm, Bottom Arm 1000mm, SH 400mm</t>
  </si>
  <si>
    <t>213-116-103-002</t>
  </si>
  <si>
    <t>Fixed Boom, XL Top 1600mm, Bottom Arm 1000mm, SH 400mm</t>
  </si>
  <si>
    <t>213-111-103-003</t>
  </si>
  <si>
    <t>Fixed Boom, XL Top 600mm, Bottom Arm 1000mm, SH 600mm</t>
  </si>
  <si>
    <t>213-112-103-003</t>
  </si>
  <si>
    <t>Fixed Boom, XL Top 800mm, Bottom Arm 1000mm, SH 600mm</t>
  </si>
  <si>
    <t>213-113-103-003</t>
  </si>
  <si>
    <t>Fixed Boom, XL Top 1000mm, Bottom Arm 1000mm, SH 600mm</t>
  </si>
  <si>
    <t>213-114-103-003</t>
  </si>
  <si>
    <t>Fixed Boom, XL Top 1200mm, Bottom Arm 1000mm, SH 600mm</t>
  </si>
  <si>
    <t>213-115-103-003</t>
  </si>
  <si>
    <t>Fixed Boom, XL Top 1400mm, Bottom Arm 1000mm, SH 600mm</t>
  </si>
  <si>
    <t>213-116-103-003</t>
  </si>
  <si>
    <t>Fixed Boom, XL Top 1600mm, Bottom Arm 1000mm, SH 600mm</t>
  </si>
  <si>
    <t>213-111-103-004</t>
  </si>
  <si>
    <t>Fixed Boom, XL Top 600mm, Bottom Arm 1000mm, SH 800mm</t>
  </si>
  <si>
    <t>213-112-103-004</t>
  </si>
  <si>
    <t>Fixed Boom, XL Top 800mm, Bottom Arm 1000mm, SH 800mm</t>
  </si>
  <si>
    <t>213-113-103-004</t>
  </si>
  <si>
    <t>Fixed Boom, XL Top 1000mm, Bottom Arm 1000mm, SH 800mm</t>
  </si>
  <si>
    <t>213-114-103-004</t>
  </si>
  <si>
    <t>Fixed Boom, XL Top 1200mm, Bottom Arm 1000mm, SH 800mm</t>
  </si>
  <si>
    <t>213-115-103-004</t>
  </si>
  <si>
    <t>Fixed Boom, XL Top 1400mm, Bottom Arm 1000mm, SH 800mm</t>
  </si>
  <si>
    <t>213-116-103-004</t>
  </si>
  <si>
    <t>Fixed Boom, XL Top 1600mm, Bottom Arm 1000mm, SH 800mm</t>
  </si>
  <si>
    <t>213-111-103-005</t>
  </si>
  <si>
    <t>Fixed Boom, XL Top 600mm, Bottom Arm 1000mm, SH 1000mm</t>
  </si>
  <si>
    <t>213-112-103-005</t>
  </si>
  <si>
    <t>Fixed Boom, XL Top 800mm, Bottom Arm 1000mm, SH 1000mm</t>
  </si>
  <si>
    <t>213-113-103-005</t>
  </si>
  <si>
    <t>Fixed Boom, XL Top 1000mm, Bottom Arm 1000mm, SH 1000mm</t>
  </si>
  <si>
    <t>213-114-103-005</t>
  </si>
  <si>
    <t>Fixed Boom, XL Top 1200mm, Bottom Arm 1000mm, SH 1000mm</t>
  </si>
  <si>
    <t>213-115-103-005</t>
  </si>
  <si>
    <t>Fixed Boom, XL Top 1400mm, Bottom Arm 1000mm, SH 1000mm</t>
  </si>
  <si>
    <t>213-116-103-005</t>
  </si>
  <si>
    <t>Fixed Boom, XL Top 1600mm, Bottom Arm 1000mm, SH 1000mm</t>
  </si>
  <si>
    <t>213-111-104-001</t>
  </si>
  <si>
    <t>Fixed Boom, XL Top 600mm, Bottom Arm 1200mm, SH 200mm</t>
  </si>
  <si>
    <t>213-112-104-001</t>
  </si>
  <si>
    <t>Fixed Boom, XL Top 800mm, Bottom Arm 1200mm, SH 200mm</t>
  </si>
  <si>
    <t>213-113-104-001</t>
  </si>
  <si>
    <t>Fixed Boom, XL Top 1000mm, Bottom Arm 1200mm, SH 200mm</t>
  </si>
  <si>
    <t>213-114-104-001</t>
  </si>
  <si>
    <t>Fixed Boom, XL Top 1200mm, Bottom Arm 1200mm, SH 200mm</t>
  </si>
  <si>
    <t>213-115-104-001</t>
  </si>
  <si>
    <t>Fixed Boom, XL Top 1400mm, Bottom Arm 1200mm, SH 200mm</t>
  </si>
  <si>
    <t>213-116-104-001</t>
  </si>
  <si>
    <t>Fixed Boom, XL Top 1600mm, Bottom Arm 1200mm, SH 200mm</t>
  </si>
  <si>
    <t>213-111-104-002</t>
  </si>
  <si>
    <t>Fixed Boom, XL Top 600mm, Bottom Arm 1200mm, SH 400mm</t>
  </si>
  <si>
    <t>213-112-104-002</t>
  </si>
  <si>
    <t>Fixed Boom, XL Top 800mm, Bottom Arm 1200mm, SH 400mm</t>
  </si>
  <si>
    <t>213-113-104-002</t>
  </si>
  <si>
    <t>Fixed Boom, XL Top 1000mm, Bottom Arm 1200mm, SH 400mm</t>
  </si>
  <si>
    <t>213-114-104-002</t>
  </si>
  <si>
    <t>Fixed Boom, XL Top 1200mm, Bottom Arm 1200mm, SH 400mm</t>
  </si>
  <si>
    <t>213-115-104-002</t>
  </si>
  <si>
    <t>Fixed Boom, XL Top 1400mm, Bottom Arm 1200mm, SH 400mm</t>
  </si>
  <si>
    <t>213-116-104-002</t>
  </si>
  <si>
    <t>Fixed Boom, XL Top 1600mm, Bottom Arm 1200mm, SH 400mm</t>
  </si>
  <si>
    <t>213-111-104-003</t>
  </si>
  <si>
    <t>Fixed Boom, XL Top 600mm, Bottom Arm 1200mm, SH 600mm</t>
  </si>
  <si>
    <t>213-112-104-003</t>
  </si>
  <si>
    <t>Fixed Boom, XL Top 800mm, Bottom Arm 1200mm, SH 600mm</t>
  </si>
  <si>
    <t>213-113-104-003</t>
  </si>
  <si>
    <t>Fixed Boom, XL Top 1000mm, Bottom Arm 1200mm, SH 600mm</t>
  </si>
  <si>
    <t>213-114-104-003</t>
  </si>
  <si>
    <t>Fixed Boom, XL Top 1200mm, Bottom Arm 1200mm, SH 600mm</t>
  </si>
  <si>
    <t>213-115-104-003</t>
  </si>
  <si>
    <t>Fixed Boom, XL Top 1400mm, Bottom Arm 1200mm, SH 600mm</t>
  </si>
  <si>
    <t>213-116-104-003</t>
  </si>
  <si>
    <t>Fixed Boom, XL Top 1600mm, Bottom Arm 1200mm, SH 600mm</t>
  </si>
  <si>
    <t>213-111-104-004</t>
  </si>
  <si>
    <t>Fixed Boom, XL Top 600mm, Bottom Arm 1200mm, SH 800mm</t>
  </si>
  <si>
    <t>213-112-104-004</t>
  </si>
  <si>
    <t>Fixed Boom, XL Top 800mm, Bottom Arm 1200mm, SH 800mm</t>
  </si>
  <si>
    <t>213-113-104-004</t>
  </si>
  <si>
    <t>Fixed Boom, XL Top 1000mm, Bottom Arm 1200mm, SH 800mm</t>
  </si>
  <si>
    <t>213-114-104-004</t>
  </si>
  <si>
    <t>Fixed Boom, XL Top 1200mm, Bottom Arm 1200mm, SH 800mm</t>
  </si>
  <si>
    <t>213-115-104-004</t>
  </si>
  <si>
    <t>Fixed Boom, XL Top 1400mm, Bottom Arm 1200mm, SH 800mm</t>
  </si>
  <si>
    <t>213-116-104-004</t>
  </si>
  <si>
    <t>Fixed Boom, XL Top 1600mm, Bottom Arm 1200mm, SH 800mm</t>
  </si>
  <si>
    <t>213-111-104-005</t>
  </si>
  <si>
    <t>Fixed Boom, XL Top 600mm, Bottom Arm 1200mm, SH 1000mm</t>
  </si>
  <si>
    <t>213-112-104-005</t>
  </si>
  <si>
    <t>Fixed Boom, XL Top 800mm, Bottom Arm 1200mm, SH 1000mm</t>
  </si>
  <si>
    <t>213-113-104-005</t>
  </si>
  <si>
    <t>Fixed Boom, XL Top 1000mm, Bottom Arm 1200mm, SH 1000mm</t>
  </si>
  <si>
    <t>213-114-104-005</t>
  </si>
  <si>
    <t>Fixed Boom, XL Top 1200mm, Bottom Arm 1200mm, SH 1000mm</t>
  </si>
  <si>
    <t>213-115-104-005</t>
  </si>
  <si>
    <t>Fixed Boom, XL Top 1400mm, Bottom Arm 1200mm, SH 1000mm</t>
  </si>
  <si>
    <t>213-116-104-005</t>
  </si>
  <si>
    <t>Fixed Boom, XL Top 1600mm, Bottom Arm 1200mm, SH 1000mm</t>
  </si>
  <si>
    <t>213-111-105-001</t>
  </si>
  <si>
    <t>Fixed Boom, XL Top 600mm, Bottom Arm 1400mm, SH 200mm</t>
  </si>
  <si>
    <t>213-112-105-001</t>
  </si>
  <si>
    <t>Fixed Boom, XL Top 800mm, Bottom Arm 1400mm, SH 200mm</t>
  </si>
  <si>
    <t>213-113-105-001</t>
  </si>
  <si>
    <t>Fixed Boom, XL Top 1000mm, Bottom Arm 1400mm, SH 200mm</t>
  </si>
  <si>
    <t>213-114-105-001</t>
  </si>
  <si>
    <t>Fixed Boom, XL Top 1200mm, Bottom Arm 1400mm, SH 200mm</t>
  </si>
  <si>
    <t>213-115-105-001</t>
  </si>
  <si>
    <t>Fixed Boom, XL Top 1400mm, Bottom Arm 1400mm, SH 200mm</t>
  </si>
  <si>
    <t>213-116-105-001</t>
  </si>
  <si>
    <t>Fixed Boom, XL Top 1600mm, Bottom Arm 1400mm, SH 200mm</t>
  </si>
  <si>
    <t>213-111-105-002</t>
  </si>
  <si>
    <t>Fixed Boom, XL Top 600mm, Bottom Arm 1400mm, SH 400mm</t>
  </si>
  <si>
    <t>213-112-105-002</t>
  </si>
  <si>
    <t>Fixed Boom, XL Top 800mm, Bottom Arm 1400mm, SH 400mm</t>
  </si>
  <si>
    <t>213-113-105-002</t>
  </si>
  <si>
    <t>Fixed Boom, XL Top 1000mm, Bottom Arm 1400mm, SH 400mm</t>
  </si>
  <si>
    <t>213-114-105-002</t>
  </si>
  <si>
    <t>Fixed Boom, XL Top 1200mm, Bottom Arm 1400mm, SH 400mm</t>
  </si>
  <si>
    <t>213-115-105-002</t>
  </si>
  <si>
    <t>Fixed Boom, XL Top 1400mm, Bottom Arm 1400mm, SH 400mm</t>
  </si>
  <si>
    <t>213-116-105-002</t>
  </si>
  <si>
    <t>Fixed Boom, XL Top 1600mm, Bottom Arm 1400mm, SH 400mm</t>
  </si>
  <si>
    <t>213-111-105-003</t>
  </si>
  <si>
    <t>Fixed Boom, XL Top 600mm, Bottom Arm 1400mm, SH 600mm</t>
  </si>
  <si>
    <t>213-112-105-003</t>
  </si>
  <si>
    <t>Fixed Boom, XL Top 800mm, Bottom Arm 1400mm, SH 600mm</t>
  </si>
  <si>
    <t>213-113-105-003</t>
  </si>
  <si>
    <t>Fixed Boom, XL Top 1000mm, Bottom Arm 1400mm, SH 600mm</t>
  </si>
  <si>
    <t>213-114-105-003</t>
  </si>
  <si>
    <t>Fixed Boom, XL Top 1200mm, Bottom Arm 1400mm, SH 600mm</t>
  </si>
  <si>
    <t>213-115-105-003</t>
  </si>
  <si>
    <t>Fixed Boom, XL Top 1400mm, Bottom Arm 1400mm, SH 600mm</t>
  </si>
  <si>
    <t>213-116-105-003</t>
  </si>
  <si>
    <t>Fixed Boom, XL Top 1600mm, Bottom Arm 1400mm, SH 600mm</t>
  </si>
  <si>
    <t>213-111-105-004</t>
  </si>
  <si>
    <t>Fixed Boom, XL Top 600mm, Bottom Arm 1400mm, SH 800mm</t>
  </si>
  <si>
    <t>213-112-105-004</t>
  </si>
  <si>
    <t>Fixed Boom, XL Top 800mm, Bottom Arm 1400mm, SH 800mm</t>
  </si>
  <si>
    <t>213-113-105-004</t>
  </si>
  <si>
    <t>Fixed Boom, XL Top 1000mm, Bottom Arm 1400mm, SH 800mm</t>
  </si>
  <si>
    <t>213-114-105-004</t>
  </si>
  <si>
    <t>Fixed Boom, XL Top 1200mm, Bottom Arm 1400mm, SH 800mm</t>
  </si>
  <si>
    <t>213-115-105-004</t>
  </si>
  <si>
    <t>Fixed Boom, XL Top 1400mm, Bottom Arm 1400mm, SH 800mm</t>
  </si>
  <si>
    <t>213-116-105-004</t>
  </si>
  <si>
    <t>Fixed Boom, XL Top 1600mm, Bottom Arm 1400mm, SH 800mm</t>
  </si>
  <si>
    <t>213-111-105-005</t>
  </si>
  <si>
    <t>Fixed Boom, XL Top 600mm, Bottom Arm 1400mm, SH 1000mm</t>
  </si>
  <si>
    <t>213-112-105-005</t>
  </si>
  <si>
    <t>Fixed Boom, XL Top 800mm, Bottom Arm 1400mm, SH 1000mm</t>
  </si>
  <si>
    <t>213-113-105-005</t>
  </si>
  <si>
    <t>Fixed Boom, XL Top 1000mm, Bottom Arm 1400mm, SH 1000mm</t>
  </si>
  <si>
    <t>213-114-105-005</t>
  </si>
  <si>
    <t>Fixed Boom, XL Top 1200mm, Bottom Arm 1400mm, SH 1000mm</t>
  </si>
  <si>
    <t>213-115-105-005</t>
  </si>
  <si>
    <t>Fixed Boom, XL Top 1400mm, Bottom Arm 1400mm, SH 1000mm</t>
  </si>
  <si>
    <t>213-116-105-005</t>
  </si>
  <si>
    <t>Fixed Boom, XL Top 1600mm, Bottom Arm 1400mm, SH 1000mm</t>
  </si>
  <si>
    <t>213-111-106-001</t>
  </si>
  <si>
    <t>Fixed Boom, XL Top 600mm, Bottom Arm 1600mm, SH 200mm</t>
  </si>
  <si>
    <t>213-112-106-001</t>
  </si>
  <si>
    <t>Fixed Boom, XL Top 800mm, Bottom Arm 1600mm, SH 200mm</t>
  </si>
  <si>
    <t>213-113-106-001</t>
  </si>
  <si>
    <t>Fixed Boom, XL Top 1000mm, Bottom Arm 1600mm, SH 200mm</t>
  </si>
  <si>
    <t>213-114-106-001</t>
  </si>
  <si>
    <t>Fixed Boom, XL Top 1200mm, Bottom Arm 1600mm, SH 200mm</t>
  </si>
  <si>
    <t>213-115-106-001</t>
  </si>
  <si>
    <t>Fixed Boom, XL Top 1400mm, Bottom Arm 1600mm, SH 200mm</t>
  </si>
  <si>
    <t>213-116-106-001</t>
  </si>
  <si>
    <t>Fixed Boom, XL Top 1600mm, Bottom Arm 1600mm, SH 200mm</t>
  </si>
  <si>
    <t>213-111-106-002</t>
  </si>
  <si>
    <t>Fixed Boom, XL Top 600mm, Bottom Arm 1600mm, SH 400mm</t>
  </si>
  <si>
    <t>213-112-106-002</t>
  </si>
  <si>
    <t>Fixed Boom, XL Top 800mm, Bottom Arm 1600mm, SH 400mm</t>
  </si>
  <si>
    <t>213-113-106-002</t>
  </si>
  <si>
    <t>Fixed Boom, XL Top 1000mm, Bottom Arm 1600mm, SH 400mm</t>
  </si>
  <si>
    <t>213-114-106-002</t>
  </si>
  <si>
    <t>Fixed Boom, XL Top 1200mm, Bottom Arm 1600mm, SH 400mm</t>
  </si>
  <si>
    <t>213-115-106-002</t>
  </si>
  <si>
    <t>Fixed Boom, XL Top 1400mm, Bottom Arm 1600mm, SH 400mm</t>
  </si>
  <si>
    <t>213-116-106-002</t>
  </si>
  <si>
    <t>Fixed Boom, XL Top 1600mm, Bottom Arm 1600mm, SH 400mm</t>
  </si>
  <si>
    <t>213-111-106-003</t>
  </si>
  <si>
    <t>Fixed Boom, XL Top 600mm, Bottom Arm 1600mm, SH 600mm</t>
  </si>
  <si>
    <t>213-112-106-003</t>
  </si>
  <si>
    <t>Fixed Boom, XL Top 800mm, Bottom Arm 1600mm, SH 600mm</t>
  </si>
  <si>
    <t>213-113-106-003</t>
  </si>
  <si>
    <t>Fixed Boom, XL Top 1000mm, Bottom Arm 1600mm, SH 600mm</t>
  </si>
  <si>
    <t>213-114-106-003</t>
  </si>
  <si>
    <t>Fixed Boom, XL Top 1200mm, Bottom Arm 1600mm, SH 600mm</t>
  </si>
  <si>
    <t>213-115-106-003</t>
  </si>
  <si>
    <t>Fixed Boom, XL Top 1400mm, Bottom Arm 1600mm, SH 600mm</t>
  </si>
  <si>
    <t>213-116-106-003</t>
  </si>
  <si>
    <t>Fixed Boom, XL Top 1600mm, Bottom Arm 1600mm, SH 600mm</t>
  </si>
  <si>
    <t>213-111-106-004</t>
  </si>
  <si>
    <t>Fixed Boom, XL Top 600mm, Bottom Arm 1600mm, SH 800mm</t>
  </si>
  <si>
    <t>213-112-106-004</t>
  </si>
  <si>
    <t>Fixed Boom, XL Top 800mm, Bottom Arm 1600mm, SH 800mm</t>
  </si>
  <si>
    <t>213-113-106-004</t>
  </si>
  <si>
    <t>Fixed Boom, XL Top 1000mm, Bottom Arm 1600mm, SH 800mm</t>
  </si>
  <si>
    <t>213-114-106-004</t>
  </si>
  <si>
    <t>Fixed Boom, XL Top 1200mm, Bottom Arm 1600mm, SH 800mm</t>
  </si>
  <si>
    <t>213-115-106-004</t>
  </si>
  <si>
    <t>Fixed Boom, XL Top 1400mm, Bottom Arm 1600mm, SH 800mm</t>
  </si>
  <si>
    <t>213-116-106-004</t>
  </si>
  <si>
    <t>Fixed Boom, XL Top 1600mm, Bottom Arm 1600mm, SH 800mm</t>
  </si>
  <si>
    <t>213-111-106-005</t>
  </si>
  <si>
    <t>Fixed Boom, XL Top 600mm, Bottom Arm 1600mm, SH 1000mm</t>
  </si>
  <si>
    <t>213-112-106-005</t>
  </si>
  <si>
    <t>Fixed Boom, XL Top 800mm, Bottom Arm 1600mm, SH 1000mm</t>
  </si>
  <si>
    <t>213-113-106-005</t>
  </si>
  <si>
    <t>Fixed Boom, XL Top 1000mm, Bottom Arm 1600mm, SH 1000mm</t>
  </si>
  <si>
    <t>213-114-106-005</t>
  </si>
  <si>
    <t>Fixed Boom, XL Top 1200mm, Bottom Arm 1600mm, SH 1000mm</t>
  </si>
  <si>
    <t>213-115-106-005</t>
  </si>
  <si>
    <t>Fixed Boom, XL Top 1400mm, Bottom Arm 1600mm, SH 1000mm</t>
  </si>
  <si>
    <t>213-116-106-005</t>
  </si>
  <si>
    <t>Fixed Boom, XL Top 1600mm, Bottom Arm 1600mm, SH 1000mm</t>
  </si>
  <si>
    <t>213-111-111-001</t>
  </si>
  <si>
    <t>Fixed Boom, XL Top 600mm, XL Bottom Arm 600mm, SH 200mm</t>
  </si>
  <si>
    <t>213-112-111-001</t>
  </si>
  <si>
    <t>Fixed Boom, XL Top 800mm, XL Bottom Arm 600mm, SH 200mm</t>
  </si>
  <si>
    <t>213-113-111-001</t>
  </si>
  <si>
    <t>Fixed Boom, XL Top 1000mm, XL Bottom Arm 600mm, SH 200mm</t>
  </si>
  <si>
    <t>213-114-111-001</t>
  </si>
  <si>
    <t>Fixed Boom, XL Top 1200mm, XL Bottom Arm 600mm, SH 200mm</t>
  </si>
  <si>
    <t>213-115-111-001</t>
  </si>
  <si>
    <t>Fixed Boom, XL Top 1400mm, XL Bottom Arm 600mm, SH 200mm</t>
  </si>
  <si>
    <t>213-116-111-001</t>
  </si>
  <si>
    <t>Fixed Boom, XL Top 1600mm, XL Bottom Arm 600mm, SH 200mm</t>
  </si>
  <si>
    <t>213-111-111-002</t>
  </si>
  <si>
    <t>Fixed Boom, XL Top 600mm, XL Bottom Arm 600mm, SH 400mm</t>
  </si>
  <si>
    <t>213-112-111-002</t>
  </si>
  <si>
    <t>Fixed Boom, XL Top 800mm, XL Bottom Arm 600mm, SH 400mm</t>
  </si>
  <si>
    <t>213-113-111-002</t>
  </si>
  <si>
    <t>Fixed Boom, XL Top 1000mm, XL Bottom Arm 600mm, SH 400mm</t>
  </si>
  <si>
    <t>213-114-111-002</t>
  </si>
  <si>
    <t>Fixed Boom, XL Top 1200mm, XL Bottom Arm 600mm, SH 400mm</t>
  </si>
  <si>
    <t>213-115-111-002</t>
  </si>
  <si>
    <t>Fixed Boom, XL Top 1400mm, XL Bottom Arm 600mm, SH 400mm</t>
  </si>
  <si>
    <t>213-116-111-002</t>
  </si>
  <si>
    <t>Fixed Boom, XL Top 1600mm, XL Bottom Arm 600mm, SH 400mm</t>
  </si>
  <si>
    <t>213-111-111-003</t>
  </si>
  <si>
    <t>Fixed Boom, XL Top 600mm, XL Bottom Arm 600mm, SH 600mm</t>
  </si>
  <si>
    <t>213-112-111-003</t>
  </si>
  <si>
    <t>Fixed Boom, XL Top 800mm, XL Bottom Arm 600mm, SH 600mm</t>
  </si>
  <si>
    <t>213-113-111-003</t>
  </si>
  <si>
    <t>Fixed Boom, XL Top 1000mm, XL Bottom Arm 600mm, SH 600mm</t>
  </si>
  <si>
    <t>213-114-111-003</t>
  </si>
  <si>
    <t>Fixed Boom, XL Top 1200mm, XL Bottom Arm 600mm, SH 600mm</t>
  </si>
  <si>
    <t>213-115-111-003</t>
  </si>
  <si>
    <t>Fixed Boom, XL Top 1600mm, XL Bottom Arm 600mm, SH 600mm</t>
  </si>
  <si>
    <t>213-116-111-003</t>
  </si>
  <si>
    <t>213-111-111-004</t>
  </si>
  <si>
    <t>Fixed Boom, XL Top 600mm, XL Bottom Arm 600mm, SH 800mm</t>
  </si>
  <si>
    <t>213-112-111-004</t>
  </si>
  <si>
    <t>Fixed Boom, XL Top 800mm, XL Bottom Arm 600mm, SH 800mm</t>
  </si>
  <si>
    <t>213-113-111-004</t>
  </si>
  <si>
    <t>Fixed Boom, XL Top 1000mm, XL Bottom Arm 600mm, SH 800mm</t>
  </si>
  <si>
    <t>213-114-111-004</t>
  </si>
  <si>
    <t>Fixed Boom, XL Top 1200mm, XL Bottom Arm 600mm, SH 800mm</t>
  </si>
  <si>
    <t>213-115-111-004</t>
  </si>
  <si>
    <t>Fixed Boom, XL Top 1400mm, XL Bottom Arm 600mm, SH 800mm</t>
  </si>
  <si>
    <t>213-116-111-004</t>
  </si>
  <si>
    <t>Fixed Boom, XL Top 1600mm, XL Bottom Arm 600mm, SH 800mm</t>
  </si>
  <si>
    <t>213-111-111-005</t>
  </si>
  <si>
    <t>Fixed Boom, XL Top 600mm, XL Bottom Arm 600mm, SH 1000mm</t>
  </si>
  <si>
    <t>213-112-111-005</t>
  </si>
  <si>
    <t>Fixed Boom, XL Top 800mm, XL Bottom Arm 600mm, SH 1000mm</t>
  </si>
  <si>
    <t>213-113-111-005</t>
  </si>
  <si>
    <t>Fixed Boom, XL Top 1000mm, XL Bottom Arm 600mm, SH 1000mm</t>
  </si>
  <si>
    <t>213-114-111-005</t>
  </si>
  <si>
    <t>Fixed Boom, XL Top 1200mm, XL Bottom Arm 600mm, SH 1000mm</t>
  </si>
  <si>
    <t>213-115-111-005</t>
  </si>
  <si>
    <t>Fixed Boom, XL Top 1400mm, XL Bottom Arm 600mm, SH 1000mm</t>
  </si>
  <si>
    <t>213-116-111-005</t>
  </si>
  <si>
    <t>Fixed Boom, XL Top 1600mm, XL Bottom Arm 600mm, SH 1000mm</t>
  </si>
  <si>
    <t>213-111-112-001</t>
  </si>
  <si>
    <t>Fixed Boom, XL Top 600mm, XL Bottom Arm 800mm, SH 200mm</t>
  </si>
  <si>
    <t>213-112-112-001</t>
  </si>
  <si>
    <t>Fixed Boom, XL Top 800mm, XL Bottom Arm 800mm, SH 200mm</t>
  </si>
  <si>
    <t>213-113-112-001</t>
  </si>
  <si>
    <t>Fixed Boom, XL Top 1000mm, XL Bottom Arm 800mm, SH 200mm</t>
  </si>
  <si>
    <t>213-114-112-001</t>
  </si>
  <si>
    <t>Fixed Boom, XL Top 1200mm, XL Bottom Arm 800mm, SH 200mm</t>
  </si>
  <si>
    <t>213-115-112-001</t>
  </si>
  <si>
    <t>Fixed Boom, XL Top 1400mm, XL Bottom Arm 800mm, SH 200mm</t>
  </si>
  <si>
    <t>213-116-112-001</t>
  </si>
  <si>
    <t>Fixed Boom, XL Top 1600mm, XL Bottom Arm 800mm, SH 200mm</t>
  </si>
  <si>
    <t>213-111-112-002</t>
  </si>
  <si>
    <t>Fixed Boom, XL Top 600mm, XL Bottom Arm 800mm, SH 400mm</t>
  </si>
  <si>
    <t>213-112-112-002</t>
  </si>
  <si>
    <t>Fixed Boom, XL Top 800mm, XL Bottom Arm 800mm, SH 400mm</t>
  </si>
  <si>
    <t>213-113-112-002</t>
  </si>
  <si>
    <t>Fixed Boom, XL Top 1000mm, XL Bottom Arm 800mm, SH 400mm</t>
  </si>
  <si>
    <t>213-114-112-002</t>
  </si>
  <si>
    <t>Fixed Boom, XL Top 1200mm, XL Bottom Arm 800mm, SH 400mm</t>
  </si>
  <si>
    <t>213-115-112-002</t>
  </si>
  <si>
    <t>Fixed Boom, XL Top 1400mm, XL Bottom Arm 800mm, SH 400mm</t>
  </si>
  <si>
    <t>213-116-112-002</t>
  </si>
  <si>
    <t>Fixed Boom, XL Top 1600mm, XL Bottom Arm 800mm, SH 400mm</t>
  </si>
  <si>
    <t>213-111-112-003</t>
  </si>
  <si>
    <t>Fixed Boom, XL Top 600mm, XL Bottom Arm 800mm, SH 600mm</t>
  </si>
  <si>
    <t>213-112-112-003</t>
  </si>
  <si>
    <t>Fixed Boom, XL Top 800mm, XL Bottom Arm 800mm, SH 600mm</t>
  </si>
  <si>
    <t>213-113-112-003</t>
  </si>
  <si>
    <t>Fixed Boom, XL Top 1000mm, XL Bottom Arm 800mm, SH 600mm</t>
  </si>
  <si>
    <t>213-114-112-003</t>
  </si>
  <si>
    <t>Fixed Boom, XL Top 1200mm, XL Bottom Arm 800mm, SH 600mm</t>
  </si>
  <si>
    <t>213-115-112-003</t>
  </si>
  <si>
    <t>Fixed Boom, XL Top 1400mm, XL Bottom Arm 800mm, SH 600mm</t>
  </si>
  <si>
    <t>213-116-112-003</t>
  </si>
  <si>
    <t>Fixed Boom, XL Top 1600mm, XL Bottom Arm 800mm, SH 600mm</t>
  </si>
  <si>
    <t>213-111-112-004</t>
  </si>
  <si>
    <t>Fixed Boom, XL Top 600mm, XL Bottom Arm 800mm, SH 800mm</t>
  </si>
  <si>
    <t>213-112-112-004</t>
  </si>
  <si>
    <t>Fixed Boom, XL Top 800mm, XL Bottom Arm 800mm, SH 800mm</t>
  </si>
  <si>
    <t>213-113-112-004</t>
  </si>
  <si>
    <t>Fixed Boom, XL Top 1000mm, XL Bottom Arm 800mm, SH 800mm</t>
  </si>
  <si>
    <t>213-114-112-004</t>
  </si>
  <si>
    <t>Fixed Boom, XL Top 1200mm, XL Bottom Arm 800mm, SH 800mm</t>
  </si>
  <si>
    <t>213-115-112-004</t>
  </si>
  <si>
    <t>Fixed Boom, XL Top 1400mm, XL Bottom Arm 800mm, SH 800mm</t>
  </si>
  <si>
    <t>213-116-112-004</t>
  </si>
  <si>
    <t>Fixed Boom, XL Top 1600mm, XL Bottom Arm 800mm, SH 800mm</t>
  </si>
  <si>
    <t>213-111-112-005</t>
  </si>
  <si>
    <t>Fixed Boom, XL Top 600mm, XL Bottom Arm 800mm, SH 1000mm</t>
  </si>
  <si>
    <t>213-112-112-005</t>
  </si>
  <si>
    <t>Fixed Boom, XL Top 800mm, XL Bottom Arm 800mm, SH 1000mm</t>
  </si>
  <si>
    <t>213-113-112-005</t>
  </si>
  <si>
    <t>Fixed Boom, XL Top 1000mm, XL Bottom Arm 800mm, SH 1000mm</t>
  </si>
  <si>
    <t>213-114-112-005</t>
  </si>
  <si>
    <t>Fixed Boom, XL Top 1200mm, XL Bottom Arm 800mm, SH 1000mm</t>
  </si>
  <si>
    <t>213-115-112-005</t>
  </si>
  <si>
    <t>Fixed Boom, XL Top 1400mm, XL Bottom Arm 800mm, SH 1000mm</t>
  </si>
  <si>
    <t>213-116-112-005</t>
  </si>
  <si>
    <t>Fixed Boom, XL Top 1600mm, XL Bottom Arm 800mm, SH 1000mm</t>
  </si>
  <si>
    <t>213-111-113-001</t>
  </si>
  <si>
    <t>Fixed Boom, XL Top 600mm, XL Bottom Arm 1000mm, SH 200mm</t>
  </si>
  <si>
    <t>213-112-113-001</t>
  </si>
  <si>
    <t>Fixed Boom, XL Top 800mm, XL Bottom Arm 1000mm, SH 200mm</t>
  </si>
  <si>
    <t>213-113-113-001</t>
  </si>
  <si>
    <t>Fixed Boom, XL Top 1000mm, XL Bottom Arm 1000mm, SH 200mm</t>
  </si>
  <si>
    <t>213-114-113-001</t>
  </si>
  <si>
    <t>Fixed Boom, XL Top 1200mm, XL Bottom Arm 1000mm, SH 200mm</t>
  </si>
  <si>
    <t>213-115-113-001</t>
  </si>
  <si>
    <t>Fixed Boom, XL Top 1400mm, XL Bottom Arm 1000mm, SH 200mm</t>
  </si>
  <si>
    <t>213-116-113-001</t>
  </si>
  <si>
    <t>Fixed Boom, XL Top 1600mm, XL Bottom Arm 1000mm, SH 200mm</t>
  </si>
  <si>
    <t>213-111-113-002</t>
  </si>
  <si>
    <t>Fixed Boom, XL Top 600mm, XL Bottom Arm 1000mm, SH 400mm</t>
  </si>
  <si>
    <t>213-112-113-002</t>
  </si>
  <si>
    <t>Fixed Boom, XL Top 800mm, XL Bottom Arm 1000mm, SH 400mm</t>
  </si>
  <si>
    <t>213-113-113-002</t>
  </si>
  <si>
    <t>Fixed Boom, XL Top 1000mm, XL Bottom Arm 1000mm, SH 400mm</t>
  </si>
  <si>
    <t>213-114-113-002</t>
  </si>
  <si>
    <t>Fixed Boom, XL Top 1200mm, XL Bottom Arm 1000mm, SH 400mm</t>
  </si>
  <si>
    <t>213-115-113-002</t>
  </si>
  <si>
    <t>Fixed Boom, XL Top 1400mm, XL Bottom Arm 1000mm, SH 400mm</t>
  </si>
  <si>
    <t>213-116-113-002</t>
  </si>
  <si>
    <t>Fixed Boom, XL Top 1600mm, XL Bottom Arm 1000mm, SH 400mm</t>
  </si>
  <si>
    <t>213-111-113-003</t>
  </si>
  <si>
    <t>Fixed Boom, XL Top 600mm, XL Bottom Arm 1000mm, SH 600mm</t>
  </si>
  <si>
    <t>213-112-113-003</t>
  </si>
  <si>
    <t>Fixed Boom, XL Top 800mm, XL Bottom Arm 1000mm, SH 600mm</t>
  </si>
  <si>
    <t>213-113-113-003</t>
  </si>
  <si>
    <t>Fixed Boom, XL Top 1000mm, XL Bottom Arm 1000mm, SH 600mm</t>
  </si>
  <si>
    <t>213-114-113-003</t>
  </si>
  <si>
    <t>Fixed Boom, XL Top 1200mm, XL Bottom Arm 1000mm, SH 600mm</t>
  </si>
  <si>
    <t>213-115-113-003</t>
  </si>
  <si>
    <t>Fixed Boom, XL Top 1400mm, XL Bottom Arm 1000mm, SH 600mm</t>
  </si>
  <si>
    <t>213-116-113-003</t>
  </si>
  <si>
    <t>Fixed Boom, XL Top 1600mm, XL Bottom Arm 1000mm, SH 600mm</t>
  </si>
  <si>
    <t>213-111-113-004</t>
  </si>
  <si>
    <t>Fixed Boom, XL Top 600mm, XL Bottom Arm 1000mm, SH 800mm</t>
  </si>
  <si>
    <t>213-112-113-004</t>
  </si>
  <si>
    <t>Fixed Boom, XL Top 800mm, XL Bottom Arm 1000mm, SH 800mm</t>
  </si>
  <si>
    <t>213-113-113-004</t>
  </si>
  <si>
    <t>Fixed Boom, XL Top 1000mm, XL Bottom Arm 1000mm, SH 800mm</t>
  </si>
  <si>
    <t>213-114-113-004</t>
  </si>
  <si>
    <t>Fixed Boom, XL Top 1200mm, XL Bottom Arm 1000mm, SH 800mm</t>
  </si>
  <si>
    <t>213-115-113-004</t>
  </si>
  <si>
    <t>Fixed Boom, XL Top 1400mm, XL Bottom Arm 1000mm, SH 800mm</t>
  </si>
  <si>
    <t>213-116-113-004</t>
  </si>
  <si>
    <t>Fixed Boom, XL Top 1600mm, XL Bottom Arm 1000mm, SH 800mm</t>
  </si>
  <si>
    <t>213-111-113-005</t>
  </si>
  <si>
    <t>Fixed Boom, XL Top 600mm, XL Bottom Arm 1000mm, SH 1000mm</t>
  </si>
  <si>
    <t>213-112-113-005</t>
  </si>
  <si>
    <t>Fixed Boom, XL Top 800mm, XL Bottom Arm 1000mm, SH 1000mm</t>
  </si>
  <si>
    <t>213-113-113-005</t>
  </si>
  <si>
    <t>Fixed Boom, XL Top 1000mm, XL Bottom Arm 1000mm, SH 1000mm</t>
  </si>
  <si>
    <t>213-114-113-005</t>
  </si>
  <si>
    <t>Fixed Boom, XL Top 1200mm, XL Bottom Arm 1000mm, SH 1000mm</t>
  </si>
  <si>
    <t>213-115-113-005</t>
  </si>
  <si>
    <t>Fixed Boom, XL Top 1400mm, XL Bottom Arm 1000mm, SH 1000mm</t>
  </si>
  <si>
    <t>213-116-113-005</t>
  </si>
  <si>
    <t>Fixed Boom, XL Top 1600mm, XL Bottom Arm 1000mm, SH 1000mm</t>
  </si>
  <si>
    <t>213-111-114-001</t>
  </si>
  <si>
    <t>Fixed Boom, XL Top 600mm, XL Bottom Arm 1200mm, SH 200mm</t>
  </si>
  <si>
    <t>213-112-114-001</t>
  </si>
  <si>
    <t>Fixed Boom, XL Top 800mm, XL Bottom Arm 1200mm, SH 200mm</t>
  </si>
  <si>
    <t>213-113-114-001</t>
  </si>
  <si>
    <t>Fixed Boom, XL Top 1000mm, XL Bottom Arm 1200mm, SH 200mm</t>
  </si>
  <si>
    <t>213-114-114-001</t>
  </si>
  <si>
    <t>Fixed Boom, XL Top 1200mm, XL Bottom Arm 1200mm, SH 200mm</t>
  </si>
  <si>
    <t>213-115-114-001</t>
  </si>
  <si>
    <t>Fixed Boom, XL Top 1400mm, XL Bottom Arm 1200mm, SH 200mm</t>
  </si>
  <si>
    <t>213-116-114-001</t>
  </si>
  <si>
    <t>Fixed Boom, XL Top 1600mm, XL Bottom Arm 1200mm, SH 200mm</t>
  </si>
  <si>
    <t>213-111-114-002</t>
  </si>
  <si>
    <t>Fixed Boom, XL Top 600mm, XL Bottom Arm 1200mm, SH 400mm</t>
  </si>
  <si>
    <t>213-112-114-002</t>
  </si>
  <si>
    <t>Fixed Boom, XL Top 800mm, XL Bottom Arm 1200mm, SH 400mm</t>
  </si>
  <si>
    <t>213-113-114-002</t>
  </si>
  <si>
    <t>Fixed Boom, XL Top 1000mm, XL Bottom Arm 1200mm, SH 400mm</t>
  </si>
  <si>
    <t>213-114-114-002</t>
  </si>
  <si>
    <t>Fixed Boom, XL Top 1200mm, XL Bottom Arm 1200mm, SH 400mm</t>
  </si>
  <si>
    <t>213-115-114-002</t>
  </si>
  <si>
    <t>Fixed Boom, XL Top 1400mm, XL Bottom Arm 1200mm, SH 400mm</t>
  </si>
  <si>
    <t>213-116-114-002</t>
  </si>
  <si>
    <t>Fixed Boom, XL Top 1600mm, XL Bottom Arm 1200mm, SH 400mm</t>
  </si>
  <si>
    <t>213-111-114-003</t>
  </si>
  <si>
    <t>Fixed Boom, XL Top 600mm, XL Bottom Arm 1200mm, SH 600mm</t>
  </si>
  <si>
    <t>213-112-114-003</t>
  </si>
  <si>
    <t>Fixed Boom, XL Top 800mm, XL Bottom Arm 1200mm, SH 600mm</t>
  </si>
  <si>
    <t>213-113-114-003</t>
  </si>
  <si>
    <t>Fixed Boom, XL Top 1000mm, XL Bottom Arm 1200mm, SH 600mm</t>
  </si>
  <si>
    <t>213-114-114-003</t>
  </si>
  <si>
    <t>Fixed Boom, XL Top 1200mm, XL Bottom Arm 1200mm, SH 600mm</t>
  </si>
  <si>
    <t>213-115-114-003</t>
  </si>
  <si>
    <t>Fixed Boom, XL Top 1400mm, XL Bottom Arm 1200mm, SH 600mm</t>
  </si>
  <si>
    <t>213-116-114-003</t>
  </si>
  <si>
    <t>Fixed Boom, XL Top 1600mm, XL Bottom Arm 1200mm, SH 600mm</t>
  </si>
  <si>
    <t>213-111-114-004</t>
  </si>
  <si>
    <t>Fixed Boom, XL Top 600mm, XL Bottom Arm 1200mm, SH 800mm</t>
  </si>
  <si>
    <t>213-112-114-004</t>
  </si>
  <si>
    <t>Fixed Boom, XL Top 800mm, XL Bottom Arm 1200mm, SH 800mm</t>
  </si>
  <si>
    <t>213-113-114-004</t>
  </si>
  <si>
    <t>Fixed Boom, XL Top 1000mm, XL Bottom Arm 1200mm, SH 800mm</t>
  </si>
  <si>
    <t>213-114-114-004</t>
  </si>
  <si>
    <t>Fixed Boom, XL Top 1200mm, XL Bottom Arm 1200mm, SH 800mm</t>
  </si>
  <si>
    <t>213-115-114-004</t>
  </si>
  <si>
    <t>Fixed Boom, XL Top 1400mm, XL Bottom Arm 1200mm, SH 800mm</t>
  </si>
  <si>
    <t>213-116-114-004</t>
  </si>
  <si>
    <t>Fixed Boom, XL Top 1600mm, XL Bottom Arm 1200mm, SH 800mm</t>
  </si>
  <si>
    <t>213-111-114-005</t>
  </si>
  <si>
    <t>Fixed Boom, XL Top 600mm, XL Bottom Arm 1200mm, SH 1000mm</t>
  </si>
  <si>
    <t>213-112-114-005</t>
  </si>
  <si>
    <t>Fixed Boom, XL Top 800mm, XL Bottom Arm 1200mm, SH 1000mm</t>
  </si>
  <si>
    <t>213-113-114-005</t>
  </si>
  <si>
    <t>Fixed Boom, XL Top 1000mm, XL Bottom Arm 1200mm, SH 1000mm</t>
  </si>
  <si>
    <t>213-114-114-005</t>
  </si>
  <si>
    <t>Fixed Boom, XL Top 1200mm, XL Bottom Arm 1200mm, SH 1000mm</t>
  </si>
  <si>
    <t>213-115-114-005</t>
  </si>
  <si>
    <t>Fixed Boom, XL Top 1400mm, XL Bottom Arm 1200mm, SH 1000mm</t>
  </si>
  <si>
    <t>213-116-114-005</t>
  </si>
  <si>
    <t>Fixed Boom, XL Top 1600mm, XL Bottom Arm 1200mm, SH 1000mm</t>
  </si>
  <si>
    <t>213-111-115-001</t>
  </si>
  <si>
    <t>Fixed Boom, XL Top 600mm, XL Bottom Arm 1400mm, SH 200mm</t>
  </si>
  <si>
    <t>213-112-115-001</t>
  </si>
  <si>
    <t>Fixed Boom, XL Top 800mm, XL Bottom Arm 1400mm, SH 200mm</t>
  </si>
  <si>
    <t>213-113-115-001</t>
  </si>
  <si>
    <t>Fixed Boom, XL Top 1000mm, XL Bottom Arm 1400mm, SH 200mm</t>
  </si>
  <si>
    <t>213-114-115-001</t>
  </si>
  <si>
    <t>Fixed Boom, XL Top 1200mm, XL Bottom Arm 1400mm, SH 200mm</t>
  </si>
  <si>
    <t>213-115-115-001</t>
  </si>
  <si>
    <t>Fixed Boom, XL Top 1400mm, XL Bottom Arm 1400mm, SH 200mm</t>
  </si>
  <si>
    <t>213-116-115-001</t>
  </si>
  <si>
    <t>Fixed Boom, XL Top 1600mm, XL Bottom Arm 1400mm, SH 200mm</t>
  </si>
  <si>
    <t>213-111-115-002</t>
  </si>
  <si>
    <t>Fixed Boom, XL Top 600mm, XL Bottom Arm 1400mm, SH 400mm</t>
  </si>
  <si>
    <t>213-112-115-002</t>
  </si>
  <si>
    <t>Fixed Boom, XL Top 800mm, XL Bottom Arm 1400mm, SH 400mm</t>
  </si>
  <si>
    <t>213-113-115-002</t>
  </si>
  <si>
    <t>Fixed Boom, XL Top 1000mm, XL Bottom Arm 1400mm, SH 400mm</t>
  </si>
  <si>
    <t>213-114-115-002</t>
  </si>
  <si>
    <t>Fixed Boom, XL Top 1200mm, XL Bottom Arm 1400mm, SH 400mm</t>
  </si>
  <si>
    <t>213-115-115-002</t>
  </si>
  <si>
    <t>Fixed Boom, XL Top 1400mm, XL Bottom Arm 1400mm, SH 400mm</t>
  </si>
  <si>
    <t>213-116-115-002</t>
  </si>
  <si>
    <t>Fixed Boom, XL Top 1600mm, XL Bottom Arm 1400mm, SH 400mm</t>
  </si>
  <si>
    <t>213-111-115-003</t>
  </si>
  <si>
    <t>Fixed Boom, XL Top 600mm, XL Bottom Arm 1400mm, SH 600mm</t>
  </si>
  <si>
    <t>213-112-115-003</t>
  </si>
  <si>
    <t>Fixed Boom, XL Top 800mm, XL Bottom Arm 1400mm, SH 600mm</t>
  </si>
  <si>
    <t>213-113-115-003</t>
  </si>
  <si>
    <t>Fixed Boom, XL Top 1000mm, XL Bottom Arm 1400mm, SH 600mm</t>
  </si>
  <si>
    <t>213-114-115-003</t>
  </si>
  <si>
    <t>Fixed Boom, XL Top 1200mm, XL Bottom Arm 1400mm, SH 600mm</t>
  </si>
  <si>
    <t>213-115-115-003</t>
  </si>
  <si>
    <t>Fixed Boom, XL Top 1400mm, XL Bottom Arm 1400mm, SH 600mm</t>
  </si>
  <si>
    <t>213-116-115-003</t>
  </si>
  <si>
    <t>Fixed Boom, XL Top 1600mm, XL Bottom Arm 1400mm, SH 600mm</t>
  </si>
  <si>
    <t>213-111-115-004</t>
  </si>
  <si>
    <t>Fixed Boom, XL Top 600mm, XL Bottom Arm 1400mm, SH 800mm</t>
  </si>
  <si>
    <t>213-112-115-004</t>
  </si>
  <si>
    <t>Fixed Boom, XL Top 800mm, XL Bottom Arm 1400mm, SH 800mm</t>
  </si>
  <si>
    <t>213-113-115-004</t>
  </si>
  <si>
    <t>Fixed Boom, XL Top 1000mm, XL Bottom Arm 1400mm, SH 800mm</t>
  </si>
  <si>
    <t>213-114-115-004</t>
  </si>
  <si>
    <t>Fixed Boom, XL Top 1200mm, XL Bottom Arm 1400mm, SH 800mm</t>
  </si>
  <si>
    <t>213-115-115-004</t>
  </si>
  <si>
    <t>Fixed Boom, XL Top 1400mm, XL Bottom Arm 1400mm, SH 800mm</t>
  </si>
  <si>
    <t>213-116-115-004</t>
  </si>
  <si>
    <t>Fixed Boom, XL Top 1600mm, XL Bottom Arm 1400mm, SH 800mm</t>
  </si>
  <si>
    <t>213-111-115-005</t>
  </si>
  <si>
    <t>Fixed Boom, XL Top 600mm, XL Bottom Arm 1400mm, SH 1000mm</t>
  </si>
  <si>
    <t>213-112-115-005</t>
  </si>
  <si>
    <t>Fixed Boom, XL Top 800mm, XL Bottom Arm 1400mm, SH 1000mm</t>
  </si>
  <si>
    <t>213-113-115-005</t>
  </si>
  <si>
    <t>Fixed Boom, XL Top 1000mm, XL Bottom Arm 1400mm, SH 1000mm</t>
  </si>
  <si>
    <t>213-114-115-005</t>
  </si>
  <si>
    <t>Fixed Boom, XL Top 1200mm, XL Bottom Arm 1400mm, SH 1000mm</t>
  </si>
  <si>
    <t>213-115-115-005</t>
  </si>
  <si>
    <t>Fixed Boom, XL Top 1400mm, XL Bottom Arm 1400mm, SH 1000mm</t>
  </si>
  <si>
    <t>213-116-115-005</t>
  </si>
  <si>
    <t>Fixed Boom, XL Top 1600mm, XL Bottom Arm 1400mm, SH 1000mm</t>
  </si>
  <si>
    <t>213-111-116-001</t>
  </si>
  <si>
    <t>Fixed Boom, XL Top 600mm, XL Bottom Arm 1600mm, SH 200mm</t>
  </si>
  <si>
    <t>213-112-116-001</t>
  </si>
  <si>
    <t>Fixed Boom, XL Top 800mm, XL Bottom Arm 1600mm, SH 200mm</t>
  </si>
  <si>
    <t>213-113-116-001</t>
  </si>
  <si>
    <t>Fixed Boom, XL Top 1000mm, XL Bottom Arm 1600mm, SH 200mm</t>
  </si>
  <si>
    <t>213-114-116-001</t>
  </si>
  <si>
    <t>Fixed Boom, XL Top 1200mm, XL Bottom Arm 1600mm, SH 200mm</t>
  </si>
  <si>
    <t>213-115-116-001</t>
  </si>
  <si>
    <t>Fixed Boom, XL Top 1400mm, XL Bottom Arm 1600mm, SH 200mm</t>
  </si>
  <si>
    <t>213-116-116-001</t>
  </si>
  <si>
    <t>Fixed Boom, XL Top 1600mm, XL Bottom Arm 1600mm, SH 200mm</t>
  </si>
  <si>
    <t>213-111-116-002</t>
  </si>
  <si>
    <t>Fixed Boom, XL Top 600mm, XL Bottom Arm 1600mm, SH 400mm</t>
  </si>
  <si>
    <t>213-112-116-002</t>
  </si>
  <si>
    <t>Fixed Boom, XL Top 800mm, XL Bottom Arm 1600mm, SH 400mm</t>
  </si>
  <si>
    <t>213-113-116-002</t>
  </si>
  <si>
    <t>Fixed Boom, XL Top 1000mm, XL Bottom Arm 1600mm, SH 400mm</t>
  </si>
  <si>
    <t>213-114-116-002</t>
  </si>
  <si>
    <t>Fixed Boom, XL Top 1200mm, XL Bottom Arm 1600mm, SH 400mm</t>
  </si>
  <si>
    <t>213-115-116-002</t>
  </si>
  <si>
    <t>Fixed Boom, XL Top 1400mm, XL Bottom Arm 1600mm, SH 400mm</t>
  </si>
  <si>
    <t>213-116-116-002</t>
  </si>
  <si>
    <t>Fixed Boom, XL Top 1600mm, XL Bottom Arm 1600mm, SH 400mm</t>
  </si>
  <si>
    <t>213-111-116-003</t>
  </si>
  <si>
    <t>Fixed Boom, XL Top 600mm, XL Bottom Arm 1600mm, SH 600mm</t>
  </si>
  <si>
    <t>213-112-116-003</t>
  </si>
  <si>
    <t>Fixed Boom, XL Top 800mm, XL Bottom Arm 1600mm, SH 600mm</t>
  </si>
  <si>
    <t>213-113-116-003</t>
  </si>
  <si>
    <t>Fixed Boom, XL Top 1000mm, XL Bottom Arm 1600mm, SH 600mm</t>
  </si>
  <si>
    <t>213-114-116-003</t>
  </si>
  <si>
    <t>Fixed Boom, XL Top 1200mm, XL Bottom Arm 1600mm, SH 600mm</t>
  </si>
  <si>
    <t>213-115-116-003</t>
  </si>
  <si>
    <t>Fixed Boom, XL Top 1400mm, XL Bottom Arm 1600mm, SH 600mm</t>
  </si>
  <si>
    <t>213-116-116-003</t>
  </si>
  <si>
    <t>Fixed Boom, XL Top 1600mm, XL Bottom Arm 1600mm, SH 600mm</t>
  </si>
  <si>
    <t>213-111-116-004</t>
  </si>
  <si>
    <t>Fixed Boom, XL Top 600mm, XL Bottom Arm 1600mm, SH 800mm</t>
  </si>
  <si>
    <t>213-112-116-004</t>
  </si>
  <si>
    <t>Fixed Boom, XL Top 800mm, XL Bottom Arm 1600mm, SH 800mm</t>
  </si>
  <si>
    <t>213-113-116-004</t>
  </si>
  <si>
    <t>Fixed Boom, XL Top 1000mm, XL Bottom Arm 1600mm, SH 800mm</t>
  </si>
  <si>
    <t>213-114-116-004</t>
  </si>
  <si>
    <t>Fixed Boom, XL Top 1200mm, XL Bottom Arm 1600mm, SH 800mm</t>
  </si>
  <si>
    <t>213-115-116-004</t>
  </si>
  <si>
    <t>Fixed Boom, XL Top 1400mm, XL Bottom Arm 1600mm, SH 800mm</t>
  </si>
  <si>
    <t>213-116-116-004</t>
  </si>
  <si>
    <t>Fixed Boom, XL Top 1600mm, XL Bottom Arm 1600mm, SH 800mm</t>
  </si>
  <si>
    <t>213-111-116-005</t>
  </si>
  <si>
    <t>Fixed Boom, XL Top 600mm, XL Bottom Arm 1600mm, SH 1000mm</t>
  </si>
  <si>
    <t>213-112-116-005</t>
  </si>
  <si>
    <t>Fixed Boom, XL Top 800mm, XL Bottom Arm 1600mm, SH 1000mm</t>
  </si>
  <si>
    <t>213-113-116-005</t>
  </si>
  <si>
    <t>Fixed Boom, XL Top 1000mm, XL Bottom Arm 1600mm, SH 1000mm</t>
  </si>
  <si>
    <t>213-114-116-005</t>
  </si>
  <si>
    <t>Fixed Boom, XL Top 1200mm, XL Bottom Arm 1600mm, SH 1000mm</t>
  </si>
  <si>
    <t>213-115-116-005</t>
  </si>
  <si>
    <t>Fixed Boom, XL Top 1400mm, XL Bottom Arm 1600mm, SH 1000mm</t>
  </si>
  <si>
    <t>213-116-116-005</t>
  </si>
  <si>
    <t>Fixed Boom, XL Top 1600mm, XL Bottom Arm 1600mm, SH 1000mm</t>
  </si>
  <si>
    <t>212-101-301</t>
  </si>
  <si>
    <t>Large Monitor Boom, Top Arm 600mm</t>
  </si>
  <si>
    <t>212-102-301</t>
  </si>
  <si>
    <t>Large Monitor Boom, Top Arm 800mm</t>
  </si>
  <si>
    <t>212-103-301</t>
  </si>
  <si>
    <t>Large Monitor Boom, Top Arm 1000mm</t>
  </si>
  <si>
    <t>212-104-301</t>
  </si>
  <si>
    <t>Large Monitor Boom, Top Arm 1200mm</t>
  </si>
  <si>
    <t>212-111-301</t>
  </si>
  <si>
    <t>Large Monitor Boom, XL Top Arm 600mm</t>
  </si>
  <si>
    <t>212-112-301</t>
  </si>
  <si>
    <t>Large Monitor Boom, XL Top Arm 800mm</t>
  </si>
  <si>
    <t>212-113-301</t>
  </si>
  <si>
    <t>Large Monitor Boom, XL Top Arm 1100mm</t>
  </si>
  <si>
    <t>212-114-301</t>
  </si>
  <si>
    <t>Large Monitor Boom, XL Top Arm 1200mm</t>
  </si>
  <si>
    <t>212-115-301</t>
  </si>
  <si>
    <t>Large Monitor Boom, XL Top Arm 1400mm</t>
  </si>
  <si>
    <t>212-116-301</t>
  </si>
  <si>
    <t>Large Monitor Boom, XL Top Arm 1600mm</t>
  </si>
  <si>
    <t>Additional Costs</t>
  </si>
  <si>
    <t>Boom Positions</t>
  </si>
  <si>
    <t>700-001</t>
  </si>
  <si>
    <t>Single Boom Mount</t>
  </si>
  <si>
    <t>700-002</t>
  </si>
  <si>
    <t>Tandem (1st Position)</t>
  </si>
  <si>
    <t>700-003</t>
  </si>
  <si>
    <t>Tandem (2nd Position)</t>
  </si>
  <si>
    <t>Ceiling Flange for Standard Top Arm Models</t>
  </si>
  <si>
    <t>600-001</t>
  </si>
  <si>
    <t xml:space="preserve">Ceiling Flange 100mm </t>
  </si>
  <si>
    <t>600-002</t>
  </si>
  <si>
    <t xml:space="preserve">Ceiling Flange 300mm </t>
  </si>
  <si>
    <t>600-003</t>
  </si>
  <si>
    <t xml:space="preserve">Ceiling Flange 500mm </t>
  </si>
  <si>
    <t>Ceiling Flange for XL Top Arm Models (XL)</t>
  </si>
  <si>
    <t>600-004</t>
  </si>
  <si>
    <t>600-005</t>
  </si>
  <si>
    <t>600-006</t>
  </si>
  <si>
    <t>Services</t>
  </si>
  <si>
    <t>600-007</t>
  </si>
  <si>
    <t>600-008</t>
  </si>
  <si>
    <t>600-009</t>
  </si>
  <si>
    <t>600-010</t>
  </si>
  <si>
    <t>600-011</t>
  </si>
  <si>
    <t>600-012</t>
  </si>
  <si>
    <t>Data Pass Thru</t>
  </si>
  <si>
    <t>600-013</t>
  </si>
  <si>
    <t>Tandem Mount with 1 blank cell for Future Boom Option</t>
  </si>
  <si>
    <t>600-014</t>
  </si>
  <si>
    <t>Rails (1000mm)</t>
  </si>
  <si>
    <t>600-015</t>
  </si>
  <si>
    <t>500mm Shelves (cost per shelf)</t>
  </si>
  <si>
    <t>600-016</t>
  </si>
  <si>
    <t>750mm Shelves (cost per shelf)</t>
  </si>
  <si>
    <t>600-017</t>
  </si>
  <si>
    <t>Accessory Rail</t>
  </si>
  <si>
    <t>Current 3D Tool Config (Top to bottom)</t>
  </si>
  <si>
    <t>111-001111</t>
  </si>
  <si>
    <t>7000 - LED</t>
  </si>
  <si>
    <t>U|ONE</t>
  </si>
  <si>
    <t>7000/ U|ONE Lights and all variations</t>
  </si>
  <si>
    <t>111-001112</t>
  </si>
  <si>
    <t>7000 - LED / LED</t>
  </si>
  <si>
    <t>U|ONE, U|ONE</t>
  </si>
  <si>
    <t>No light configs (not including booms)</t>
  </si>
  <si>
    <t>111-001113</t>
  </si>
  <si>
    <t>7000 - LED / LED / LED</t>
  </si>
  <si>
    <t>U|ONE, U|ONE, U|ONE</t>
  </si>
  <si>
    <t>8000/ U|002 Lights and all variations</t>
  </si>
  <si>
    <t>111-001114</t>
  </si>
  <si>
    <t>7000 - LED / FP</t>
  </si>
  <si>
    <t>U|ONE, Flat Panel</t>
  </si>
  <si>
    <t xml:space="preserve">Sim.Flex </t>
  </si>
  <si>
    <t>111-001115</t>
  </si>
  <si>
    <t>7000 - FP / LED</t>
  </si>
  <si>
    <t>Flat Panel, U|ONE</t>
  </si>
  <si>
    <t>Drop Down Options</t>
  </si>
  <si>
    <t>111-001116</t>
  </si>
  <si>
    <t>7000 - LED / LED / FP</t>
  </si>
  <si>
    <t>U|ONE, U|ONE, Flat Panel</t>
  </si>
  <si>
    <t xml:space="preserve">Light Exchange </t>
  </si>
  <si>
    <t>111-001117</t>
  </si>
  <si>
    <t>7000 - LED / LS</t>
  </si>
  <si>
    <t>U|ONE, Lead Shield</t>
  </si>
  <si>
    <t>111-001118</t>
  </si>
  <si>
    <t>7000 - LED / LED / LS</t>
  </si>
  <si>
    <t>U|ONE, U|ONE, Lead Shield</t>
  </si>
  <si>
    <t>111-001119</t>
  </si>
  <si>
    <t>7000 LC - LED</t>
  </si>
  <si>
    <t>U|ONE (Low Ceiling)</t>
  </si>
  <si>
    <t>Light Discount</t>
  </si>
  <si>
    <t>111-001120</t>
  </si>
  <si>
    <t>7000 LC - LED / LED</t>
  </si>
  <si>
    <t>U|ONE (Low Ceiling), U|ONE (Low Ceiling)</t>
  </si>
  <si>
    <t>111-001121</t>
  </si>
  <si>
    <t>7000 LC - LED / LED / LED</t>
  </si>
  <si>
    <t>U|ONE (Low Ceiling), U|ONE (Low Ceiling), U|ONE (Low Ceiling)</t>
  </si>
  <si>
    <t>111-001122</t>
  </si>
  <si>
    <t>7000 LC - LED / FP</t>
  </si>
  <si>
    <t>U|ONE (Low Ceiling), Flat Panel</t>
  </si>
  <si>
    <t>111-001123</t>
  </si>
  <si>
    <t>7000 LC - FP / LED</t>
  </si>
  <si>
    <t>Flat Panel, U|ONE (Low Ceiling)</t>
  </si>
  <si>
    <t>111-001124</t>
  </si>
  <si>
    <t>7000 LC - LED / LED / FP</t>
  </si>
  <si>
    <t>U|ONE (Low Ceiling), U|ONE (Low Ceiling), Flat Panel</t>
  </si>
  <si>
    <t>111-001125</t>
  </si>
  <si>
    <t>7000 LC - LED / LS</t>
  </si>
  <si>
    <t>U|ONE (Low Ceiling), Lead Sheild</t>
  </si>
  <si>
    <t>111-001126</t>
  </si>
  <si>
    <t>7000 LC - LED / LED / LS</t>
  </si>
  <si>
    <t>U|ONE (Low Ceiling), U|ONE (Low Ceiling), Lead Sheild</t>
  </si>
  <si>
    <t>112-001111</t>
  </si>
  <si>
    <t>No Lights - FP</t>
  </si>
  <si>
    <t>Flat Panel</t>
  </si>
  <si>
    <t>112-001112</t>
  </si>
  <si>
    <t>No Lights - LS</t>
  </si>
  <si>
    <t>Lead Sheild</t>
  </si>
  <si>
    <t>112-001113</t>
  </si>
  <si>
    <t>No Lights - FP / FP</t>
  </si>
  <si>
    <t>Flat Panel, Flat Panel</t>
  </si>
  <si>
    <t>112-001114</t>
  </si>
  <si>
    <t>No Lights - LS / LS</t>
  </si>
  <si>
    <t>Lead Sheild, Lead Sheild</t>
  </si>
  <si>
    <t>112-001115</t>
  </si>
  <si>
    <t>No Lights - FP / LS</t>
  </si>
  <si>
    <t>Flat Panel, Lead Sheild</t>
  </si>
  <si>
    <t>112-001116</t>
  </si>
  <si>
    <t>No Lights - LS / FP</t>
  </si>
  <si>
    <t>Lead Sheild, Flat Panel</t>
  </si>
  <si>
    <t>112-001117</t>
  </si>
  <si>
    <t>No Lights - TC FP (Ondal)</t>
  </si>
  <si>
    <r>
      <t xml:space="preserve">TC Flat Panel </t>
    </r>
    <r>
      <rPr>
        <sz val="12"/>
        <color indexed="10"/>
        <rFont val="Aptos Narrow"/>
        <family val="2"/>
      </rPr>
      <t>(no model currently in the tool)</t>
    </r>
  </si>
  <si>
    <t>113-001111</t>
  </si>
  <si>
    <t>8000 - LED</t>
  </si>
  <si>
    <t>U|002</t>
  </si>
  <si>
    <t>113-001112</t>
  </si>
  <si>
    <t>8000 - LED / LED</t>
  </si>
  <si>
    <t>U|002, U|002</t>
  </si>
  <si>
    <t>113-001113</t>
  </si>
  <si>
    <t>8000 - LED / LED / LED</t>
  </si>
  <si>
    <t>U|002, U|002, U|002</t>
  </si>
  <si>
    <t>113-001114</t>
  </si>
  <si>
    <t>8000 - LED / FP</t>
  </si>
  <si>
    <r>
      <rPr>
        <i/>
        <sz val="12"/>
        <color indexed="8"/>
        <rFont val="Aptos Narrow"/>
        <family val="2"/>
      </rPr>
      <t>U|002</t>
    </r>
    <r>
      <rPr>
        <sz val="12"/>
        <color theme="1"/>
        <rFont val="Aptos Narrow"/>
        <family val="2"/>
        <scheme val="minor"/>
      </rPr>
      <t>, Flat Panel</t>
    </r>
  </si>
  <si>
    <t>113-001115</t>
  </si>
  <si>
    <t>8000 - FP / LED</t>
  </si>
  <si>
    <r>
      <t xml:space="preserve">Flat Panel, </t>
    </r>
    <r>
      <rPr>
        <i/>
        <sz val="12"/>
        <color indexed="8"/>
        <rFont val="Aptos Narrow"/>
        <family val="2"/>
      </rPr>
      <t>U|002</t>
    </r>
  </si>
  <si>
    <t>113-001116</t>
  </si>
  <si>
    <t>8000 - LED / LED / FP</t>
  </si>
  <si>
    <r>
      <rPr>
        <i/>
        <sz val="12"/>
        <color indexed="8"/>
        <rFont val="Aptos Narrow"/>
        <family val="2"/>
      </rPr>
      <t>U|002, U|002</t>
    </r>
    <r>
      <rPr>
        <sz val="12"/>
        <color theme="1"/>
        <rFont val="Aptos Narrow"/>
        <family val="2"/>
        <scheme val="minor"/>
      </rPr>
      <t>, Flat Panel</t>
    </r>
  </si>
  <si>
    <t>113-001117</t>
  </si>
  <si>
    <t>8000 - LED / LS</t>
  </si>
  <si>
    <r>
      <rPr>
        <i/>
        <sz val="12"/>
        <color indexed="8"/>
        <rFont val="Aptos Narrow"/>
        <family val="2"/>
      </rPr>
      <t>U|002,</t>
    </r>
    <r>
      <rPr>
        <sz val="12"/>
        <color theme="1"/>
        <rFont val="Aptos Narrow"/>
        <family val="2"/>
        <scheme val="minor"/>
      </rPr>
      <t xml:space="preserve"> Flat Panel</t>
    </r>
  </si>
  <si>
    <t>113-001118</t>
  </si>
  <si>
    <t>8000 - LED / LED / LS</t>
  </si>
  <si>
    <r>
      <rPr>
        <i/>
        <sz val="12"/>
        <color indexed="8"/>
        <rFont val="Aptos Narrow"/>
        <family val="2"/>
      </rPr>
      <t>U|002, U|002</t>
    </r>
    <r>
      <rPr>
        <sz val="12"/>
        <color theme="1"/>
        <rFont val="Aptos Narrow"/>
        <family val="2"/>
        <scheme val="minor"/>
      </rPr>
      <t>, Lead Sheild</t>
    </r>
  </si>
  <si>
    <t>113-001119</t>
  </si>
  <si>
    <t>8000 LC - LED</t>
  </si>
  <si>
    <t>U|002 LC</t>
  </si>
  <si>
    <t>113-001120</t>
  </si>
  <si>
    <t>8000 LC - LED / LED</t>
  </si>
  <si>
    <t>U|002 LC, U|002 LC</t>
  </si>
  <si>
    <t>113-001121</t>
  </si>
  <si>
    <t>8000 LC - LED / LED / LED</t>
  </si>
  <si>
    <t>U|002LC , U|002 LC, U|002 LC</t>
  </si>
  <si>
    <t>113-001122</t>
  </si>
  <si>
    <t>8000 LC - LED / FP</t>
  </si>
  <si>
    <r>
      <rPr>
        <i/>
        <sz val="12"/>
        <color indexed="8"/>
        <rFont val="Aptos Narrow"/>
        <family val="2"/>
      </rPr>
      <t>U|002 LC</t>
    </r>
    <r>
      <rPr>
        <sz val="12"/>
        <color indexed="8"/>
        <rFont val="Aptos Narrow"/>
        <family val="2"/>
      </rPr>
      <t>, Flat Panel</t>
    </r>
  </si>
  <si>
    <t>113-001123</t>
  </si>
  <si>
    <t>8000 LC - FP / LED</t>
  </si>
  <si>
    <r>
      <rPr>
        <sz val="12"/>
        <color indexed="8"/>
        <rFont val="Aptos Narrow"/>
        <family val="2"/>
      </rPr>
      <t xml:space="preserve">Flat Panel, </t>
    </r>
    <r>
      <rPr>
        <i/>
        <sz val="12"/>
        <color indexed="8"/>
        <rFont val="Aptos Narrow"/>
        <family val="2"/>
      </rPr>
      <t>U|002 LC</t>
    </r>
  </si>
  <si>
    <t>113-001124</t>
  </si>
  <si>
    <t>8000 LC - LED / LED / FP</t>
  </si>
  <si>
    <r>
      <rPr>
        <i/>
        <sz val="12"/>
        <color indexed="8"/>
        <rFont val="Aptos Narrow"/>
        <family val="2"/>
      </rPr>
      <t>U|002 LC, U|002 LC</t>
    </r>
    <r>
      <rPr>
        <sz val="12"/>
        <color indexed="8"/>
        <rFont val="Aptos Narrow"/>
        <family val="2"/>
      </rPr>
      <t>, Flat Panel</t>
    </r>
  </si>
  <si>
    <t>113-001125</t>
  </si>
  <si>
    <t>8000 LC - LED / LS</t>
  </si>
  <si>
    <r>
      <rPr>
        <i/>
        <sz val="12"/>
        <color indexed="8"/>
        <rFont val="Aptos Narrow"/>
        <family val="2"/>
      </rPr>
      <t>U|002 LC,</t>
    </r>
    <r>
      <rPr>
        <sz val="12"/>
        <color indexed="8"/>
        <rFont val="Aptos Narrow"/>
        <family val="2"/>
      </rPr>
      <t xml:space="preserve"> Flat Panel</t>
    </r>
  </si>
  <si>
    <t>113-001126</t>
  </si>
  <si>
    <t>8000 LC - LED / LED / LS</t>
  </si>
  <si>
    <r>
      <rPr>
        <i/>
        <sz val="12"/>
        <color indexed="8"/>
        <rFont val="Aptos Narrow"/>
        <family val="2"/>
      </rPr>
      <t xml:space="preserve">U|002LC , U|002LC </t>
    </r>
    <r>
      <rPr>
        <sz val="12"/>
        <color indexed="8"/>
        <rFont val="Aptos Narrow"/>
        <family val="2"/>
      </rPr>
      <t>, Lead Sheild</t>
    </r>
  </si>
  <si>
    <t>Future Light - LED</t>
  </si>
  <si>
    <t>U|003</t>
  </si>
  <si>
    <t>Future Light - LED / LED</t>
  </si>
  <si>
    <t>U|003, U|003</t>
  </si>
  <si>
    <t>Future Light - LED / LED / LED</t>
  </si>
  <si>
    <t>U|003, U|003, U|003</t>
  </si>
  <si>
    <t>Future Light - LED / FP</t>
  </si>
  <si>
    <t>U|003, Flat Panel</t>
  </si>
  <si>
    <t>Future Light - FP / LED</t>
  </si>
  <si>
    <t>Flat Panel, U|003</t>
  </si>
  <si>
    <t>Future Light - LED / LED / FP</t>
  </si>
  <si>
    <t>U|003, U|003, Flat Panel</t>
  </si>
  <si>
    <t>Future Light - LED / LS</t>
  </si>
  <si>
    <t>Future Light - LED / LED / LS</t>
  </si>
  <si>
    <t>U|003, U|003, Lead Sheild</t>
  </si>
  <si>
    <t>Future Light LC - LED</t>
  </si>
  <si>
    <t>U|003 LC</t>
  </si>
  <si>
    <t>Future Light LC - LED / LED</t>
  </si>
  <si>
    <t>U|003 LC, U|003 LC</t>
  </si>
  <si>
    <t>Future Light LC - LED / LED / LED</t>
  </si>
  <si>
    <t>U|003LC , U|003 LC, U|003 LC</t>
  </si>
  <si>
    <t>Future Light LC - LED / FP</t>
  </si>
  <si>
    <t>U|003 LC, Flat Panel</t>
  </si>
  <si>
    <t>Future Light LC - FP / LED</t>
  </si>
  <si>
    <t>Flat Panel, U|003 LC</t>
  </si>
  <si>
    <t>Future Light LC - LED / LED / FP</t>
  </si>
  <si>
    <t>U|003 LC, U|003 LC, Flat Panel</t>
  </si>
  <si>
    <t>Future Light LC - LED / LS</t>
  </si>
  <si>
    <t>Future Light LC - LED / LED / LS</t>
  </si>
  <si>
    <t>U|003 LC , U|003 LC , Lead Sheild</t>
  </si>
  <si>
    <t>Additional Model Options (Price should be assigned to sim.flex models in addition to model price)</t>
  </si>
  <si>
    <t>114-001111</t>
  </si>
  <si>
    <t>Sim.Flex (1 Arm)</t>
  </si>
  <si>
    <t>Assign when sim.flex option is selected (with 1 arm)</t>
  </si>
  <si>
    <t>114-001112</t>
  </si>
  <si>
    <t>Sim.Flex (2 Arms)</t>
  </si>
  <si>
    <t>Assign when sim.flex option is selected (with 2 arms)</t>
  </si>
  <si>
    <t>114-001113</t>
  </si>
  <si>
    <t>Sim.Flex (3 Arms)</t>
  </si>
  <si>
    <t>Assign when sim.flex option is selected (with 3 arms)</t>
  </si>
  <si>
    <t>Additional Options (Drop Down)</t>
  </si>
  <si>
    <t>Example</t>
  </si>
  <si>
    <t>Option</t>
  </si>
  <si>
    <t>Light Single / Tandem</t>
  </si>
  <si>
    <t>Options</t>
  </si>
  <si>
    <t>Ceiling Cover</t>
  </si>
  <si>
    <t>115-001111</t>
  </si>
  <si>
    <t>Single Light (Standard)</t>
  </si>
  <si>
    <t>Wall Control</t>
  </si>
  <si>
    <t>115-001112</t>
  </si>
  <si>
    <t>Single Light (Universal)</t>
  </si>
  <si>
    <t>Integration Control</t>
  </si>
  <si>
    <t>115-001113</t>
  </si>
  <si>
    <t>In-Light Camera</t>
  </si>
  <si>
    <t>115-001114</t>
  </si>
  <si>
    <t>Disposable Adpaters</t>
  </si>
  <si>
    <t>Wall Control in Seperate Config</t>
  </si>
  <si>
    <t>115-001115</t>
  </si>
  <si>
    <t>Wall Control (Single)</t>
  </si>
  <si>
    <t>115-001116</t>
  </si>
  <si>
    <t>Wall Control (Dual)</t>
  </si>
  <si>
    <t>115-001117</t>
  </si>
  <si>
    <t>Wall Control (Triple)</t>
  </si>
  <si>
    <t>115-001118</t>
  </si>
  <si>
    <t>Wall Control (Touch)</t>
  </si>
  <si>
    <t>115-001119</t>
  </si>
  <si>
    <t>Wall Control (Single w/ Cam)</t>
  </si>
  <si>
    <t>115-001120</t>
  </si>
  <si>
    <t>Wall Control (Dual w/ Cam)</t>
  </si>
  <si>
    <t>115-001121</t>
  </si>
  <si>
    <t>Wall Control (Triple w/ Cam)</t>
  </si>
  <si>
    <t>None</t>
  </si>
  <si>
    <t>115-001122</t>
  </si>
  <si>
    <t>Storz Integration Control</t>
  </si>
  <si>
    <t>115-001123</t>
  </si>
  <si>
    <t>Wired Prep</t>
  </si>
  <si>
    <t>115-001124</t>
  </si>
  <si>
    <t>Wired</t>
  </si>
  <si>
    <t>115-001125</t>
  </si>
  <si>
    <t>Wireless</t>
  </si>
  <si>
    <t xml:space="preserve">Disposable Adapter </t>
  </si>
  <si>
    <t>115-001126</t>
  </si>
  <si>
    <t>Screw-On</t>
  </si>
  <si>
    <t>115-001127</t>
  </si>
  <si>
    <t>Slip-On</t>
  </si>
  <si>
    <t xml:space="preserve">Exchange </t>
  </si>
  <si>
    <t>116-001111</t>
  </si>
  <si>
    <t>Yes, 1 Light Exchange</t>
  </si>
  <si>
    <t>116-001112</t>
  </si>
  <si>
    <t>Yes, 2 Light Exchange</t>
  </si>
  <si>
    <t>116-001113</t>
  </si>
  <si>
    <t>Yes, 3 Light Exchange</t>
  </si>
  <si>
    <t>Additional Line Items</t>
  </si>
  <si>
    <t>117-001111</t>
  </si>
  <si>
    <t>Installation (Lights)</t>
  </si>
  <si>
    <t>117-001112</t>
  </si>
  <si>
    <t>Shipping (Lights)</t>
  </si>
  <si>
    <t>Fixed XL Model</t>
  </si>
  <si>
    <t>313-</t>
  </si>
  <si>
    <t>Fixed XXL Model</t>
  </si>
  <si>
    <t>413-XXX-XXX</t>
  </si>
  <si>
    <t>Large Monitor Boom, Top Arm 600 mm</t>
  </si>
  <si>
    <t>Large Monitor Boom, Top Arm 800 mm</t>
  </si>
  <si>
    <t>Large Monitor Boom, Top Arm 1100 mm</t>
  </si>
  <si>
    <t>Large Monitor Boom, Top Arm 1200 mm</t>
  </si>
  <si>
    <t>Large Monitor Boom, XL Top Arm 600 mm</t>
  </si>
  <si>
    <t>Large Monitor Boom, XL Top Arm 800 mm</t>
  </si>
  <si>
    <t>Large Monitor Boom, XL Top Arm 1100 mm</t>
  </si>
  <si>
    <t>Large Monitor Boom, XL Top Arm 1200 mm</t>
  </si>
  <si>
    <t>Large Monitor Boom, XL Top Arm 1400 mm</t>
  </si>
  <si>
    <t>Large Monitor Boom, XL Top Arm 1600 mm</t>
  </si>
  <si>
    <t>Standard Top Arm Models (Non XL, Non XXL)</t>
  </si>
  <si>
    <t>XL Top Arm Models (XL)</t>
  </si>
  <si>
    <t>Base Model</t>
  </si>
  <si>
    <t>Ondal List Price</t>
  </si>
  <si>
    <t>Imagine Cost</t>
  </si>
  <si>
    <t>XL Arm?</t>
  </si>
  <si>
    <t>Articulating?</t>
  </si>
  <si>
    <t>Ondal Discount</t>
  </si>
  <si>
    <t>No</t>
  </si>
  <si>
    <t>Yes</t>
  </si>
  <si>
    <t>Large Monitor Boom</t>
  </si>
  <si>
    <t>Large Monitor Boom XL</t>
  </si>
  <si>
    <t>Ondal Options</t>
  </si>
  <si>
    <t>Placeholder</t>
  </si>
  <si>
    <t>11-300-603</t>
  </si>
  <si>
    <t>Future Boom</t>
  </si>
  <si>
    <t>11-300-611</t>
  </si>
  <si>
    <t>11-300-612</t>
  </si>
  <si>
    <t>Ceiling Tube</t>
  </si>
  <si>
    <t>Top Arm</t>
  </si>
  <si>
    <t>Bottom Arm</t>
  </si>
  <si>
    <t>Articulating Bottom Arm</t>
  </si>
  <si>
    <t>Data/Blank</t>
  </si>
  <si>
    <t>Medical Gas</t>
  </si>
  <si>
    <t>Electrical (4 Duplex)</t>
  </si>
  <si>
    <t>Electrical (6 Duplex)</t>
  </si>
  <si>
    <t>Front Pass Thru</t>
  </si>
  <si>
    <t>Cicruits</t>
  </si>
  <si>
    <t>No Circuits</t>
  </si>
  <si>
    <t>(1) Circuit</t>
  </si>
  <si>
    <t>(2) Circuits</t>
  </si>
  <si>
    <t>(3) Circuits</t>
  </si>
  <si>
    <t>(4) Circuits</t>
  </si>
  <si>
    <t>(5) Circuits</t>
  </si>
  <si>
    <t>(6) Circuits</t>
  </si>
  <si>
    <t>Shelves</t>
  </si>
  <si>
    <t>No 750mm Shelves</t>
  </si>
  <si>
    <t>(1) 750mm Shelf</t>
  </si>
  <si>
    <t>(2) 750mm Shelfs</t>
  </si>
  <si>
    <t>(3) 750mm Shelfs</t>
  </si>
  <si>
    <t>(4) 750mm Shelfs</t>
  </si>
  <si>
    <t>No 500mm Shelves</t>
  </si>
  <si>
    <t>(1) 500mm Shelf</t>
  </si>
  <si>
    <t>(2) 500mm Shelfs</t>
  </si>
  <si>
    <t>(3) 500mm Shelfs</t>
  </si>
  <si>
    <t>(4) 500mm Shelfs</t>
  </si>
  <si>
    <t>Ondal Accessories</t>
  </si>
  <si>
    <t>Straight Rail</t>
  </si>
  <si>
    <t>Single Drawer for Shelf</t>
  </si>
  <si>
    <t>Double Drawer for Shelf</t>
  </si>
  <si>
    <t>Keyboard Drawer for Shelf</t>
  </si>
  <si>
    <t>Small Basket</t>
  </si>
  <si>
    <t>Small Basket - Deep</t>
  </si>
  <si>
    <t>Universal Hook</t>
  </si>
  <si>
    <t>Oxygen Tank Holder</t>
  </si>
  <si>
    <t>Light (Top Arm or Service Head)</t>
  </si>
  <si>
    <t>Large Monitor Rear Monitor Mounts</t>
  </si>
  <si>
    <t>200mm</t>
  </si>
  <si>
    <t>400mm</t>
  </si>
  <si>
    <t>600mm</t>
  </si>
  <si>
    <t>800mm</t>
  </si>
  <si>
    <t>1000mm</t>
  </si>
  <si>
    <t>Ceiling Tube XL</t>
  </si>
  <si>
    <t>1200mm</t>
  </si>
  <si>
    <t>Top Arm XL</t>
  </si>
  <si>
    <t>1400mm</t>
  </si>
  <si>
    <t>1600mm</t>
  </si>
  <si>
    <t>XL Arm (Bottom)</t>
  </si>
  <si>
    <t>Medical Gases (0x)</t>
  </si>
  <si>
    <t>Medical Gases (1x)</t>
  </si>
  <si>
    <t>Medical Gases (2x)</t>
  </si>
  <si>
    <t>Medical Gases (3x)</t>
  </si>
  <si>
    <t>Medical Gases (4x)</t>
  </si>
  <si>
    <t>Electrical (8 Duplex)</t>
  </si>
  <si>
    <t>Electrical (12 Duplex)</t>
  </si>
  <si>
    <t>Blank Preparation</t>
  </si>
  <si>
    <t>Rails/Shelves</t>
  </si>
  <si>
    <t>Part #</t>
  </si>
  <si>
    <t>Description</t>
  </si>
  <si>
    <t>Back Handle</t>
  </si>
  <si>
    <t>Multi-Function Racks (600mm)</t>
  </si>
  <si>
    <t>Multi-Function Racks (1000mm)</t>
  </si>
  <si>
    <t>Shelf (500mm)</t>
  </si>
  <si>
    <t>Shelf (750mm)</t>
  </si>
  <si>
    <t>Shelf (Handle)</t>
  </si>
  <si>
    <t>Shelf (Drawer - Small)</t>
  </si>
  <si>
    <t>Shelf (Drawer - Double)</t>
  </si>
  <si>
    <t>Shelf (Drawer - Keyboard)</t>
  </si>
  <si>
    <t>Basket (Small)</t>
  </si>
  <si>
    <t>Basket (Small - Deep)</t>
  </si>
  <si>
    <t>Light (Top of Arm)</t>
  </si>
  <si>
    <t>Light (Bottom of Service Head)</t>
  </si>
  <si>
    <t>Light (Bottom/Top)</t>
  </si>
  <si>
    <t>Ceiling Covers</t>
  </si>
  <si>
    <t>Ceiling Kit</t>
  </si>
  <si>
    <t>0250099</t>
  </si>
  <si>
    <t>Accessories for Plate</t>
  </si>
  <si>
    <t>Single Ceiling Cover</t>
  </si>
  <si>
    <t>Reduction Ring to 127mm</t>
  </si>
  <si>
    <t>Tandem Ceiling Cover</t>
  </si>
  <si>
    <t>Single Mounting Plate</t>
  </si>
  <si>
    <t>Tandem Mounting Plate</t>
  </si>
  <si>
    <t>Additional Model Options</t>
  </si>
  <si>
    <t>Base Model(s)</t>
  </si>
  <si>
    <t># of Arms</t>
  </si>
  <si>
    <t># of Lights</t>
  </si>
  <si>
    <t>TC Mount?</t>
  </si>
  <si>
    <t>Central Axis</t>
  </si>
  <si>
    <t>Turning Cover</t>
  </si>
  <si>
    <t>11-100-101</t>
  </si>
  <si>
    <t>LED</t>
  </si>
  <si>
    <t>11-100-102</t>
  </si>
  <si>
    <t>LED / LED</t>
  </si>
  <si>
    <t>11-100-103</t>
  </si>
  <si>
    <t>LED / LED / LED</t>
  </si>
  <si>
    <t>11-100-104</t>
  </si>
  <si>
    <t>LED / FP</t>
  </si>
  <si>
    <t>11-100-105</t>
  </si>
  <si>
    <t>FP / LED</t>
  </si>
  <si>
    <t>11-100-106</t>
  </si>
  <si>
    <t>LED / LED / FP</t>
  </si>
  <si>
    <t>11-100-107</t>
  </si>
  <si>
    <t>LED / LS</t>
  </si>
  <si>
    <t>11-100-108</t>
  </si>
  <si>
    <t>LED / LED / LS</t>
  </si>
  <si>
    <t>11-100-109</t>
  </si>
  <si>
    <t>FP</t>
  </si>
  <si>
    <t>11-100-110</t>
  </si>
  <si>
    <t>LS</t>
  </si>
  <si>
    <t>11-100-111</t>
  </si>
  <si>
    <t>FP / FP</t>
  </si>
  <si>
    <t>11-100-112</t>
  </si>
  <si>
    <t>LS / LS</t>
  </si>
  <si>
    <t>11-100-113</t>
  </si>
  <si>
    <t>FP / LS</t>
  </si>
  <si>
    <t>11-100-114</t>
  </si>
  <si>
    <t>LS / FP</t>
  </si>
  <si>
    <t>11-100-115</t>
  </si>
  <si>
    <t>LED (3P)</t>
  </si>
  <si>
    <t>Priced Option(s)</t>
  </si>
  <si>
    <t>Arm Selections</t>
  </si>
  <si>
    <t>Spring Arm</t>
  </si>
  <si>
    <t>Lighthead</t>
  </si>
  <si>
    <t>Lead Shield</t>
  </si>
  <si>
    <t>Power Supply</t>
  </si>
  <si>
    <t>Power Cable</t>
  </si>
  <si>
    <t>Control Cable</t>
  </si>
  <si>
    <t>11-200-101</t>
  </si>
  <si>
    <t>11-200-103</t>
  </si>
  <si>
    <t>11-200-102</t>
  </si>
  <si>
    <t>7000 Low Ceiling</t>
  </si>
  <si>
    <t>11-200-104</t>
  </si>
  <si>
    <t>8000 Low Ceiling</t>
  </si>
  <si>
    <t>11-200-105</t>
  </si>
  <si>
    <t>32" Flat Panel</t>
  </si>
  <si>
    <t>11-200-106</t>
  </si>
  <si>
    <t>11-200-107</t>
  </si>
  <si>
    <t>500 Standard (3P)</t>
  </si>
  <si>
    <t>500 Low Ceiling (3P)</t>
  </si>
  <si>
    <t>11-200-108</t>
  </si>
  <si>
    <t>8000 Standard (3P)</t>
  </si>
  <si>
    <t>8000 Low Ceiling (3P)</t>
  </si>
  <si>
    <t>11-200-109</t>
  </si>
  <si>
    <t>FP (TC-Ondal)</t>
  </si>
  <si>
    <t>11-200-110</t>
  </si>
  <si>
    <t>LED Upgrade</t>
  </si>
  <si>
    <t>11-200-111</t>
  </si>
  <si>
    <t>4500 Exam Light</t>
  </si>
  <si>
    <t>Ceiling Drop Tubes</t>
  </si>
  <si>
    <t>11-300-001</t>
  </si>
  <si>
    <t>150mm</t>
  </si>
  <si>
    <t>11-300-002</t>
  </si>
  <si>
    <t>11-300-003</t>
  </si>
  <si>
    <t>250mm</t>
  </si>
  <si>
    <t>11-300-004</t>
  </si>
  <si>
    <t>11-300-005</t>
  </si>
  <si>
    <t>350mm</t>
  </si>
  <si>
    <t>11-300-006</t>
  </si>
  <si>
    <t>11-300-007</t>
  </si>
  <si>
    <t>450mm</t>
  </si>
  <si>
    <t>11-300-008</t>
  </si>
  <si>
    <t>11-300-009</t>
  </si>
  <si>
    <t>Ondal TC Flange</t>
  </si>
  <si>
    <t>11-300-010</t>
  </si>
  <si>
    <t>Lighthead Upgrade Only</t>
  </si>
  <si>
    <t>Handle Adapter</t>
  </si>
  <si>
    <t>Lintex Parts</t>
  </si>
  <si>
    <t>Installation</t>
  </si>
  <si>
    <t>Sim.Flex Arms</t>
  </si>
  <si>
    <t>Mounting Plate</t>
  </si>
  <si>
    <t>No Wall Control</t>
  </si>
  <si>
    <t>11-300-101</t>
  </si>
  <si>
    <t>Wall Control in Separate Config</t>
  </si>
  <si>
    <t>11-300-102</t>
  </si>
  <si>
    <t>11-300-103</t>
  </si>
  <si>
    <t>11-300-104</t>
  </si>
  <si>
    <t>11-300-105</t>
  </si>
  <si>
    <t>11-300-106</t>
  </si>
  <si>
    <t>11-300-107</t>
  </si>
  <si>
    <t>11-300-108</t>
  </si>
  <si>
    <t>Device Control</t>
  </si>
  <si>
    <t>No Integration Control</t>
  </si>
  <si>
    <t>11-300-201</t>
  </si>
  <si>
    <t>No Camera Prep</t>
  </si>
  <si>
    <t>11-300-301</t>
  </si>
  <si>
    <t>Wired Camera Prep</t>
  </si>
  <si>
    <t>11-300-302</t>
  </si>
  <si>
    <t>Wired Camera</t>
  </si>
  <si>
    <t>11-300-303</t>
  </si>
  <si>
    <t>Wireless Camera</t>
  </si>
  <si>
    <t>Disposable Adapters</t>
  </si>
  <si>
    <t>No Handle Adapter(s)</t>
  </si>
  <si>
    <t>11-300-401</t>
  </si>
  <si>
    <t>Screw-On Adapter(s)</t>
  </si>
  <si>
    <t>11-300-402</t>
  </si>
  <si>
    <t>Slip-On Adapter(s)</t>
  </si>
  <si>
    <t>Sim.Flex Arm(s)</t>
  </si>
  <si>
    <t>Standard Armset</t>
  </si>
  <si>
    <t>11-300-501</t>
  </si>
  <si>
    <t>11-300-502</t>
  </si>
  <si>
    <t>11-300-503</t>
  </si>
  <si>
    <t>Pre-Installation</t>
  </si>
  <si>
    <t>11-300-601</t>
  </si>
  <si>
    <t>11-300-602</t>
  </si>
  <si>
    <t>11-400-101</t>
  </si>
  <si>
    <t>Shipping</t>
  </si>
  <si>
    <t>11-500-101</t>
  </si>
  <si>
    <t>SIMEON PART NUMBERS</t>
  </si>
  <si>
    <t>Single Armsets</t>
  </si>
  <si>
    <t>Simeon 2024 List Price</t>
  </si>
  <si>
    <t>Simeon 2025 List Price</t>
  </si>
  <si>
    <t>Notes</t>
  </si>
  <si>
    <t>111-0017102</t>
  </si>
  <si>
    <t>Central axis single - 9-pole</t>
  </si>
  <si>
    <t>LED (Standard)</t>
  </si>
  <si>
    <t>111-0017104</t>
  </si>
  <si>
    <t>Central axis single - TFT AC3000</t>
  </si>
  <si>
    <t>FP (Standard)</t>
  </si>
  <si>
    <t>111-0017139 </t>
  </si>
  <si>
    <t>Central axis single - 9-pole SL 1300mm</t>
  </si>
  <si>
    <t>LED (Extended)</t>
  </si>
  <si>
    <t>111-0017156 </t>
  </si>
  <si>
    <t>Central axis single - TFT AC3000 SL 1062mm</t>
  </si>
  <si>
    <t>FP (Extended)</t>
  </si>
  <si>
    <t>111-0017142 </t>
  </si>
  <si>
    <t>Central axis single - 3-pole SL 1040mm</t>
  </si>
  <si>
    <t>LED (3-Pole)</t>
  </si>
  <si>
    <t>Dual Armsets</t>
  </si>
  <si>
    <t>111-0017171</t>
  </si>
  <si>
    <t>Central axis double - 9-pole / TFT AC3000</t>
  </si>
  <si>
    <t>FP/LED (Standard)</t>
  </si>
  <si>
    <t>111-0017125</t>
  </si>
  <si>
    <t>Central axis double - 9-pole / 9-pole</t>
  </si>
  <si>
    <t>LED/LED (Standard)</t>
  </si>
  <si>
    <t>111-0017222 </t>
  </si>
  <si>
    <t>Central axis double - TFT AC3000 / 9pole</t>
  </si>
  <si>
    <t>LED/FP (Standard)</t>
  </si>
  <si>
    <t>111-0017191 </t>
  </si>
  <si>
    <t>Central axis double - 9-pole SL 925mm / TFT AC3000 SL 1062mm</t>
  </si>
  <si>
    <t>FP/LED (Extended)</t>
  </si>
  <si>
    <t>111-0017164 </t>
  </si>
  <si>
    <t>Central axis double - 9-pole SL 1150mm / 9-pole SL 1300mm</t>
  </si>
  <si>
    <t>LED/LED (Extended)</t>
  </si>
  <si>
    <t>111-0017205 </t>
  </si>
  <si>
    <t>Central axis double - TFT AC3000 SL 822mm / TFT AC3000 SL 1062mm</t>
  </si>
  <si>
    <t>FP/FP (Extended)</t>
  </si>
  <si>
    <t>Triple Armsets</t>
  </si>
  <si>
    <t>111-0017126</t>
  </si>
  <si>
    <t>Central axis triple - 9-pole / 9-pole / 9-pole</t>
  </si>
  <si>
    <t>LED/LED/LED (Standard)</t>
  </si>
  <si>
    <t>111-0017181 </t>
  </si>
  <si>
    <t>Central axis triple - 9-pole / 9-pole / TFT AC3000</t>
  </si>
  <si>
    <t>FP/LED/LED (Standard)</t>
  </si>
  <si>
    <t>111-0017132 </t>
  </si>
  <si>
    <t>Central axis triple - TFT AC3000 / 9-pole / 9-pole</t>
  </si>
  <si>
    <t>LED/LED/FP (Standard)</t>
  </si>
  <si>
    <t>111-0017163 </t>
  </si>
  <si>
    <t>Central axis triple - 9-pole SL 925mm / 9-pole SL 1040mm / 9-pole SL 1150mm</t>
  </si>
  <si>
    <t>LED/LED/LED (Extended)</t>
  </si>
  <si>
    <t>Spring Arms</t>
  </si>
  <si>
    <t>131-0017274</t>
  </si>
  <si>
    <t>Spring arm 3-pole 10-20kg</t>
  </si>
  <si>
    <t>3-Pole Standard</t>
  </si>
  <si>
    <t>131-0017280</t>
  </si>
  <si>
    <t>Spring arm 3-pole low ceiling</t>
  </si>
  <si>
    <t>3-Pole Low Ceiling</t>
  </si>
  <si>
    <t>131-0017276</t>
  </si>
  <si>
    <t>Spring arm 9-pole 10-20kg</t>
  </si>
  <si>
    <t>Standard</t>
  </si>
  <si>
    <t>131-0017282</t>
  </si>
  <si>
    <t>Spring arm 9-pole low ceiling</t>
  </si>
  <si>
    <t>Low Ceiling</t>
  </si>
  <si>
    <t>131-0017279</t>
  </si>
  <si>
    <t>Spring arm TFT 3075 20-30kg</t>
  </si>
  <si>
    <t>8000 Lightheads</t>
  </si>
  <si>
    <t>141-0019525 </t>
  </si>
  <si>
    <t>Sim.LED 8000 SC 3p</t>
  </si>
  <si>
    <t>141-0019527 </t>
  </si>
  <si>
    <t>Sim.LED 8000 SC 3p low ceiling</t>
  </si>
  <si>
    <t>141-0019583</t>
  </si>
  <si>
    <t>Sim.LED 8000 SC 9p</t>
  </si>
  <si>
    <t>Sandard</t>
  </si>
  <si>
    <t>141-0019587</t>
  </si>
  <si>
    <t>Sim.LED 8000 SC 9p low ceiling</t>
  </si>
  <si>
    <t>7000 Lightheads</t>
  </si>
  <si>
    <t>141-0014756</t>
  </si>
  <si>
    <t>Sim.LED 7000 9-pole SC</t>
  </si>
  <si>
    <t>141-0014757</t>
  </si>
  <si>
    <t>Sim.LED 7000 9-pole SC low ceiling</t>
  </si>
  <si>
    <t>141-0014751</t>
  </si>
  <si>
    <t>Sim.LED 7000 3-pole SC low ceiling</t>
  </si>
  <si>
    <t>500 Lighthead</t>
  </si>
  <si>
    <t>141-0015615 </t>
  </si>
  <si>
    <t>Sim.LED 500 3-pole SC </t>
  </si>
  <si>
    <t>141-0015616 </t>
  </si>
  <si>
    <t>Sim.LED 500 3-pole SC low ceiling </t>
  </si>
  <si>
    <t>Exam Lights</t>
  </si>
  <si>
    <t>161-0013148 </t>
  </si>
  <si>
    <t>Sim.LED 4500 Ceiling version</t>
  </si>
  <si>
    <t>Handle Adapters</t>
  </si>
  <si>
    <t>142-0015720</t>
  </si>
  <si>
    <t>Focus Handle for Covidien Handle for disposable cover</t>
  </si>
  <si>
    <t>3600-104</t>
  </si>
  <si>
    <t>Litex Manufacturing ULH Adapter</t>
  </si>
  <si>
    <t>3650-63</t>
  </si>
  <si>
    <t>Litex Manufacturing ULA Adapter</t>
  </si>
  <si>
    <t>112-0003198</t>
  </si>
  <si>
    <t>Ceiling cover 620x80mm for ceiling tube 125mm</t>
  </si>
  <si>
    <t>111-0014784</t>
  </si>
  <si>
    <t>Turning cover for TFT ceiling tube 125mm</t>
  </si>
  <si>
    <t>112-0002966</t>
  </si>
  <si>
    <t>Ceiling plate 380 x 380 (ceiling tube 125 mm)</t>
  </si>
  <si>
    <t>PIP1NS2485</t>
  </si>
  <si>
    <t>Pre-Installation Plate Maxim Standard Single</t>
  </si>
  <si>
    <t>Cabling</t>
  </si>
  <si>
    <t>111-0015201</t>
  </si>
  <si>
    <t>Power supply plate Sim.LED OR Lights</t>
  </si>
  <si>
    <t>111-0020873</t>
  </si>
  <si>
    <t>Power supply plate Sim.LED OR Lights ACA (5p/9p)</t>
  </si>
  <si>
    <t>142-0006928</t>
  </si>
  <si>
    <t>Power supply cable for external installation 18m</t>
  </si>
  <si>
    <t>142-0006924</t>
  </si>
  <si>
    <t>Data cable (CAN) 18m</t>
  </si>
  <si>
    <t>Wall Controls</t>
  </si>
  <si>
    <t>182-0019487 </t>
  </si>
  <si>
    <t>Wall Control Touch </t>
  </si>
  <si>
    <t>141-0014127 </t>
  </si>
  <si>
    <t>Wall control panel for Sim.LED</t>
  </si>
  <si>
    <t>141-0014131 </t>
  </si>
  <si>
    <t>Wall control panel for 2x Sim.LED</t>
  </si>
  <si>
    <t>141-0014133 </t>
  </si>
  <si>
    <t>Wall control panel for 3x Sim.LED</t>
  </si>
  <si>
    <t>141-0014129 </t>
  </si>
  <si>
    <t>Wall control panel for Sim.LED + Sim.CAM HD/HD Wireless</t>
  </si>
  <si>
    <t>141-0014132 </t>
  </si>
  <si>
    <t>Wall control panel for 2x Sim.LED + Sim.CAM HD/HD Wireless</t>
  </si>
  <si>
    <t>141-0014134 </t>
  </si>
  <si>
    <t>Wall control panel for 3x Sim.LED + Sim.CAM HD/HD Wireless</t>
  </si>
  <si>
    <t>In-Light Cameras</t>
  </si>
  <si>
    <t>141-0017871 SET </t>
  </si>
  <si>
    <t>Set Sim.CAM HD Interface box and pre-cabling set</t>
  </si>
  <si>
    <t>141-0017700 SET </t>
  </si>
  <si>
    <t>Set Sim.CAM HD 30x Zoom</t>
  </si>
  <si>
    <t>141-0017425 SET </t>
  </si>
  <si>
    <t>Set Sim.CAM HD Wireless 30x Zoom</t>
  </si>
  <si>
    <t>141-0017066 </t>
  </si>
  <si>
    <t>Reusable handle for Sim.CAM HD/HD Wireless</t>
  </si>
  <si>
    <t>Flat Panel Arms</t>
  </si>
  <si>
    <t>151-0016897 </t>
  </si>
  <si>
    <t>Sim.SCREEN monitor holder for 32" single monitor AC3000 </t>
  </si>
  <si>
    <t>Lead Sheilds</t>
  </si>
  <si>
    <t>DIEN01</t>
  </si>
  <si>
    <t>Mavig Shield &amp; Spring arm OT54001</t>
  </si>
  <si>
    <t>Ondal "TC" Flat Panel</t>
  </si>
  <si>
    <t>TBD</t>
  </si>
  <si>
    <t>Misc</t>
  </si>
  <si>
    <t>191-0015008 </t>
  </si>
  <si>
    <t>Sim.INTERFACE for MC Synchronisation and Storz OR1 integration</t>
  </si>
  <si>
    <t>Ceiling Tubes</t>
  </si>
  <si>
    <t>CEILING TUBE - with Anti.BAC®</t>
  </si>
  <si>
    <t>112-0010345 </t>
  </si>
  <si>
    <t>150 mm (Ø18)</t>
  </si>
  <si>
    <t>112-0003325</t>
  </si>
  <si>
    <t>112-0010346 </t>
  </si>
  <si>
    <t>200 mm (Ø18)</t>
  </si>
  <si>
    <t>112-0003326</t>
  </si>
  <si>
    <t>112-0010347 </t>
  </si>
  <si>
    <t>250 mm (Ø18)</t>
  </si>
  <si>
    <t>112-0003327</t>
  </si>
  <si>
    <t>112-0010348 </t>
  </si>
  <si>
    <t>300 mm (Ø18)</t>
  </si>
  <si>
    <t>112-0003328</t>
  </si>
  <si>
    <t>112-0010349 </t>
  </si>
  <si>
    <t>350 mm (Ø18)</t>
  </si>
  <si>
    <t>112-0003329</t>
  </si>
  <si>
    <t>112-0010350 </t>
  </si>
  <si>
    <t>400 mm (Ø18)</t>
  </si>
  <si>
    <t>112-0003330</t>
  </si>
  <si>
    <t>112-0010351 </t>
  </si>
  <si>
    <t>450 mm (Ø18)</t>
  </si>
  <si>
    <t>112-0003331</t>
  </si>
  <si>
    <t>112-0010354 </t>
  </si>
  <si>
    <t>500 mm (Ø18)</t>
  </si>
  <si>
    <t>112-0003332</t>
  </si>
  <si>
    <t>112-0010356 </t>
  </si>
  <si>
    <t>550 mm (Ø18)</t>
  </si>
  <si>
    <t>112-0003333</t>
  </si>
  <si>
    <t>112-0010357 </t>
  </si>
  <si>
    <t>600 mm (Ø18)</t>
  </si>
  <si>
    <t>112-0003334</t>
  </si>
  <si>
    <t>112-0010358 </t>
  </si>
  <si>
    <t>650 mm (Ø18)</t>
  </si>
  <si>
    <t>112-0003335</t>
  </si>
  <si>
    <t>112-0010359 </t>
  </si>
  <si>
    <t>700 mm (Ø18)</t>
  </si>
  <si>
    <t>112-0003336</t>
  </si>
  <si>
    <t>112-0014028 </t>
  </si>
  <si>
    <t>150 mm TFT (Ø18)</t>
  </si>
  <si>
    <t>112-0015064</t>
  </si>
  <si>
    <t>150 mm TFT</t>
  </si>
  <si>
    <t>112-0014335 </t>
  </si>
  <si>
    <t>200 mm TFT (Ø18)</t>
  </si>
  <si>
    <t>112-0015120</t>
  </si>
  <si>
    <t>200 mm TFT</t>
  </si>
  <si>
    <t>112-0015076 </t>
  </si>
  <si>
    <t>250 mm TFT (Ø18)</t>
  </si>
  <si>
    <t>112-0015121</t>
  </si>
  <si>
    <t>250 mm TFT</t>
  </si>
  <si>
    <t>112-0015147 </t>
  </si>
  <si>
    <t>300 mm TFT (Ø18)</t>
  </si>
  <si>
    <t>112-0015122</t>
  </si>
  <si>
    <t>300 mm TFT</t>
  </si>
  <si>
    <t>112-0015148 </t>
  </si>
  <si>
    <t>350 mm TFT (Ø18)</t>
  </si>
  <si>
    <t>112-0015123</t>
  </si>
  <si>
    <t>350 mm TFT</t>
  </si>
  <si>
    <t>112-0015149 </t>
  </si>
  <si>
    <t>400 mm TFT (Ø18)</t>
  </si>
  <si>
    <t>112-0015124</t>
  </si>
  <si>
    <t>400 mm TFT</t>
  </si>
  <si>
    <t>112-0015150 </t>
  </si>
  <si>
    <t>450 mm TFT (Ø18)</t>
  </si>
  <si>
    <t>112-0015125</t>
  </si>
  <si>
    <t>450 mm TFT</t>
  </si>
  <si>
    <t>112-0015151 </t>
  </si>
  <si>
    <t>500 mm TFT (Ø18)</t>
  </si>
  <si>
    <t>112-0015126</t>
  </si>
  <si>
    <t>500 mm TFT</t>
  </si>
  <si>
    <t>112-0015152 </t>
  </si>
  <si>
    <t>550 mm TFT (Ø18)</t>
  </si>
  <si>
    <t>112-0015127</t>
  </si>
  <si>
    <t>550 mm TFT</t>
  </si>
  <si>
    <t>112-0015153 </t>
  </si>
  <si>
    <t>600 mm TFT (Ø18)</t>
  </si>
  <si>
    <t>112-0015128</t>
  </si>
  <si>
    <t>600 mm TFT</t>
  </si>
  <si>
    <t>112-0015154 </t>
  </si>
  <si>
    <t>650 mm TFT (Ø18)</t>
  </si>
  <si>
    <t>112-0015129</t>
  </si>
  <si>
    <t>650 mm TFT</t>
  </si>
  <si>
    <t>112-0015155 </t>
  </si>
  <si>
    <t>700 mm TFT (Ø18)</t>
  </si>
  <si>
    <t>112-0015130</t>
  </si>
  <si>
    <t>700 mm TFT</t>
  </si>
  <si>
    <t>CEILING BEAM FOR Sim.FLEX SYSTEM including turning cover - with Anti.BAC®</t>
  </si>
  <si>
    <t>111-0014284 </t>
  </si>
  <si>
    <t>150 mm ceiling beam Sim.FLEX (Ø18)</t>
  </si>
  <si>
    <t>111-0014255</t>
  </si>
  <si>
    <t>150 mm ceiling beam Sim.FLEX</t>
  </si>
  <si>
    <t>111-0014285 </t>
  </si>
  <si>
    <t>200 mm ceiling beam Sim.FLEX (Ø18)</t>
  </si>
  <si>
    <t>111-0014256</t>
  </si>
  <si>
    <t>200 mm ceiling beam Sim.FLEX</t>
  </si>
  <si>
    <t>111-0014286 </t>
  </si>
  <si>
    <t>250 mm ceiling beam Sim.FLEX (Ø18)</t>
  </si>
  <si>
    <t>111-0014257</t>
  </si>
  <si>
    <t>250 mm ceiling beam Sim.FLEX</t>
  </si>
  <si>
    <t>111-0014287 </t>
  </si>
  <si>
    <t>300 mm ceiling beam Sim.FLEX (Ø18)</t>
  </si>
  <si>
    <t>111-0014258</t>
  </si>
  <si>
    <t>300 mm ceiling beam Sim.FLEX</t>
  </si>
  <si>
    <t>111-0014288 </t>
  </si>
  <si>
    <t>350 mm ceiling beam Sim.FLEX (Ø18)</t>
  </si>
  <si>
    <t>111-0014259</t>
  </si>
  <si>
    <t>350 mm ceiling beam Sim.FLEX</t>
  </si>
  <si>
    <t>111-0014289 </t>
  </si>
  <si>
    <t>400 mm ceiling beam Sim.FLEX (Ø18)</t>
  </si>
  <si>
    <t>111-0014260</t>
  </si>
  <si>
    <t>400 mm ceiling beam Sim.FLEX</t>
  </si>
  <si>
    <t>111-0014290 </t>
  </si>
  <si>
    <t>450 mm ceiling beam Sim.FLEX (Ø18)</t>
  </si>
  <si>
    <t>111-0014261</t>
  </si>
  <si>
    <t>450 mm ceiling beam Sim.FLEX</t>
  </si>
  <si>
    <t>111-0014291 </t>
  </si>
  <si>
    <t>500 mm ceiling beam Sim.FLEX (Ø18)</t>
  </si>
  <si>
    <t>111-0014262</t>
  </si>
  <si>
    <t>500 mm ceiling beam Sim.FLEX</t>
  </si>
  <si>
    <t>111-0014292 </t>
  </si>
  <si>
    <t>550 mm ceiling beam Sim.FLEX (Ø18)</t>
  </si>
  <si>
    <t>111-0014263</t>
  </si>
  <si>
    <t>550 mm ceiling beam Sim.FLEX</t>
  </si>
  <si>
    <t>111-0014293 </t>
  </si>
  <si>
    <t>600 mm ceiling beam Sim.FLEX (Ø18)</t>
  </si>
  <si>
    <t>111-0014264</t>
  </si>
  <si>
    <t>600 mm ceiling beam Sim.FLEX</t>
  </si>
  <si>
    <t>111-0014294 </t>
  </si>
  <si>
    <t>650 mm ceiling beam Sim.FLEX (Ø18)</t>
  </si>
  <si>
    <t>111-0014265</t>
  </si>
  <si>
    <t>650 mm ceiling beam Sim.FLEX</t>
  </si>
  <si>
    <t>111-0014213</t>
  </si>
  <si>
    <t>Sim. FLEX Adapter ceiling tube 125</t>
  </si>
  <si>
    <t>Ø125mm</t>
  </si>
  <si>
    <t>111-0013754 </t>
  </si>
  <si>
    <t>Sim.FLEX central axis single 800mm 9-pole </t>
  </si>
  <si>
    <t>111-0014033</t>
  </si>
  <si>
    <t>Sim. FLEX Adapter TFT ceiling tube 125 with turning cover</t>
  </si>
  <si>
    <t>111-0013755 </t>
  </si>
  <si>
    <t>Sim.FLEX central axis single 950mm 9-pole </t>
  </si>
  <si>
    <t>111-0013756 </t>
  </si>
  <si>
    <t>Sim.FLEX central axis single 1100mm 9-pole </t>
  </si>
  <si>
    <t>111-0013757 </t>
  </si>
  <si>
    <t>Sim.FLEX central axis single 1250mm 9-pole </t>
  </si>
  <si>
    <t>111-0013758 </t>
  </si>
  <si>
    <t>Sim.FLEX central axis single 1400mm 9-pole </t>
  </si>
  <si>
    <t>111-0013989 </t>
  </si>
  <si>
    <t>Sim.FLEX central axis single 1500mm 9-pole </t>
  </si>
  <si>
    <t>111-0013990 </t>
  </si>
  <si>
    <t>Sim.FLEX central axis single 1600mm 9-pole </t>
  </si>
  <si>
    <t>111-0013991 </t>
  </si>
  <si>
    <t>Sim.FLEX central axis single 1700mm 9-pole </t>
  </si>
  <si>
    <t>111-0013992 </t>
  </si>
  <si>
    <t>Sim.FLEX central axis single 1800mm 9-pole </t>
  </si>
  <si>
    <t>111-0013993 </t>
  </si>
  <si>
    <t>Sim.FLEX central axis single 1900mm 9-pole </t>
  </si>
  <si>
    <t>111-0013759 </t>
  </si>
  <si>
    <t>Sim.FLEX central axis single 2000mm 9-pole </t>
  </si>
  <si>
    <t>111-0013598 </t>
  </si>
  <si>
    <t>Sim.FLEX central axis single 800mm AC3000 </t>
  </si>
  <si>
    <t>111-0013606 </t>
  </si>
  <si>
    <t>Sim.FLEX central axis single 950mm AC3000 </t>
  </si>
  <si>
    <t>111-0013607 </t>
  </si>
  <si>
    <t>Sim.FLEX central axis single 1100mm AC3000 </t>
  </si>
  <si>
    <t>111-0013608 </t>
  </si>
  <si>
    <t>Sim.FLEX central axis single 1250mm AC3000 </t>
  </si>
  <si>
    <t>111-0013609 </t>
  </si>
  <si>
    <t>Sim.FLEX central axis single 1400mm AC3000 max. 30kg</t>
  </si>
  <si>
    <t>Disconting Deafults</t>
  </si>
  <si>
    <t>Cameras</t>
  </si>
  <si>
    <t>Exam lights</t>
  </si>
  <si>
    <t>OR lights</t>
  </si>
  <si>
    <t>Simeon List Price</t>
  </si>
  <si>
    <t>Arm 1 Pkg</t>
  </si>
  <si>
    <t>Arm 2 Pkg</t>
  </si>
  <si>
    <t>Arm 3 Pkg</t>
  </si>
  <si>
    <t>Arm 4 Pkg</t>
  </si>
  <si>
    <t>500 LC - LED (3P)</t>
  </si>
  <si>
    <t>TC FP (Ondal)</t>
  </si>
  <si>
    <t>(1) LIGHT EXCHANGE</t>
  </si>
  <si>
    <t>(2) LIGHTS EXCHANGE</t>
  </si>
  <si>
    <t>8000 LC (3P) - LED</t>
  </si>
  <si>
    <t>Options / Price Drivers</t>
  </si>
  <si>
    <t>Simeon List</t>
  </si>
  <si>
    <t>3rd Party</t>
  </si>
  <si>
    <t>Low Ceiling Lighthead Option</t>
  </si>
  <si>
    <t>Sim.Flex Custom Arm Option</t>
  </si>
  <si>
    <t>End Effectors</t>
  </si>
  <si>
    <t>End Item</t>
  </si>
  <si>
    <t>Cables</t>
  </si>
  <si>
    <t>Total</t>
  </si>
  <si>
    <t>500 LC (3P)</t>
  </si>
  <si>
    <t>7000 LC</t>
  </si>
  <si>
    <t>8000 LC</t>
  </si>
  <si>
    <t>8000 LC (3P)</t>
  </si>
  <si>
    <t>8000 LED</t>
  </si>
  <si>
    <t>7000 LED</t>
  </si>
  <si>
    <t>500 LED</t>
  </si>
  <si>
    <t>8000 Lightheads (3P)</t>
  </si>
  <si>
    <t>Spring Arms (3P)</t>
  </si>
  <si>
    <t>131-0017280 </t>
  </si>
  <si>
    <t>131-0017274 </t>
  </si>
  <si>
    <r>
      <rPr>
        <sz val="8"/>
        <rFont val="Arial"/>
        <family val="2"/>
      </rPr>
      <t>142-0015720</t>
    </r>
  </si>
  <si>
    <r>
      <rPr>
        <sz val="8"/>
        <rFont val="Arial"/>
        <family val="2"/>
      </rPr>
      <t>Focus Handle for Covidien Handle for disposable cover</t>
    </r>
  </si>
  <si>
    <t xml:space="preserve">Single Mount - Boom </t>
  </si>
  <si>
    <t>Tandem Mount</t>
  </si>
  <si>
    <t xml:space="preserve">600mm </t>
  </si>
  <si>
    <t xml:space="preserve">800mm </t>
  </si>
  <si>
    <t xml:space="preserve">1000mm </t>
  </si>
  <si>
    <t xml:space="preserve">1400mm </t>
  </si>
  <si>
    <t>Electrical (2 Duplex)</t>
  </si>
  <si>
    <t>Electrical (3 Duplex)</t>
  </si>
  <si>
    <t>Boom - Single Square Ceiling Cover</t>
  </si>
  <si>
    <t xml:space="preserve">Boom - Ceiling Flange (XL) </t>
  </si>
  <si>
    <t>Boom - Powered Bottom Arm</t>
  </si>
  <si>
    <t>Boom - Service Head</t>
  </si>
  <si>
    <t>Boom - Fixed Bottom Arm</t>
  </si>
  <si>
    <t>Boom - Spring Bottom Arm (XL)</t>
  </si>
  <si>
    <t>Boom - Arm (Powered XL)</t>
  </si>
  <si>
    <t>Boom - Spring Bottom Arm</t>
  </si>
  <si>
    <t>Boom - Fixed Top Arm</t>
  </si>
  <si>
    <t>Boom - Fixed Bottom Arm (XL)</t>
  </si>
  <si>
    <t>Boom - Ceiling Flange</t>
  </si>
  <si>
    <t xml:space="preserve"> Boom - Fixed Top Arm (XL)</t>
  </si>
  <si>
    <t>Lights - U | ONE</t>
  </si>
  <si>
    <t>Lights - U | ONE Lights - U | ONE</t>
  </si>
  <si>
    <t>Lights - Single Ceiling Cover (Slim)</t>
  </si>
  <si>
    <t>Lights - Single Ceiling Cover (Standard)</t>
  </si>
  <si>
    <t>Lights - Horizontal Arm (SimFlex)</t>
  </si>
  <si>
    <t>Lights - Flat Panel Carrier</t>
  </si>
  <si>
    <t>Lights - U | 002 (Low Ceiling)</t>
  </si>
  <si>
    <t>Lights -U|ONE,Lights - U|ONE,Lights - U|ONE</t>
  </si>
  <si>
    <t>Lights -U|ONE, Lights - Flat Panel Carrier</t>
  </si>
  <si>
    <t>Lights - Flat Panel Carrier, Lights -U|ONE</t>
  </si>
  <si>
    <t>Lights -U|ONE,Lights - U|ONE,Lights - Flat Panel Carrier</t>
  </si>
  <si>
    <t>Lights -U|ONE, Lights - U|ONE, Lights - Flat Panel Carrier</t>
  </si>
  <si>
    <t>Lights - U|ONE (Low Ceiling)</t>
  </si>
  <si>
    <t>Lights - U|ONE (Low Ceiling),Lights - U|ONE (Low Ceiling)</t>
  </si>
  <si>
    <t>Lights - U|ONE (Low Ceiling),Lights - U|ONE (Low Ceiling),Lights - U|ONE (Low Ceiling)</t>
  </si>
  <si>
    <t>Lights - U|ONE (Low Ceiling), Lights - Flat Panel Carrier</t>
  </si>
  <si>
    <t>Lights - Flat Panel Carrier, Lights - U|ONE (Low Ceiling)</t>
  </si>
  <si>
    <t>Lights - U|ONE (Low Ceiling),Lights - U|ONE (Low Ceiling), Lights - Flat Panel Carrier</t>
  </si>
  <si>
    <t>Lights - Flat Panel Carrier, Lights - Flat Panel Carrier</t>
  </si>
  <si>
    <t>Lights - U|002 Standard</t>
  </si>
  <si>
    <t>Lights - U|002,Lights - U|002</t>
  </si>
  <si>
    <t>Lights - U|002,Lights -  U|002, Lights - U|002</t>
  </si>
  <si>
    <r>
      <rPr>
        <i/>
        <sz val="12"/>
        <color indexed="8"/>
        <rFont val="Aptos Narrow"/>
        <family val="2"/>
      </rPr>
      <t>Lights - U|002</t>
    </r>
    <r>
      <rPr>
        <sz val="12"/>
        <color theme="1"/>
        <rFont val="Aptos Narrow"/>
        <family val="2"/>
        <scheme val="minor"/>
      </rPr>
      <t>, Lights - Flat Panel Carrier</t>
    </r>
  </si>
  <si>
    <r>
      <t xml:space="preserve">Lights - Flat Panel Carrier,Lights - </t>
    </r>
    <r>
      <rPr>
        <i/>
        <sz val="12"/>
        <color indexed="8"/>
        <rFont val="Aptos Narrow"/>
        <family val="2"/>
      </rPr>
      <t>U|002</t>
    </r>
  </si>
  <si>
    <r>
      <rPr>
        <i/>
        <sz val="12"/>
        <color indexed="8"/>
        <rFont val="Aptos Narrow"/>
        <family val="2"/>
      </rPr>
      <t>Lights - U|002,Lights -  U|002</t>
    </r>
    <r>
      <rPr>
        <sz val="12"/>
        <color theme="1"/>
        <rFont val="Aptos Narrow"/>
        <family val="2"/>
        <scheme val="minor"/>
      </rPr>
      <t>, Lights - Flat Panel Carrier</t>
    </r>
  </si>
  <si>
    <r>
      <rPr>
        <i/>
        <sz val="12"/>
        <color indexed="8"/>
        <rFont val="Aptos Narrow"/>
        <family val="2"/>
      </rPr>
      <t>Lights - U|002,</t>
    </r>
    <r>
      <rPr>
        <sz val="12"/>
        <color theme="1"/>
        <rFont val="Aptos Narrow"/>
        <family val="2"/>
        <scheme val="minor"/>
      </rPr>
      <t xml:space="preserve"> Lights - Flat Panel Carrier</t>
    </r>
  </si>
  <si>
    <t>Lights - U|002 LC, Lights - U|002 LC</t>
  </si>
  <si>
    <t>Lights - U|002LC ,Lights -  U|002 LC,Lights -  U|002 LC</t>
  </si>
  <si>
    <r>
      <rPr>
        <i/>
        <sz val="12"/>
        <color indexed="8"/>
        <rFont val="Aptos Narrow"/>
        <family val="2"/>
      </rPr>
      <t>Lights - U|002 LC</t>
    </r>
    <r>
      <rPr>
        <sz val="12"/>
        <color indexed="8"/>
        <rFont val="Aptos Narrow"/>
        <family val="2"/>
      </rPr>
      <t>, Lights - Flat Panel Carrier</t>
    </r>
  </si>
  <si>
    <r>
      <rPr>
        <sz val="12"/>
        <color indexed="8"/>
        <rFont val="Aptos Narrow"/>
        <family val="2"/>
      </rPr>
      <t xml:space="preserve">Lights - Flat Panel Carrier, </t>
    </r>
    <r>
      <rPr>
        <i/>
        <sz val="12"/>
        <color indexed="8"/>
        <rFont val="Aptos Narrow"/>
        <family val="2"/>
      </rPr>
      <t>U|002 LC</t>
    </r>
  </si>
  <si>
    <r>
      <rPr>
        <i/>
        <sz val="12"/>
        <color indexed="8"/>
        <rFont val="Aptos Narrow"/>
        <family val="2"/>
      </rPr>
      <t>Lights - U|002 LC, Lights - U|002 LC</t>
    </r>
    <r>
      <rPr>
        <sz val="12"/>
        <color indexed="8"/>
        <rFont val="Aptos Narrow"/>
        <family val="2"/>
      </rPr>
      <t>, Lights - Flat Panel Carrier</t>
    </r>
  </si>
  <si>
    <r>
      <rPr>
        <i/>
        <sz val="12"/>
        <color indexed="8"/>
        <rFont val="Aptos Narrow"/>
        <family val="2"/>
      </rPr>
      <t>Lights - U|002 LC,</t>
    </r>
    <r>
      <rPr>
        <sz val="12"/>
        <color indexed="8"/>
        <rFont val="Aptos Narrow"/>
        <family val="2"/>
      </rPr>
      <t xml:space="preserve"> Lights - Flat Panel Carrier</t>
    </r>
  </si>
  <si>
    <t>Lights - Lead Shield</t>
  </si>
  <si>
    <t>Lights - Lead Shield, Lights - Lead Shield</t>
  </si>
  <si>
    <t>Lights - Flat Panel Carrier, Lights - Lead Shield</t>
  </si>
  <si>
    <t>Lights - Lead Shield, Lights - Flat Panel Carrier</t>
  </si>
  <si>
    <t>Lights - U|002, Lights - U|002, Lights - Lead Shield</t>
  </si>
  <si>
    <t>Lights - U|002LC ,Lights -  U|002LC , Lights - Lead Shield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</si>
</sst>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0.0000"/>
  </numFmts>
  <fonts count="27" x14ac:knownFonts="1">
    <font>
      <sz val="12"/>
      <color theme="1"/>
      <name val="Aptos Narrow"/>
      <family val="2"/>
      <scheme val="minor"/>
    </font>
    <font>
      <i/>
      <sz val="12"/>
      <color indexed="8"/>
      <name val="Aptos Narrow"/>
      <family val="2"/>
    </font>
    <font>
      <sz val="8"/>
      <name val="Aptos Narrow"/>
      <family val="2"/>
    </font>
    <font>
      <sz val="8"/>
      <name val="Arial"/>
      <family val="2"/>
    </font>
    <font>
      <i/>
      <sz val="12"/>
      <color indexed="8"/>
      <name val="Aptos Narrow"/>
      <family val="2"/>
    </font>
    <font>
      <sz val="12"/>
      <color indexed="8"/>
      <name val="Aptos Narrow"/>
      <family val="2"/>
    </font>
    <font>
      <sz val="12"/>
      <color indexed="10"/>
      <name val="Aptos Narrow"/>
      <family val="2"/>
    </font>
    <font>
      <sz val="12"/>
      <color theme="1"/>
      <name val="Aptos Narrow"/>
      <family val="2"/>
      <scheme val="minor"/>
    </font>
    <font>
      <sz val="12"/>
      <color rgb="FF000000"/>
      <name val="Calibri"/>
      <family val="2"/>
    </font>
    <font>
      <sz val="10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sz val="12"/>
      <color rgb="FF365F92"/>
      <name val="Arial Narrow"/>
      <family val="2"/>
    </font>
    <font>
      <b/>
      <sz val="6"/>
      <color theme="1"/>
      <name val="Arial Narrow"/>
      <family val="2"/>
    </font>
    <font>
      <sz val="6"/>
      <color rgb="FF365F92"/>
      <name val="Arial Narrow"/>
      <family val="2"/>
    </font>
    <font>
      <sz val="6"/>
      <color theme="1"/>
      <name val="Arial Narrow"/>
      <family val="2"/>
    </font>
    <font>
      <b/>
      <sz val="12"/>
      <color rgb="FFFFFFFF"/>
      <name val="Calibri"/>
      <family val="2"/>
    </font>
    <font>
      <b/>
      <sz val="18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000000"/>
      <name val="Aptos Narrow"/>
      <family val="2"/>
    </font>
    <font>
      <b/>
      <sz val="14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  <font>
      <sz val="11"/>
      <color theme="1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C4E7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E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7979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F2F2F2"/>
        <bgColor rgb="FFD9D9D9"/>
      </patternFill>
    </fill>
    <fill>
      <patternFill patternType="solid">
        <fgColor theme="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0.249977111117893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rgb="FFFFFFCC"/>
      </right>
      <top/>
      <bottom/>
      <diagonal/>
    </border>
    <border>
      <left/>
      <right style="thin">
        <color rgb="FFFFFFCC"/>
      </right>
      <top/>
      <bottom style="thin">
        <color rgb="FFFFFFCC"/>
      </bottom>
      <diagonal/>
    </border>
    <border>
      <left/>
      <right style="thin">
        <color rgb="FFFFFFCC"/>
      </right>
      <top style="thin">
        <color rgb="FFFFFFCC"/>
      </top>
      <bottom style="thin">
        <color rgb="FFFFFFCC"/>
      </bottom>
      <diagonal/>
    </border>
    <border>
      <left style="thin">
        <color rgb="FFFFFFCC"/>
      </left>
      <right style="thin">
        <color rgb="FFFFFFCC"/>
      </right>
      <top style="thin">
        <color rgb="FFFFFFCC"/>
      </top>
      <bottom style="thin">
        <color rgb="FFFFFFCC"/>
      </bottom>
      <diagonal/>
    </border>
    <border>
      <left style="thin">
        <color rgb="FFFFFFCC"/>
      </left>
      <right style="thin">
        <color rgb="FFFFFFCC"/>
      </right>
      <top/>
      <bottom style="thin">
        <color rgb="FFFFFFCC"/>
      </bottom>
      <diagonal/>
    </border>
    <border>
      <left/>
      <right style="thin">
        <color theme="9" tint="-0.249977111117893"/>
      </right>
      <top/>
      <bottom style="thin">
        <color theme="9" tint="-0.249977111117893"/>
      </bottom>
      <diagonal/>
    </border>
    <border>
      <left style="thin">
        <color theme="9" tint="-0.249977111117893"/>
      </left>
      <right style="thin">
        <color theme="9" tint="-0.249977111117893"/>
      </right>
      <top/>
      <bottom style="thin">
        <color theme="9" tint="-0.249977111117893"/>
      </bottom>
      <diagonal/>
    </border>
    <border>
      <left style="thin">
        <color theme="9" tint="-0.249977111117893"/>
      </left>
      <right style="thin">
        <color theme="9" tint="-0.249977111117893"/>
      </right>
      <top/>
      <bottom/>
      <diagonal/>
    </border>
    <border>
      <left/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 style="thin">
        <color theme="9" tint="-0.249977111117893"/>
      </left>
      <right/>
      <top style="thin">
        <color theme="9" tint="-0.249977111117893"/>
      </top>
      <bottom/>
      <diagonal/>
    </border>
    <border>
      <left/>
      <right/>
      <top style="thin">
        <color theme="9" tint="-0.249977111117893"/>
      </top>
      <bottom/>
      <diagonal/>
    </border>
    <border>
      <left style="thin">
        <color rgb="FFFFFFCC"/>
      </left>
      <right/>
      <top style="thin">
        <color rgb="FFFFFFCC"/>
      </top>
      <bottom/>
      <diagonal/>
    </border>
    <border>
      <left/>
      <right style="thin">
        <color rgb="FFFFFFCC"/>
      </right>
      <top style="thin">
        <color rgb="FFFFFFCC"/>
      </top>
      <bottom/>
      <diagonal/>
    </border>
    <border>
      <left style="thin">
        <color rgb="FFFFFFCC"/>
      </left>
      <right/>
      <top style="thin">
        <color rgb="FFFFFFCC"/>
      </top>
      <bottom style="thin">
        <color rgb="FFFFFFCC"/>
      </bottom>
      <diagonal/>
    </border>
  </borders>
  <cellStyleXfs count="3">
    <xf numFmtId="0" fontId="0" fillId="0" borderId="0"/>
    <xf numFmtId="44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160">
    <xf numFmtId="0" fontId="0" fillId="0" borderId="0" xfId="0"/>
    <xf numFmtId="44" fontId="7" fillId="0" borderId="0" xfId="1" applyFont="1"/>
    <xf numFmtId="0" fontId="0" fillId="2" borderId="0" xfId="0" applyFill="1"/>
    <xf numFmtId="44" fontId="8" fillId="0" borderId="0" xfId="0" applyNumberFormat="1" applyFont="1"/>
    <xf numFmtId="0" fontId="0" fillId="3" borderId="0" xfId="0" applyFill="1"/>
    <xf numFmtId="44" fontId="0" fillId="0" borderId="0" xfId="0" applyNumberFormat="1"/>
    <xf numFmtId="0" fontId="9" fillId="0" borderId="0" xfId="0" applyFont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4" borderId="0" xfId="0" applyFill="1"/>
    <xf numFmtId="0" fontId="10" fillId="0" borderId="0" xfId="0" applyFont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10" fillId="4" borderId="0" xfId="0" applyFont="1" applyFill="1"/>
    <xf numFmtId="0" fontId="0" fillId="8" borderId="1" xfId="0" applyFill="1" applyBorder="1"/>
    <xf numFmtId="44" fontId="11" fillId="0" borderId="10" xfId="0" applyNumberFormat="1" applyFont="1" applyBorder="1"/>
    <xf numFmtId="44" fontId="11" fillId="0" borderId="11" xfId="0" applyNumberFormat="1" applyFont="1" applyBorder="1"/>
    <xf numFmtId="44" fontId="0" fillId="0" borderId="12" xfId="0" applyNumberFormat="1" applyBorder="1"/>
    <xf numFmtId="44" fontId="11" fillId="0" borderId="12" xfId="0" applyNumberFormat="1" applyFon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44" fontId="11" fillId="0" borderId="17" xfId="1" applyFont="1" applyBorder="1"/>
    <xf numFmtId="44" fontId="0" fillId="0" borderId="16" xfId="0" applyNumberFormat="1" applyBorder="1"/>
    <xf numFmtId="0" fontId="10" fillId="0" borderId="18" xfId="0" applyFont="1" applyBorder="1" applyAlignment="1">
      <alignment horizontal="right"/>
    </xf>
    <xf numFmtId="0" fontId="0" fillId="0" borderId="19" xfId="0" applyBorder="1"/>
    <xf numFmtId="44" fontId="11" fillId="0" borderId="19" xfId="1" applyFont="1" applyBorder="1"/>
    <xf numFmtId="0" fontId="12" fillId="0" borderId="0" xfId="0" applyFont="1" applyAlignment="1">
      <alignment vertical="center"/>
    </xf>
    <xf numFmtId="0" fontId="13" fillId="0" borderId="0" xfId="0" applyFont="1"/>
    <xf numFmtId="44" fontId="7" fillId="9" borderId="0" xfId="1" applyFont="1" applyFill="1"/>
    <xf numFmtId="44" fontId="11" fillId="9" borderId="0" xfId="1" applyFont="1" applyFill="1"/>
    <xf numFmtId="44" fontId="7" fillId="9" borderId="0" xfId="1" applyFont="1" applyFill="1"/>
    <xf numFmtId="44" fontId="7" fillId="0" borderId="0" xfId="1" applyFont="1" applyFill="1"/>
    <xf numFmtId="0" fontId="0" fillId="0" borderId="0" xfId="0" applyAlignment="1">
      <alignment horizontal="center"/>
    </xf>
    <xf numFmtId="44" fontId="7" fillId="0" borderId="0" xfId="1" applyFont="1" applyBorder="1" applyProtection="1"/>
    <xf numFmtId="44" fontId="0" fillId="5" borderId="16" xfId="0" applyNumberFormat="1" applyFill="1" applyBorder="1"/>
    <xf numFmtId="0" fontId="0" fillId="5" borderId="15" xfId="0" applyFill="1" applyBorder="1"/>
    <xf numFmtId="0" fontId="0" fillId="5" borderId="0" xfId="0" applyFill="1"/>
    <xf numFmtId="164" fontId="0" fillId="0" borderId="0" xfId="0" applyNumberFormat="1"/>
    <xf numFmtId="164" fontId="7" fillId="0" borderId="0" xfId="2" applyNumberFormat="1" applyFont="1"/>
    <xf numFmtId="2" fontId="0" fillId="0" borderId="0" xfId="0" applyNumberFormat="1"/>
    <xf numFmtId="2" fontId="7" fillId="0" borderId="0" xfId="2" applyNumberFormat="1" applyFont="1"/>
    <xf numFmtId="165" fontId="7" fillId="0" borderId="0" xfId="2" applyNumberFormat="1" applyFont="1"/>
    <xf numFmtId="2" fontId="0" fillId="0" borderId="0" xfId="0" applyNumberFormat="1" applyAlignment="1">
      <alignment horizontal="right"/>
    </xf>
    <xf numFmtId="0" fontId="0" fillId="0" borderId="2" xfId="0" applyBorder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164" fontId="7" fillId="5" borderId="0" xfId="2" applyNumberFormat="1" applyFont="1" applyFill="1"/>
    <xf numFmtId="0" fontId="13" fillId="0" borderId="0" xfId="0" applyFont="1" applyAlignment="1">
      <alignment horizontal="center"/>
    </xf>
    <xf numFmtId="2" fontId="7" fillId="5" borderId="0" xfId="2" applyNumberFormat="1" applyFont="1" applyFill="1"/>
    <xf numFmtId="164" fontId="7" fillId="0" borderId="0" xfId="2" applyNumberFormat="1" applyFont="1" applyFill="1"/>
    <xf numFmtId="164" fontId="13" fillId="0" borderId="0" xfId="0" applyNumberFormat="1" applyFont="1"/>
    <xf numFmtId="0" fontId="20" fillId="10" borderId="3" xfId="0" applyFont="1" applyFill="1" applyBorder="1"/>
    <xf numFmtId="0" fontId="20" fillId="10" borderId="0" xfId="0" applyFont="1" applyFill="1" applyAlignment="1">
      <alignment horizontal="center"/>
    </xf>
    <xf numFmtId="0" fontId="8" fillId="11" borderId="0" xfId="0" applyFont="1" applyFill="1"/>
    <xf numFmtId="0" fontId="8" fillId="12" borderId="1" xfId="0" applyFont="1" applyFill="1" applyBorder="1" applyAlignment="1">
      <alignment horizontal="right"/>
    </xf>
    <xf numFmtId="0" fontId="13" fillId="9" borderId="0" xfId="0" applyFont="1" applyFill="1"/>
    <xf numFmtId="0" fontId="0" fillId="9" borderId="0" xfId="0" applyFill="1"/>
    <xf numFmtId="0" fontId="8" fillId="0" borderId="0" xfId="0" applyFont="1"/>
    <xf numFmtId="0" fontId="10" fillId="0" borderId="0" xfId="0" applyFont="1" applyAlignment="1">
      <alignment horizontal="center"/>
    </xf>
    <xf numFmtId="0" fontId="21" fillId="13" borderId="0" xfId="0" applyFont="1" applyFill="1"/>
    <xf numFmtId="0" fontId="21" fillId="0" borderId="0" xfId="0" applyFont="1"/>
    <xf numFmtId="0" fontId="0" fillId="0" borderId="0" xfId="0" applyAlignment="1">
      <alignment wrapText="1"/>
    </xf>
    <xf numFmtId="0" fontId="10" fillId="3" borderId="0" xfId="0" applyFont="1" applyFill="1"/>
    <xf numFmtId="9" fontId="0" fillId="0" borderId="0" xfId="0" applyNumberFormat="1"/>
    <xf numFmtId="0" fontId="22" fillId="0" borderId="0" xfId="0" applyFont="1" applyAlignment="1">
      <alignment vertical="center"/>
    </xf>
    <xf numFmtId="0" fontId="20" fillId="0" borderId="0" xfId="0" applyFont="1"/>
    <xf numFmtId="0" fontId="23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3" fillId="14" borderId="0" xfId="0" applyFont="1" applyFill="1"/>
    <xf numFmtId="0" fontId="0" fillId="14" borderId="0" xfId="0" applyFill="1"/>
    <xf numFmtId="164" fontId="0" fillId="14" borderId="0" xfId="0" applyNumberFormat="1" applyFill="1"/>
    <xf numFmtId="0" fontId="8" fillId="15" borderId="1" xfId="0" applyFont="1" applyFill="1" applyBorder="1" applyAlignment="1">
      <alignment horizontal="right" wrapText="1"/>
    </xf>
    <xf numFmtId="164" fontId="0" fillId="9" borderId="0" xfId="0" applyNumberFormat="1" applyFill="1"/>
    <xf numFmtId="44" fontId="7" fillId="0" borderId="0" xfId="2" applyNumberFormat="1" applyFont="1"/>
    <xf numFmtId="49" fontId="0" fillId="0" borderId="0" xfId="0" applyNumberFormat="1"/>
    <xf numFmtId="0" fontId="12" fillId="0" borderId="0" xfId="0" applyFont="1"/>
    <xf numFmtId="49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44" fontId="0" fillId="0" borderId="2" xfId="0" applyNumberFormat="1" applyBorder="1"/>
    <xf numFmtId="2" fontId="0" fillId="0" borderId="2" xfId="0" applyNumberFormat="1" applyBorder="1"/>
    <xf numFmtId="44" fontId="0" fillId="0" borderId="4" xfId="0" applyNumberFormat="1" applyBorder="1"/>
    <xf numFmtId="44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2" xfId="0" applyNumberFormat="1" applyBorder="1"/>
    <xf numFmtId="0" fontId="0" fillId="0" borderId="2" xfId="0" applyBorder="1" applyAlignment="1">
      <alignment horizontal="right"/>
    </xf>
    <xf numFmtId="0" fontId="14" fillId="0" borderId="0" xfId="0" applyFont="1" applyAlignment="1">
      <alignment wrapText="1"/>
    </xf>
    <xf numFmtId="44" fontId="16" fillId="0" borderId="0" xfId="0" applyNumberFormat="1" applyFont="1"/>
    <xf numFmtId="44" fontId="0" fillId="16" borderId="0" xfId="0" applyNumberFormat="1" applyFill="1"/>
    <xf numFmtId="44" fontId="0" fillId="17" borderId="0" xfId="0" applyNumberFormat="1" applyFill="1"/>
    <xf numFmtId="8" fontId="0" fillId="0" borderId="0" xfId="0" applyNumberFormat="1"/>
    <xf numFmtId="44" fontId="13" fillId="0" borderId="0" xfId="0" applyNumberFormat="1" applyFont="1"/>
    <xf numFmtId="44" fontId="10" fillId="0" borderId="0" xfId="0" applyNumberFormat="1" applyFont="1"/>
    <xf numFmtId="9" fontId="16" fillId="0" borderId="0" xfId="2" applyFont="1"/>
    <xf numFmtId="164" fontId="11" fillId="0" borderId="0" xfId="0" applyNumberFormat="1" applyFont="1"/>
    <xf numFmtId="0" fontId="13" fillId="18" borderId="1" xfId="0" applyFont="1" applyFill="1" applyBorder="1"/>
    <xf numFmtId="9" fontId="0" fillId="0" borderId="1" xfId="0" applyNumberFormat="1" applyBorder="1" applyAlignment="1">
      <alignment horizontal="center" vertical="center"/>
    </xf>
    <xf numFmtId="0" fontId="13" fillId="18" borderId="1" xfId="0" applyFont="1" applyFill="1" applyBorder="1" applyAlignment="1">
      <alignment horizontal="center" vertical="center"/>
    </xf>
    <xf numFmtId="0" fontId="13" fillId="9" borderId="0" xfId="0" applyFont="1" applyFill="1" applyAlignment="1">
      <alignment horizontal="center"/>
    </xf>
    <xf numFmtId="164" fontId="13" fillId="9" borderId="0" xfId="0" applyNumberFormat="1" applyFont="1" applyFill="1"/>
    <xf numFmtId="0" fontId="0" fillId="0" borderId="0" xfId="0" quotePrefix="1"/>
    <xf numFmtId="49" fontId="0" fillId="0" borderId="0" xfId="0" applyNumberFormat="1" applyAlignment="1">
      <alignment horizontal="right"/>
    </xf>
    <xf numFmtId="0" fontId="24" fillId="18" borderId="0" xfId="0" applyFont="1" applyFill="1"/>
    <xf numFmtId="0" fontId="24" fillId="18" borderId="0" xfId="0" applyFont="1" applyFill="1" applyAlignment="1">
      <alignment horizontal="center"/>
    </xf>
    <xf numFmtId="164" fontId="7" fillId="0" borderId="0" xfId="2" applyNumberFormat="1" applyFont="1" applyFill="1" applyBorder="1"/>
    <xf numFmtId="0" fontId="0" fillId="0" borderId="2" xfId="0" applyBorder="1" applyAlignment="1">
      <alignment wrapText="1"/>
    </xf>
    <xf numFmtId="164" fontId="7" fillId="0" borderId="2" xfId="2" applyNumberFormat="1" applyFont="1" applyFill="1" applyBorder="1"/>
    <xf numFmtId="164" fontId="24" fillId="18" borderId="0" xfId="0" applyNumberFormat="1" applyFont="1" applyFill="1"/>
    <xf numFmtId="164" fontId="0" fillId="0" borderId="2" xfId="0" applyNumberFormat="1" applyBorder="1"/>
    <xf numFmtId="0" fontId="13" fillId="0" borderId="0" xfId="0" applyFont="1" applyAlignment="1">
      <alignment wrapText="1"/>
    </xf>
    <xf numFmtId="0" fontId="10" fillId="0" borderId="5" xfId="0" applyFont="1" applyBorder="1"/>
    <xf numFmtId="0" fontId="10" fillId="0" borderId="4" xfId="0" applyFont="1" applyBorder="1"/>
    <xf numFmtId="0" fontId="10" fillId="0" borderId="6" xfId="0" applyFont="1" applyBorder="1"/>
    <xf numFmtId="0" fontId="13" fillId="6" borderId="20" xfId="0" applyFont="1" applyFill="1" applyBorder="1"/>
    <xf numFmtId="0" fontId="13" fillId="6" borderId="21" xfId="0" applyFont="1" applyFill="1" applyBorder="1"/>
    <xf numFmtId="0" fontId="13" fillId="5" borderId="22" xfId="0" applyFont="1" applyFill="1" applyBorder="1"/>
    <xf numFmtId="0" fontId="13" fillId="5" borderId="23" xfId="0" applyFont="1" applyFill="1" applyBorder="1"/>
    <xf numFmtId="0" fontId="12" fillId="19" borderId="1" xfId="0" applyFont="1" applyFill="1" applyBorder="1"/>
    <xf numFmtId="0" fontId="25" fillId="0" borderId="24" xfId="0" applyFont="1" applyBorder="1"/>
    <xf numFmtId="0" fontId="25" fillId="0" borderId="12" xfId="0" applyFont="1" applyBorder="1"/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3" xfId="0" applyBorder="1"/>
    <xf numFmtId="0" fontId="0" fillId="0" borderId="3" xfId="0" applyBorder="1" applyAlignment="1">
      <alignment wrapText="1"/>
    </xf>
    <xf numFmtId="164" fontId="0" fillId="0" borderId="3" xfId="0" applyNumberFormat="1" applyBorder="1"/>
    <xf numFmtId="164" fontId="7" fillId="0" borderId="3" xfId="2" applyNumberFormat="1" applyFont="1" applyFill="1" applyBorder="1"/>
    <xf numFmtId="164" fontId="0" fillId="0" borderId="9" xfId="0" applyNumberFormat="1" applyBorder="1"/>
    <xf numFmtId="164" fontId="11" fillId="0" borderId="2" xfId="0" applyNumberFormat="1" applyFont="1" applyBorder="1"/>
    <xf numFmtId="0" fontId="20" fillId="0" borderId="0" xfId="0" applyFont="1" applyAlignment="1">
      <alignment horizontal="center"/>
    </xf>
    <xf numFmtId="0" fontId="8" fillId="0" borderId="0" xfId="0" applyFont="1" applyAlignment="1">
      <alignment horizontal="right" wrapText="1"/>
    </xf>
    <xf numFmtId="0" fontId="8" fillId="0" borderId="0" xfId="0" applyFont="1" applyAlignment="1">
      <alignment horizontal="right"/>
    </xf>
    <xf numFmtId="0" fontId="13" fillId="0" borderId="0" xfId="0" applyFont="1" applyAlignment="1"/>
    <xf numFmtId="0" fontId="26" fillId="0" borderId="0" xfId="0" applyFont="1"/>
    <xf numFmtId="0" fontId="5" fillId="0" borderId="0" xfId="0" applyFont="1" applyAlignment="1">
      <alignment horizontal="center"/>
    </xf>
    <xf numFmtId="0" fontId="13" fillId="20" borderId="0" xfId="0" applyFont="1" applyFill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25" fillId="0" borderId="24" xfId="0" applyFont="1" applyBorder="1" applyAlignment="1">
      <alignment horizontal="center"/>
    </xf>
    <xf numFmtId="0" fontId="25" fillId="0" borderId="12" xfId="0" applyFont="1" applyBorder="1" applyAlignment="1">
      <alignment horizontal="center"/>
    </xf>
    <xf numFmtId="0" fontId="12" fillId="19" borderId="1" xfId="0" applyFont="1" applyFill="1" applyBorder="1" applyAlignment="1">
      <alignment horizont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13" fillId="5" borderId="22" xfId="0" applyFont="1" applyFill="1" applyBorder="1" applyAlignment="1">
      <alignment horizontal="center"/>
    </xf>
    <xf numFmtId="0" fontId="13" fillId="5" borderId="23" xfId="0" applyFont="1" applyFill="1" applyBorder="1" applyAlignment="1">
      <alignment horizontal="center"/>
    </xf>
    <xf numFmtId="0" fontId="21" fillId="13" borderId="0" xfId="0" applyFont="1" applyFill="1" applyAlignment="1">
      <alignment horizontal="center"/>
    </xf>
    <xf numFmtId="0" fontId="13" fillId="6" borderId="20" xfId="0" applyFont="1" applyFill="1" applyBorder="1" applyAlignment="1">
      <alignment horizontal="center"/>
    </xf>
    <xf numFmtId="0" fontId="13" fillId="6" borderId="21" xfId="0" applyFont="1" applyFill="1" applyBorder="1" applyAlignment="1">
      <alignment horizontal="center"/>
    </xf>
    <xf numFmtId="0" fontId="0" fillId="0" borderId="0" xfId="0" applyAlignment="1">
      <alignment horizontal="center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AD204F8\Imagine%20BnL%20Pricing%20Guide%202024%200710%20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arlyn/Downloads/CS%20Imagine%20Estimating%20Requirements%20Form%202025_03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ote"/>
      <sheetName val="Config #2"/>
      <sheetName val="Config #3"/>
      <sheetName val="Config #4"/>
      <sheetName val="Config #5"/>
      <sheetName val="Config #6"/>
      <sheetName val="Config #7"/>
      <sheetName val="Config #8"/>
      <sheetName val="Config #9"/>
      <sheetName val="Config #10"/>
      <sheetName val="Config #1"/>
      <sheetName val="Ondal Booms (Original)"/>
      <sheetName val="Simeon Lights"/>
      <sheetName val="Ondal Configs"/>
      <sheetName val="Drop Dow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C2">
            <v>12369.17</v>
          </cell>
          <cell r="D2">
            <v>13842.03</v>
          </cell>
          <cell r="E2">
            <v>11692.64</v>
          </cell>
          <cell r="F2">
            <v>13462.94</v>
          </cell>
          <cell r="G2">
            <v>8012.5</v>
          </cell>
          <cell r="H2">
            <v>9362.8799999999992</v>
          </cell>
          <cell r="I2">
            <v>10737.34</v>
          </cell>
        </row>
      </sheetData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tuction"/>
      <sheetName val="Booms and Lights"/>
      <sheetName val="Estimating Drop Downs"/>
      <sheetName val="BnL Drop Downs"/>
      <sheetName val="Ondal Booms"/>
      <sheetName val="Simeon Lights"/>
      <sheetName val="Config #1"/>
      <sheetName val="Config #2"/>
      <sheetName val="Config #3"/>
      <sheetName val="Config #4"/>
      <sheetName val="Config #5"/>
      <sheetName val="Config #6"/>
      <sheetName val="Config #7"/>
      <sheetName val="Config #8"/>
      <sheetName val="Config #9"/>
      <sheetName val="Config #10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66">
          <cell r="D166">
            <v>804.28800000000001</v>
          </cell>
        </row>
        <row r="167">
          <cell r="D167">
            <v>121.456</v>
          </cell>
        </row>
        <row r="168">
          <cell r="D168">
            <v>303.64800000000002</v>
          </cell>
        </row>
        <row r="169">
          <cell r="D169">
            <v>209.256</v>
          </cell>
        </row>
        <row r="171">
          <cell r="D171">
            <v>303.64800000000002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C0B7C-E0E7-4FF2-A7DF-5F34ED751015}">
  <dimension ref="A1:AO685"/>
  <sheetViews>
    <sheetView topLeftCell="A637" zoomScale="70" zoomScaleNormal="70" workbookViewId="0">
      <selection sqref="A1:A659"/>
    </sheetView>
  </sheetViews>
  <sheetFormatPr defaultColWidth="11" defaultRowHeight="15.6" x14ac:dyDescent="0.3"/>
  <cols>
    <col min="1" max="1" width="19.796875" customWidth="1"/>
    <col min="2" max="2" width="57.796875" customWidth="1"/>
    <col min="3" max="3" width="23.8984375" customWidth="1"/>
    <col min="4" max="4" width="18.69921875" style="42" bestFit="1" customWidth="1"/>
    <col min="5" max="5" width="20.296875" bestFit="1" customWidth="1"/>
    <col min="6" max="6" width="19.796875" bestFit="1" customWidth="1"/>
    <col min="7" max="7" width="31.69921875" bestFit="1" customWidth="1"/>
    <col min="8" max="8" width="31.69921875" customWidth="1"/>
    <col min="9" max="9" width="11.8984375" customWidth="1"/>
    <col min="10" max="10" width="13" bestFit="1" customWidth="1"/>
    <col min="11" max="11" width="23.296875" hidden="1" customWidth="1"/>
    <col min="12" max="12" width="12.3984375" hidden="1" customWidth="1"/>
    <col min="13" max="13" width="13.09765625" hidden="1" customWidth="1"/>
    <col min="14" max="14" width="13.69921875" hidden="1" customWidth="1"/>
    <col min="15" max="16" width="13.09765625" hidden="1" customWidth="1"/>
    <col min="17" max="19" width="12.69921875" hidden="1" customWidth="1"/>
    <col min="20" max="20" width="16.8984375" hidden="1" customWidth="1"/>
    <col min="21" max="21" width="43.796875" hidden="1" customWidth="1"/>
    <col min="22" max="22" width="14.09765625" hidden="1" customWidth="1"/>
    <col min="23" max="23" width="13.3984375" hidden="1" customWidth="1"/>
    <col min="24" max="24" width="12.3984375" hidden="1" customWidth="1"/>
    <col min="25" max="25" width="24.8984375" hidden="1" customWidth="1"/>
    <col min="26" max="26" width="2.796875" hidden="1" customWidth="1"/>
    <col min="27" max="27" width="2.296875" hidden="1" customWidth="1"/>
    <col min="29" max="29" width="11.3984375" hidden="1" customWidth="1"/>
    <col min="30" max="33" width="0" hidden="1" customWidth="1"/>
    <col min="34" max="34" width="11.3984375" hidden="1" customWidth="1"/>
    <col min="35" max="35" width="12.09765625" hidden="1" customWidth="1"/>
    <col min="36" max="36" width="13.69921875" bestFit="1" customWidth="1"/>
  </cols>
  <sheetData>
    <row r="1" spans="1:41" s="32" customFormat="1" ht="23.4" x14ac:dyDescent="0.45">
      <c r="A1" s="113" t="s">
        <v>0</v>
      </c>
      <c r="B1" s="113" t="s">
        <v>1</v>
      </c>
      <c r="C1" s="114"/>
      <c r="D1" s="118" t="s">
        <v>2</v>
      </c>
      <c r="E1" s="113" t="s">
        <v>3</v>
      </c>
      <c r="K1" s="68" t="s">
        <v>4</v>
      </c>
      <c r="L1" s="68"/>
      <c r="M1" s="68"/>
      <c r="N1" s="68"/>
      <c r="O1" s="68"/>
      <c r="P1" s="68"/>
      <c r="Q1" s="68"/>
      <c r="R1" s="68"/>
      <c r="S1" s="68"/>
      <c r="T1" s="69"/>
      <c r="U1" s="126" t="s">
        <v>5</v>
      </c>
      <c r="V1" s="127"/>
      <c r="X1" s="69"/>
      <c r="Y1" s="69"/>
      <c r="Z1" s="69"/>
      <c r="AA1" s="69"/>
      <c r="AB1" s="69"/>
      <c r="AC1" s="68"/>
      <c r="AD1" s="68"/>
      <c r="AE1" s="68"/>
      <c r="AL1" s="73"/>
      <c r="AM1" s="73"/>
      <c r="AN1" s="73"/>
      <c r="AO1" s="73"/>
    </row>
    <row r="2" spans="1:41" x14ac:dyDescent="0.3">
      <c r="A2" t="s">
        <v>6</v>
      </c>
      <c r="B2" s="70" t="s">
        <v>7</v>
      </c>
      <c r="D2" s="42">
        <v>32984.453333333338</v>
      </c>
      <c r="E2" s="58">
        <v>16492.226666666669</v>
      </c>
      <c r="G2" s="106" t="s">
        <v>8</v>
      </c>
      <c r="H2" s="106" t="s">
        <v>0</v>
      </c>
      <c r="I2" s="32"/>
      <c r="J2" s="108" t="s">
        <v>9</v>
      </c>
      <c r="L2" t="s">
        <v>10</v>
      </c>
      <c r="M2" t="s">
        <v>11</v>
      </c>
      <c r="U2" s="129" t="s">
        <v>12</v>
      </c>
      <c r="V2" s="130"/>
    </row>
    <row r="3" spans="1:41" x14ac:dyDescent="0.3">
      <c r="A3" t="s">
        <v>13</v>
      </c>
      <c r="B3" t="s">
        <v>14</v>
      </c>
      <c r="D3" s="42">
        <v>32984.453333333338</v>
      </c>
      <c r="E3" s="58">
        <v>16492.226666666669</v>
      </c>
      <c r="G3" s="7" t="s">
        <v>15</v>
      </c>
      <c r="H3" s="7" t="s">
        <v>16</v>
      </c>
      <c r="J3" s="107">
        <v>0.5</v>
      </c>
      <c r="K3" s="71" t="s">
        <v>17</v>
      </c>
      <c r="L3" s="11" t="s">
        <v>18</v>
      </c>
      <c r="M3" s="4"/>
      <c r="N3" s="4">
        <v>600</v>
      </c>
      <c r="O3" s="4">
        <v>800</v>
      </c>
      <c r="P3" s="4">
        <v>1000</v>
      </c>
      <c r="Q3" s="4">
        <v>1200</v>
      </c>
      <c r="R3" s="4">
        <v>1400</v>
      </c>
      <c r="S3" s="4">
        <v>1600</v>
      </c>
      <c r="U3" s="22" t="s">
        <v>19</v>
      </c>
      <c r="V3" s="20">
        <v>0</v>
      </c>
      <c r="Y3" s="128" t="s">
        <v>20</v>
      </c>
      <c r="Z3" s="128"/>
      <c r="AA3" s="128"/>
      <c r="AC3" s="4" t="s">
        <v>21</v>
      </c>
      <c r="AD3" s="4">
        <v>600</v>
      </c>
      <c r="AE3" s="4">
        <v>800</v>
      </c>
      <c r="AF3" s="4">
        <v>1000</v>
      </c>
      <c r="AG3" s="4">
        <v>1200</v>
      </c>
      <c r="AH3" s="4">
        <v>1400</v>
      </c>
      <c r="AI3" s="4">
        <v>1600</v>
      </c>
    </row>
    <row r="4" spans="1:41" x14ac:dyDescent="0.3">
      <c r="A4" t="s">
        <v>22</v>
      </c>
      <c r="B4" t="s">
        <v>23</v>
      </c>
      <c r="D4" s="42">
        <v>32984.453333333338</v>
      </c>
      <c r="E4" s="58">
        <v>16492.226666666669</v>
      </c>
      <c r="G4" s="7" t="s">
        <v>24</v>
      </c>
      <c r="H4" s="7" t="s">
        <v>25</v>
      </c>
      <c r="K4" t="s">
        <v>26</v>
      </c>
      <c r="L4" s="1">
        <v>35398.800000000003</v>
      </c>
      <c r="M4" s="2">
        <v>200</v>
      </c>
      <c r="N4" s="1">
        <v>35398.800000000003</v>
      </c>
      <c r="O4" s="1">
        <v>35398.800000000003</v>
      </c>
      <c r="P4" s="1">
        <v>35398.800000000003</v>
      </c>
      <c r="Q4" s="1">
        <v>35398.800000000003</v>
      </c>
      <c r="R4" s="33" t="s">
        <v>27</v>
      </c>
      <c r="S4" s="34" t="s">
        <v>27</v>
      </c>
      <c r="U4" s="22" t="s">
        <v>28</v>
      </c>
      <c r="V4" s="21">
        <v>251.81</v>
      </c>
      <c r="Y4" s="7" t="s">
        <v>29</v>
      </c>
      <c r="Z4" s="10"/>
      <c r="AA4" s="7" t="s">
        <v>30</v>
      </c>
      <c r="AC4" s="2">
        <v>200</v>
      </c>
      <c r="AH4">
        <v>1591.55</v>
      </c>
      <c r="AI4">
        <v>3291.97</v>
      </c>
    </row>
    <row r="5" spans="1:41" x14ac:dyDescent="0.3">
      <c r="A5" s="48" t="s">
        <v>31</v>
      </c>
      <c r="B5" s="48" t="s">
        <v>32</v>
      </c>
      <c r="C5" s="48"/>
      <c r="D5" s="119">
        <v>32984.453333333338</v>
      </c>
      <c r="E5" s="117">
        <v>16492.226666666669</v>
      </c>
      <c r="G5" s="7" t="s">
        <v>33</v>
      </c>
      <c r="H5" s="7" t="s">
        <v>34</v>
      </c>
      <c r="K5" s="6" t="s">
        <v>35</v>
      </c>
      <c r="M5" s="2">
        <v>400</v>
      </c>
      <c r="N5" s="1">
        <v>37373.710000000006</v>
      </c>
      <c r="O5" s="1">
        <v>37373.710000000006</v>
      </c>
      <c r="P5" s="1">
        <v>37373.710000000006</v>
      </c>
      <c r="Q5" s="1">
        <v>37373.710000000006</v>
      </c>
      <c r="R5" s="35" t="s">
        <v>27</v>
      </c>
      <c r="S5" s="35" t="s">
        <v>27</v>
      </c>
      <c r="U5" s="23" t="s">
        <v>36</v>
      </c>
      <c r="V5" s="18">
        <v>493.73</v>
      </c>
      <c r="Y5" s="7" t="s">
        <v>37</v>
      </c>
      <c r="Z5" s="8"/>
      <c r="AA5" s="131" t="s">
        <v>38</v>
      </c>
      <c r="AC5" s="2">
        <v>400</v>
      </c>
      <c r="AD5" s="3">
        <v>1974.91</v>
      </c>
      <c r="AE5" s="3">
        <v>1974.91</v>
      </c>
      <c r="AF5" s="3">
        <v>1974.91</v>
      </c>
      <c r="AG5" s="1">
        <v>1974.91</v>
      </c>
      <c r="AH5" s="5">
        <v>3566.86</v>
      </c>
      <c r="AI5" s="5">
        <v>5266.88</v>
      </c>
    </row>
    <row r="6" spans="1:41" x14ac:dyDescent="0.3">
      <c r="A6" t="s">
        <v>39</v>
      </c>
      <c r="B6" s="70" t="s">
        <v>40</v>
      </c>
      <c r="D6" s="42">
        <v>34959.360000000001</v>
      </c>
      <c r="E6" s="58">
        <v>17479.68</v>
      </c>
      <c r="G6" s="7" t="s">
        <v>41</v>
      </c>
      <c r="H6" s="7" t="s">
        <v>42</v>
      </c>
      <c r="M6" s="2">
        <v>600</v>
      </c>
      <c r="N6" s="1">
        <v>39353.550000000003</v>
      </c>
      <c r="O6" s="1">
        <v>39353.550000000003</v>
      </c>
      <c r="P6" s="1">
        <v>39353.550000000003</v>
      </c>
      <c r="Q6" s="1">
        <v>39353.550000000003</v>
      </c>
      <c r="R6" s="35" t="s">
        <v>27</v>
      </c>
      <c r="S6" s="35" t="s">
        <v>27</v>
      </c>
      <c r="U6" s="129" t="s">
        <v>43</v>
      </c>
      <c r="V6" s="130"/>
      <c r="Y6" s="7" t="s">
        <v>44</v>
      </c>
      <c r="Z6" s="9"/>
      <c r="AA6" s="132"/>
      <c r="AC6" s="2">
        <v>600</v>
      </c>
      <c r="AD6" s="3">
        <v>3954.75</v>
      </c>
      <c r="AE6" s="3">
        <v>3954.75</v>
      </c>
      <c r="AF6" s="3">
        <v>3954.75</v>
      </c>
      <c r="AG6" s="3">
        <v>3954.75</v>
      </c>
      <c r="AH6" s="5">
        <v>5546.3</v>
      </c>
      <c r="AI6" s="5">
        <v>7246.7199999999993</v>
      </c>
    </row>
    <row r="7" spans="1:41" x14ac:dyDescent="0.3">
      <c r="A7" t="s">
        <v>45</v>
      </c>
      <c r="B7" t="s">
        <v>46</v>
      </c>
      <c r="D7" s="42">
        <v>34959.360000000001</v>
      </c>
      <c r="E7" s="58">
        <v>17479.68</v>
      </c>
      <c r="G7" s="7" t="s">
        <v>47</v>
      </c>
      <c r="H7" s="7" t="s">
        <v>48</v>
      </c>
      <c r="M7" s="2">
        <v>800</v>
      </c>
      <c r="N7" s="1">
        <v>41392.670000000006</v>
      </c>
      <c r="O7" s="1">
        <v>41392.670000000006</v>
      </c>
      <c r="P7" s="1">
        <v>41392.670000000006</v>
      </c>
      <c r="Q7" s="1">
        <v>41392.670000000006</v>
      </c>
      <c r="R7" s="35" t="s">
        <v>27</v>
      </c>
      <c r="S7" s="35" t="s">
        <v>27</v>
      </c>
      <c r="U7" s="22" t="s">
        <v>19</v>
      </c>
      <c r="V7" s="20">
        <v>0</v>
      </c>
      <c r="Y7" s="7" t="s">
        <v>49</v>
      </c>
      <c r="Z7" s="13"/>
      <c r="AA7" s="7" t="s">
        <v>50</v>
      </c>
      <c r="AC7" s="2">
        <v>800</v>
      </c>
      <c r="AD7" s="3">
        <v>5993.87</v>
      </c>
      <c r="AE7" s="1">
        <v>5993.87</v>
      </c>
      <c r="AF7" s="1">
        <v>5993.87</v>
      </c>
      <c r="AG7" s="1">
        <v>5993.87</v>
      </c>
      <c r="AH7" s="5">
        <v>7585.42</v>
      </c>
      <c r="AI7" s="5">
        <v>9285.84</v>
      </c>
    </row>
    <row r="8" spans="1:41" x14ac:dyDescent="0.3">
      <c r="A8" t="s">
        <v>51</v>
      </c>
      <c r="B8" t="s">
        <v>52</v>
      </c>
      <c r="D8" s="42">
        <v>34959.360000000001</v>
      </c>
      <c r="E8" s="58">
        <v>17479.68</v>
      </c>
      <c r="G8" s="7" t="s">
        <v>53</v>
      </c>
      <c r="H8" s="7" t="s">
        <v>54</v>
      </c>
      <c r="M8" s="2">
        <v>1000</v>
      </c>
      <c r="N8" s="1">
        <v>43426.83</v>
      </c>
      <c r="O8" s="1">
        <v>43426.83</v>
      </c>
      <c r="P8" s="1">
        <v>43426.83</v>
      </c>
      <c r="Q8" s="1">
        <v>43426.83</v>
      </c>
      <c r="R8" s="35" t="s">
        <v>27</v>
      </c>
      <c r="S8" s="35" t="s">
        <v>27</v>
      </c>
      <c r="U8" s="22" t="s">
        <v>28</v>
      </c>
      <c r="V8" s="21">
        <v>508.53</v>
      </c>
      <c r="Y8" s="7" t="s">
        <v>55</v>
      </c>
      <c r="Z8" s="14"/>
      <c r="AA8" s="7" t="s">
        <v>56</v>
      </c>
      <c r="AC8" s="2">
        <v>1000</v>
      </c>
      <c r="AD8" s="3">
        <v>8028.03</v>
      </c>
      <c r="AE8" s="1">
        <v>8028.03</v>
      </c>
      <c r="AF8" s="1">
        <v>8028.03</v>
      </c>
      <c r="AG8" s="1">
        <v>8028.03</v>
      </c>
      <c r="AH8" s="5">
        <v>9619.58</v>
      </c>
      <c r="AI8" s="5">
        <v>11320</v>
      </c>
    </row>
    <row r="9" spans="1:41" x14ac:dyDescent="0.3">
      <c r="A9" s="48" t="s">
        <v>57</v>
      </c>
      <c r="B9" s="48" t="s">
        <v>58</v>
      </c>
      <c r="C9" s="48"/>
      <c r="D9" s="119">
        <v>34959.360000000001</v>
      </c>
      <c r="E9" s="117">
        <v>17479.68</v>
      </c>
      <c r="G9" s="7" t="s">
        <v>59</v>
      </c>
      <c r="H9" s="7" t="s">
        <v>60</v>
      </c>
      <c r="S9" s="1"/>
      <c r="U9" s="23" t="s">
        <v>36</v>
      </c>
      <c r="V9" s="19">
        <v>1214.5899999999999</v>
      </c>
      <c r="Y9" s="7" t="s">
        <v>61</v>
      </c>
      <c r="Z9" s="15"/>
      <c r="AA9" s="7" t="s">
        <v>62</v>
      </c>
    </row>
    <row r="10" spans="1:41" x14ac:dyDescent="0.3">
      <c r="A10" t="s">
        <v>63</v>
      </c>
      <c r="B10" s="70" t="s">
        <v>64</v>
      </c>
      <c r="D10" s="42">
        <v>36939.200000000004</v>
      </c>
      <c r="E10" s="58">
        <v>18469.600000000002</v>
      </c>
      <c r="G10" s="7" t="s">
        <v>65</v>
      </c>
      <c r="H10" s="7" t="s">
        <v>66</v>
      </c>
      <c r="K10" s="4" t="s">
        <v>53</v>
      </c>
      <c r="L10" s="11" t="s">
        <v>67</v>
      </c>
      <c r="M10" s="4"/>
      <c r="N10" s="4">
        <v>600</v>
      </c>
      <c r="O10" s="4">
        <v>800</v>
      </c>
      <c r="P10" s="4">
        <v>1000</v>
      </c>
      <c r="Q10" s="4">
        <v>1200</v>
      </c>
      <c r="R10" s="4">
        <v>1400</v>
      </c>
      <c r="S10" s="4">
        <v>1600</v>
      </c>
      <c r="Y10" s="7" t="s">
        <v>68</v>
      </c>
      <c r="Z10" s="17"/>
      <c r="AA10" s="7" t="s">
        <v>69</v>
      </c>
    </row>
    <row r="11" spans="1:41" x14ac:dyDescent="0.3">
      <c r="A11" t="s">
        <v>70</v>
      </c>
      <c r="B11" t="s">
        <v>71</v>
      </c>
      <c r="D11" s="42">
        <v>36939.200000000004</v>
      </c>
      <c r="E11" s="58">
        <v>18469.600000000002</v>
      </c>
      <c r="G11" s="7" t="s">
        <v>72</v>
      </c>
      <c r="H11" s="7" t="s">
        <v>73</v>
      </c>
      <c r="K11" t="s">
        <v>26</v>
      </c>
      <c r="L11" s="5">
        <v>39326.43</v>
      </c>
      <c r="M11" s="2">
        <v>200</v>
      </c>
      <c r="N11" s="5">
        <v>39326.43</v>
      </c>
      <c r="O11" s="5">
        <v>39326.43</v>
      </c>
      <c r="P11" s="5">
        <v>39326.43</v>
      </c>
      <c r="Q11" s="5">
        <v>39326.43</v>
      </c>
      <c r="R11" s="5">
        <v>40917.980000000003</v>
      </c>
      <c r="S11" s="5">
        <v>42618.400000000001</v>
      </c>
      <c r="Y11" s="121" t="s">
        <v>74</v>
      </c>
      <c r="Z11" s="122"/>
      <c r="AA11" s="123"/>
    </row>
    <row r="12" spans="1:41" x14ac:dyDescent="0.3">
      <c r="A12" t="s">
        <v>75</v>
      </c>
      <c r="B12" t="s">
        <v>76</v>
      </c>
      <c r="D12" s="42">
        <v>36939.200000000004</v>
      </c>
      <c r="E12" s="58">
        <v>18469.600000000002</v>
      </c>
      <c r="G12" s="7"/>
      <c r="H12" s="7"/>
      <c r="K12" s="6" t="s">
        <v>35</v>
      </c>
      <c r="M12" s="2">
        <v>400</v>
      </c>
      <c r="N12" s="5">
        <v>41301.340000000004</v>
      </c>
      <c r="O12" s="5">
        <v>41301.340000000004</v>
      </c>
      <c r="P12" s="5">
        <v>41301.340000000004</v>
      </c>
      <c r="Q12" s="5">
        <v>41301.340000000004</v>
      </c>
      <c r="R12" s="5">
        <v>42893.29</v>
      </c>
      <c r="S12" s="5">
        <v>44593.31</v>
      </c>
      <c r="U12" s="124" t="s">
        <v>77</v>
      </c>
      <c r="V12" s="125"/>
      <c r="W12" s="28" t="s">
        <v>78</v>
      </c>
    </row>
    <row r="13" spans="1:41" x14ac:dyDescent="0.3">
      <c r="A13" s="48" t="s">
        <v>79</v>
      </c>
      <c r="B13" s="48" t="s">
        <v>80</v>
      </c>
      <c r="C13" s="48"/>
      <c r="D13" s="119">
        <v>36939.200000000004</v>
      </c>
      <c r="E13" s="117">
        <v>18469.600000000002</v>
      </c>
      <c r="G13" s="7"/>
      <c r="H13" s="7"/>
      <c r="M13" s="2">
        <v>600</v>
      </c>
      <c r="N13" s="5">
        <v>43281.18</v>
      </c>
      <c r="O13" s="5">
        <v>43281.18</v>
      </c>
      <c r="P13" s="5">
        <v>43281.18</v>
      </c>
      <c r="Q13" s="5">
        <v>43281.18</v>
      </c>
      <c r="R13" s="5">
        <v>44872.73</v>
      </c>
      <c r="S13" s="5">
        <v>46573.15</v>
      </c>
      <c r="U13" s="25" t="s">
        <v>81</v>
      </c>
      <c r="V13" s="26">
        <v>790</v>
      </c>
      <c r="W13" s="29" t="s">
        <v>82</v>
      </c>
      <c r="Y13" s="12" t="s">
        <v>83</v>
      </c>
    </row>
    <row r="14" spans="1:41" x14ac:dyDescent="0.3">
      <c r="A14" t="s">
        <v>84</v>
      </c>
      <c r="B14" s="70" t="s">
        <v>85</v>
      </c>
      <c r="D14" s="42">
        <v>38978.32</v>
      </c>
      <c r="E14" s="58">
        <v>19489.16</v>
      </c>
      <c r="G14" s="7"/>
      <c r="H14" s="7"/>
      <c r="M14" s="2">
        <v>800</v>
      </c>
      <c r="N14" s="5">
        <v>45320.3</v>
      </c>
      <c r="O14" s="5">
        <v>45320.3</v>
      </c>
      <c r="P14" s="5">
        <v>45320.3</v>
      </c>
      <c r="Q14" s="5">
        <v>45320.3</v>
      </c>
      <c r="R14" s="5">
        <v>46911.85</v>
      </c>
      <c r="S14" s="5">
        <v>48612.270000000004</v>
      </c>
      <c r="U14" s="29" t="s">
        <v>86</v>
      </c>
      <c r="V14" s="30">
        <v>543.12</v>
      </c>
      <c r="W14" s="29" t="s">
        <v>87</v>
      </c>
    </row>
    <row r="15" spans="1:41" x14ac:dyDescent="0.3">
      <c r="A15" t="s">
        <v>88</v>
      </c>
      <c r="B15" t="s">
        <v>89</v>
      </c>
      <c r="D15" s="42">
        <v>38978.32</v>
      </c>
      <c r="E15" s="58">
        <v>19489.16</v>
      </c>
      <c r="G15" s="7" t="s">
        <v>90</v>
      </c>
      <c r="H15" s="7"/>
      <c r="M15" s="2">
        <v>1000</v>
      </c>
      <c r="N15" s="5">
        <v>47354.46</v>
      </c>
      <c r="O15" s="5">
        <v>47354.46</v>
      </c>
      <c r="P15" s="5">
        <v>47354.46</v>
      </c>
      <c r="Q15" s="5">
        <v>47354.46</v>
      </c>
      <c r="R15" s="5">
        <v>48946.01</v>
      </c>
      <c r="S15" s="5">
        <v>50646.43</v>
      </c>
      <c r="U15" s="29" t="s">
        <v>91</v>
      </c>
      <c r="V15" s="27">
        <v>997.33</v>
      </c>
      <c r="W15" s="29" t="s">
        <v>87</v>
      </c>
    </row>
    <row r="16" spans="1:41" ht="15.75" customHeight="1" x14ac:dyDescent="0.3">
      <c r="A16" t="s">
        <v>92</v>
      </c>
      <c r="B16" t="s">
        <v>93</v>
      </c>
      <c r="D16" s="42">
        <v>38978.32</v>
      </c>
      <c r="E16" s="58">
        <v>19489.16</v>
      </c>
      <c r="P16" s="5"/>
      <c r="U16" s="25" t="s">
        <v>94</v>
      </c>
      <c r="V16" s="27">
        <v>0</v>
      </c>
      <c r="W16" s="24"/>
    </row>
    <row r="17" spans="1:29" x14ac:dyDescent="0.3">
      <c r="A17" s="48" t="s">
        <v>95</v>
      </c>
      <c r="B17" s="48" t="s">
        <v>96</v>
      </c>
      <c r="C17" s="48"/>
      <c r="D17" s="119">
        <v>38978.32</v>
      </c>
      <c r="E17" s="117">
        <v>19489.16</v>
      </c>
      <c r="K17" s="71" t="s">
        <v>17</v>
      </c>
      <c r="L17" s="11" t="s">
        <v>97</v>
      </c>
      <c r="M17" s="4"/>
      <c r="N17" s="4">
        <v>600</v>
      </c>
      <c r="O17" s="4">
        <v>800</v>
      </c>
      <c r="P17" s="4">
        <v>1000</v>
      </c>
      <c r="Q17" s="4">
        <v>1200</v>
      </c>
      <c r="R17" s="4">
        <v>1400</v>
      </c>
      <c r="S17" s="4">
        <v>1600</v>
      </c>
      <c r="U17" s="25" t="s">
        <v>98</v>
      </c>
      <c r="V17" s="27">
        <v>2105.9199999999983</v>
      </c>
      <c r="W17" s="24" t="s">
        <v>99</v>
      </c>
    </row>
    <row r="18" spans="1:29" x14ac:dyDescent="0.3">
      <c r="A18" t="s">
        <v>100</v>
      </c>
      <c r="B18" s="70" t="s">
        <v>101</v>
      </c>
      <c r="D18" s="42">
        <v>41012.479999999996</v>
      </c>
      <c r="E18" s="58">
        <v>20506.239999999998</v>
      </c>
      <c r="K18" t="s">
        <v>102</v>
      </c>
      <c r="L18" s="5">
        <v>33594.720000000001</v>
      </c>
      <c r="M18" s="2">
        <v>200</v>
      </c>
      <c r="N18" s="1">
        <v>33594.720000000001</v>
      </c>
      <c r="O18" s="1">
        <v>33594.720000000001</v>
      </c>
      <c r="P18" s="1">
        <v>33594.720000000001</v>
      </c>
      <c r="Q18" s="1">
        <v>33594.720000000001</v>
      </c>
      <c r="R18" s="33" t="s">
        <v>27</v>
      </c>
      <c r="S18" s="34" t="s">
        <v>27</v>
      </c>
      <c r="U18" s="25" t="s">
        <v>103</v>
      </c>
      <c r="V18" s="27">
        <v>770.21333333333325</v>
      </c>
      <c r="W18" s="24" t="s">
        <v>99</v>
      </c>
    </row>
    <row r="19" spans="1:29" x14ac:dyDescent="0.3">
      <c r="A19" t="s">
        <v>104</v>
      </c>
      <c r="B19" t="s">
        <v>105</v>
      </c>
      <c r="D19" s="42">
        <v>41012.479999999996</v>
      </c>
      <c r="E19" s="58">
        <v>20506.239999999998</v>
      </c>
      <c r="K19" s="6" t="s">
        <v>35</v>
      </c>
      <c r="M19" s="2">
        <v>400</v>
      </c>
      <c r="N19" s="1">
        <v>35569.630000000005</v>
      </c>
      <c r="O19" s="1">
        <v>35569.630000000005</v>
      </c>
      <c r="P19" s="1">
        <v>35569.630000000005</v>
      </c>
      <c r="Q19" s="1">
        <v>35569.630000000005</v>
      </c>
      <c r="R19" s="35" t="s">
        <v>27</v>
      </c>
      <c r="S19" s="35" t="s">
        <v>27</v>
      </c>
      <c r="U19" s="25" t="s">
        <v>106</v>
      </c>
      <c r="V19" s="27">
        <v>3393.2066666666669</v>
      </c>
      <c r="W19" s="24" t="s">
        <v>107</v>
      </c>
    </row>
    <row r="20" spans="1:29" x14ac:dyDescent="0.3">
      <c r="A20" t="s">
        <v>108</v>
      </c>
      <c r="B20" t="s">
        <v>109</v>
      </c>
      <c r="D20" s="42">
        <v>41012.479999999996</v>
      </c>
      <c r="E20" s="58">
        <v>20506.239999999998</v>
      </c>
      <c r="M20" s="2">
        <v>600</v>
      </c>
      <c r="N20" s="1">
        <v>37549.47</v>
      </c>
      <c r="O20" s="1">
        <v>37549.47</v>
      </c>
      <c r="P20" s="1">
        <v>37549.47</v>
      </c>
      <c r="Q20" s="1">
        <v>37549.47</v>
      </c>
      <c r="R20" s="35" t="s">
        <v>27</v>
      </c>
      <c r="S20" s="35" t="s">
        <v>27</v>
      </c>
      <c r="U20" s="25" t="s">
        <v>110</v>
      </c>
      <c r="V20" s="39"/>
      <c r="W20" s="40"/>
    </row>
    <row r="21" spans="1:29" x14ac:dyDescent="0.3">
      <c r="A21" t="s">
        <v>111</v>
      </c>
      <c r="B21" t="s">
        <v>112</v>
      </c>
      <c r="D21" s="42">
        <v>41012.479999999996</v>
      </c>
      <c r="E21" s="58">
        <v>20506.239999999998</v>
      </c>
      <c r="M21" s="2">
        <v>800</v>
      </c>
      <c r="N21" s="1">
        <v>39588.590000000004</v>
      </c>
      <c r="O21" s="1">
        <v>39588.590000000004</v>
      </c>
      <c r="P21" s="1">
        <v>39588.590000000004</v>
      </c>
      <c r="Q21" s="1">
        <v>39588.590000000004</v>
      </c>
      <c r="R21" s="35" t="s">
        <v>27</v>
      </c>
      <c r="S21" s="35" t="s">
        <v>27</v>
      </c>
      <c r="U21" s="25" t="s">
        <v>113</v>
      </c>
      <c r="V21" s="27">
        <v>1344.62222222222</v>
      </c>
      <c r="W21" s="24" t="s">
        <v>114</v>
      </c>
      <c r="X21" s="3"/>
      <c r="Y21" s="1"/>
      <c r="AB21" s="5"/>
      <c r="AC21" s="5"/>
    </row>
    <row r="22" spans="1:29" x14ac:dyDescent="0.3">
      <c r="A22" s="65"/>
      <c r="B22" s="65"/>
      <c r="C22" s="65"/>
      <c r="D22" s="81"/>
      <c r="E22" s="65"/>
      <c r="M22" s="2">
        <v>1000</v>
      </c>
      <c r="N22" s="1">
        <v>41622.75</v>
      </c>
      <c r="O22" s="1">
        <v>41622.75</v>
      </c>
      <c r="P22" s="1">
        <v>41622.75</v>
      </c>
      <c r="Q22" s="1">
        <v>41622.75</v>
      </c>
      <c r="R22" s="35" t="s">
        <v>27</v>
      </c>
      <c r="S22" s="35" t="s">
        <v>27</v>
      </c>
      <c r="X22" s="3"/>
      <c r="Y22" s="3"/>
      <c r="AB22" s="5"/>
      <c r="AC22" s="5"/>
    </row>
    <row r="23" spans="1:29" x14ac:dyDescent="0.3">
      <c r="A23" t="s">
        <v>115</v>
      </c>
      <c r="B23" s="70" t="s">
        <v>116</v>
      </c>
      <c r="D23" s="42">
        <v>36912.080000000009</v>
      </c>
      <c r="E23" s="58">
        <v>18456.040000000005</v>
      </c>
      <c r="Q23" s="1"/>
      <c r="X23" s="3"/>
      <c r="Y23" s="3"/>
      <c r="AB23" s="5"/>
      <c r="AC23" s="5"/>
    </row>
    <row r="24" spans="1:29" ht="15.75" customHeight="1" x14ac:dyDescent="0.3">
      <c r="A24" t="s">
        <v>117</v>
      </c>
      <c r="B24" s="70" t="s">
        <v>118</v>
      </c>
      <c r="D24" s="42">
        <v>36912.080000000009</v>
      </c>
      <c r="E24" s="58">
        <v>18456.040000000005</v>
      </c>
      <c r="J24" s="5"/>
      <c r="K24" s="4" t="s">
        <v>53</v>
      </c>
      <c r="L24" s="11" t="s">
        <v>119</v>
      </c>
      <c r="M24" s="4"/>
      <c r="N24" s="4">
        <v>600</v>
      </c>
      <c r="O24" s="4">
        <v>800</v>
      </c>
      <c r="P24" s="4">
        <v>1000</v>
      </c>
      <c r="Q24" s="4">
        <v>1200</v>
      </c>
      <c r="R24" s="4">
        <v>1400</v>
      </c>
      <c r="S24" s="4">
        <v>1600</v>
      </c>
    </row>
    <row r="25" spans="1:29" x14ac:dyDescent="0.3">
      <c r="A25" t="s">
        <v>120</v>
      </c>
      <c r="B25" s="70" t="s">
        <v>121</v>
      </c>
      <c r="D25" s="42">
        <v>36912.080000000009</v>
      </c>
      <c r="E25" s="58">
        <v>18456.040000000005</v>
      </c>
      <c r="K25" t="s">
        <v>102</v>
      </c>
      <c r="L25" s="5">
        <v>38315.519999999997</v>
      </c>
      <c r="M25" s="2">
        <v>200</v>
      </c>
      <c r="N25" s="1">
        <v>38315.519999999997</v>
      </c>
      <c r="O25" s="1">
        <v>38315.519999999997</v>
      </c>
      <c r="P25" s="1">
        <v>38315.519999999997</v>
      </c>
      <c r="Q25" s="1">
        <v>38315.519999999997</v>
      </c>
      <c r="R25" s="1">
        <v>39907.07</v>
      </c>
      <c r="S25" s="1">
        <v>41607.49</v>
      </c>
      <c r="V25" s="38"/>
    </row>
    <row r="26" spans="1:29" x14ac:dyDescent="0.3">
      <c r="A26" t="s">
        <v>122</v>
      </c>
      <c r="B26" s="70" t="s">
        <v>123</v>
      </c>
      <c r="D26" s="42">
        <v>36912.080000000009</v>
      </c>
      <c r="E26" s="58">
        <v>18456.040000000005</v>
      </c>
      <c r="G26" s="42"/>
      <c r="K26" s="6" t="s">
        <v>35</v>
      </c>
      <c r="M26" s="2">
        <v>400</v>
      </c>
      <c r="N26" s="1">
        <v>40290.43</v>
      </c>
      <c r="O26" s="1">
        <v>40290.43</v>
      </c>
      <c r="P26" s="1">
        <v>40290.43</v>
      </c>
      <c r="Q26" s="1">
        <v>40290.43</v>
      </c>
      <c r="R26" s="1">
        <v>41882.379999999997</v>
      </c>
      <c r="S26" s="1">
        <v>43582.399999999994</v>
      </c>
    </row>
    <row r="27" spans="1:29" x14ac:dyDescent="0.3">
      <c r="A27" t="s">
        <v>124</v>
      </c>
      <c r="B27" s="70" t="s">
        <v>125</v>
      </c>
      <c r="D27" s="42">
        <v>38503.626666666678</v>
      </c>
      <c r="E27" s="58">
        <v>19251.813333333339</v>
      </c>
      <c r="M27" s="2">
        <v>600</v>
      </c>
      <c r="N27" s="1">
        <v>42270.27</v>
      </c>
      <c r="O27" s="1">
        <v>42270.27</v>
      </c>
      <c r="P27" s="1">
        <v>42270.27</v>
      </c>
      <c r="Q27" s="1">
        <v>42270.27</v>
      </c>
      <c r="R27" s="1">
        <v>43861.82</v>
      </c>
      <c r="S27" s="1">
        <v>45562.239999999998</v>
      </c>
    </row>
    <row r="28" spans="1:29" x14ac:dyDescent="0.3">
      <c r="A28" s="48" t="s">
        <v>126</v>
      </c>
      <c r="B28" s="116" t="s">
        <v>127</v>
      </c>
      <c r="C28" s="48"/>
      <c r="D28" s="119">
        <v>40204.053333333344</v>
      </c>
      <c r="E28" s="117">
        <v>20102.026666666672</v>
      </c>
      <c r="M28" s="2">
        <v>800</v>
      </c>
      <c r="N28" s="1">
        <v>44309.39</v>
      </c>
      <c r="O28" s="1">
        <v>44309.39</v>
      </c>
      <c r="P28" s="1">
        <v>44309.39</v>
      </c>
      <c r="Q28" s="1">
        <v>44309.39</v>
      </c>
      <c r="R28" s="1">
        <v>45900.939999999995</v>
      </c>
      <c r="S28" s="1">
        <v>47601.36</v>
      </c>
    </row>
    <row r="29" spans="1:29" x14ac:dyDescent="0.3">
      <c r="A29" t="s">
        <v>128</v>
      </c>
      <c r="B29" s="70" t="s">
        <v>129</v>
      </c>
      <c r="D29" s="42">
        <v>38886.986666666671</v>
      </c>
      <c r="E29" s="58">
        <v>19443.493333333336</v>
      </c>
      <c r="M29" s="2">
        <v>1000</v>
      </c>
      <c r="N29" s="1">
        <v>46343.549999999996</v>
      </c>
      <c r="O29" s="1">
        <v>46343.549999999996</v>
      </c>
      <c r="P29" s="1">
        <v>46343.549999999996</v>
      </c>
      <c r="Q29" s="1">
        <v>46343.549999999996</v>
      </c>
      <c r="R29" s="1">
        <v>47935.1</v>
      </c>
      <c r="S29" s="1">
        <v>49635.519999999997</v>
      </c>
    </row>
    <row r="30" spans="1:29" x14ac:dyDescent="0.3">
      <c r="A30" t="s">
        <v>130</v>
      </c>
      <c r="B30" s="70" t="s">
        <v>131</v>
      </c>
      <c r="D30" s="42">
        <v>38886.986666666671</v>
      </c>
      <c r="E30" s="58">
        <v>19443.493333333336</v>
      </c>
      <c r="N30" s="3"/>
      <c r="O30" s="3"/>
      <c r="P30" s="3"/>
      <c r="Q30" s="3"/>
      <c r="R30" s="36"/>
      <c r="S30" s="36"/>
    </row>
    <row r="31" spans="1:29" ht="15.75" customHeight="1" x14ac:dyDescent="0.3">
      <c r="A31" t="s">
        <v>132</v>
      </c>
      <c r="B31" s="70" t="s">
        <v>133</v>
      </c>
      <c r="D31" s="42">
        <v>38886.986666666671</v>
      </c>
      <c r="E31" s="58">
        <v>19443.493333333336</v>
      </c>
      <c r="K31" s="71" t="s">
        <v>17</v>
      </c>
      <c r="L31" s="11" t="s">
        <v>134</v>
      </c>
      <c r="M31" s="4"/>
      <c r="N31" s="4">
        <v>600</v>
      </c>
      <c r="O31" s="4">
        <v>800</v>
      </c>
      <c r="P31" s="4">
        <v>1000</v>
      </c>
      <c r="Q31" s="4">
        <v>1200</v>
      </c>
      <c r="R31" s="4">
        <v>1400</v>
      </c>
      <c r="S31" s="4">
        <v>1600</v>
      </c>
      <c r="U31" t="s">
        <v>135</v>
      </c>
    </row>
    <row r="32" spans="1:29" ht="15.75" customHeight="1" x14ac:dyDescent="0.3">
      <c r="A32" t="s">
        <v>136</v>
      </c>
      <c r="B32" s="70" t="s">
        <v>137</v>
      </c>
      <c r="D32" s="42">
        <v>38886.986666666671</v>
      </c>
      <c r="E32" s="58">
        <v>19443.493333333336</v>
      </c>
      <c r="K32" s="70" t="s">
        <v>138</v>
      </c>
      <c r="L32" s="5">
        <v>23781.02</v>
      </c>
      <c r="M32" s="2">
        <v>200</v>
      </c>
      <c r="N32" s="1">
        <v>23781.02</v>
      </c>
      <c r="O32" s="1">
        <v>23781.02</v>
      </c>
      <c r="P32" s="1">
        <v>23781.02</v>
      </c>
      <c r="Q32" s="1">
        <v>23781.02</v>
      </c>
      <c r="R32" s="33" t="s">
        <v>27</v>
      </c>
      <c r="S32" s="34" t="s">
        <v>27</v>
      </c>
    </row>
    <row r="33" spans="1:29" x14ac:dyDescent="0.3">
      <c r="A33" t="s">
        <v>139</v>
      </c>
      <c r="B33" s="70" t="s">
        <v>140</v>
      </c>
      <c r="D33" s="42">
        <v>40478.53333333334</v>
      </c>
      <c r="E33" s="58">
        <v>20239.26666666667</v>
      </c>
      <c r="K33" s="70"/>
      <c r="M33" s="2">
        <v>400</v>
      </c>
      <c r="N33" s="1">
        <v>25755.93</v>
      </c>
      <c r="O33" s="1">
        <v>25755.93</v>
      </c>
      <c r="P33" s="1">
        <v>25755.93</v>
      </c>
      <c r="Q33" s="1">
        <v>25755.93</v>
      </c>
      <c r="R33" s="35" t="s">
        <v>27</v>
      </c>
      <c r="S33" s="35" t="s">
        <v>27</v>
      </c>
      <c r="T33" s="5"/>
    </row>
    <row r="34" spans="1:29" x14ac:dyDescent="0.3">
      <c r="A34" s="48" t="s">
        <v>141</v>
      </c>
      <c r="B34" s="116" t="s">
        <v>142</v>
      </c>
      <c r="C34" s="48"/>
      <c r="D34" s="119">
        <v>42178.960000000006</v>
      </c>
      <c r="E34" s="117">
        <v>21089.480000000003</v>
      </c>
      <c r="M34" s="2">
        <v>600</v>
      </c>
      <c r="N34" s="1">
        <v>27735.77</v>
      </c>
      <c r="O34" s="1">
        <v>27735.77</v>
      </c>
      <c r="P34" s="1">
        <v>27735.77</v>
      </c>
      <c r="Q34" s="1">
        <v>27735.77</v>
      </c>
      <c r="R34" s="35" t="s">
        <v>27</v>
      </c>
      <c r="S34" s="35" t="s">
        <v>27</v>
      </c>
    </row>
    <row r="35" spans="1:29" x14ac:dyDescent="0.3">
      <c r="A35" t="s">
        <v>143</v>
      </c>
      <c r="B35" s="70" t="s">
        <v>144</v>
      </c>
      <c r="D35" s="42">
        <v>40866.826666666675</v>
      </c>
      <c r="E35" s="58">
        <v>20433.413333333338</v>
      </c>
      <c r="M35" s="2">
        <v>800</v>
      </c>
      <c r="N35" s="1">
        <v>29774.89</v>
      </c>
      <c r="O35" s="1">
        <v>29774.89</v>
      </c>
      <c r="P35" s="1">
        <v>29774.89</v>
      </c>
      <c r="Q35" s="1">
        <v>29774.89</v>
      </c>
      <c r="R35" s="35" t="s">
        <v>27</v>
      </c>
      <c r="S35" s="35" t="s">
        <v>27</v>
      </c>
    </row>
    <row r="36" spans="1:29" x14ac:dyDescent="0.3">
      <c r="A36" t="s">
        <v>145</v>
      </c>
      <c r="B36" s="70" t="s">
        <v>146</v>
      </c>
      <c r="D36" s="42">
        <v>40866.826666666675</v>
      </c>
      <c r="E36" s="58">
        <v>20433.413333333338</v>
      </c>
      <c r="M36" s="2">
        <v>1000</v>
      </c>
      <c r="N36" s="1">
        <v>31809.05</v>
      </c>
      <c r="O36" s="1">
        <v>31809.05</v>
      </c>
      <c r="P36" s="1">
        <v>31809.05</v>
      </c>
      <c r="Q36" s="1">
        <v>31809.05</v>
      </c>
      <c r="R36" s="35" t="s">
        <v>27</v>
      </c>
      <c r="S36" s="35" t="s">
        <v>27</v>
      </c>
    </row>
    <row r="37" spans="1:29" x14ac:dyDescent="0.3">
      <c r="A37" t="s">
        <v>147</v>
      </c>
      <c r="B37" s="70" t="s">
        <v>148</v>
      </c>
      <c r="D37" s="42">
        <v>40866.826666666675</v>
      </c>
      <c r="E37" s="58">
        <v>20433.413333333338</v>
      </c>
    </row>
    <row r="38" spans="1:29" x14ac:dyDescent="0.3">
      <c r="A38" t="s">
        <v>149</v>
      </c>
      <c r="B38" s="70" t="s">
        <v>150</v>
      </c>
      <c r="D38" s="42">
        <v>40866.826666666675</v>
      </c>
      <c r="E38" s="58">
        <v>20433.413333333338</v>
      </c>
      <c r="K38" s="4" t="s">
        <v>53</v>
      </c>
      <c r="L38" s="11" t="s">
        <v>151</v>
      </c>
      <c r="M38" s="4"/>
      <c r="N38" s="4">
        <v>600</v>
      </c>
      <c r="O38" s="4">
        <v>800</v>
      </c>
      <c r="P38" s="4">
        <v>1000</v>
      </c>
      <c r="Q38" s="4">
        <v>1200</v>
      </c>
      <c r="R38" s="4">
        <v>1400</v>
      </c>
      <c r="S38" s="4">
        <v>1600</v>
      </c>
    </row>
    <row r="39" spans="1:29" ht="15.75" customHeight="1" x14ac:dyDescent="0.3">
      <c r="A39" t="s">
        <v>152</v>
      </c>
      <c r="B39" s="70" t="s">
        <v>153</v>
      </c>
      <c r="D39" s="42">
        <v>42458.373333333344</v>
      </c>
      <c r="E39" s="58">
        <v>21229.186666666672</v>
      </c>
      <c r="K39" s="70" t="s">
        <v>138</v>
      </c>
      <c r="L39" s="5">
        <v>27382.03</v>
      </c>
      <c r="M39" s="2">
        <v>200</v>
      </c>
      <c r="N39" s="1">
        <v>27382.03</v>
      </c>
      <c r="O39" s="1">
        <v>27382.03</v>
      </c>
      <c r="P39" s="1">
        <v>27382.03</v>
      </c>
      <c r="Q39" s="1">
        <v>27382.03</v>
      </c>
      <c r="R39" s="1">
        <v>28973.579999999998</v>
      </c>
      <c r="S39" s="1">
        <v>30674</v>
      </c>
    </row>
    <row r="40" spans="1:29" x14ac:dyDescent="0.3">
      <c r="A40" s="48" t="s">
        <v>154</v>
      </c>
      <c r="B40" s="116" t="s">
        <v>155</v>
      </c>
      <c r="C40" s="48"/>
      <c r="D40" s="119">
        <v>44158.80000000001</v>
      </c>
      <c r="E40" s="117">
        <v>22079.400000000005</v>
      </c>
      <c r="K40" s="70"/>
      <c r="M40" s="2">
        <v>400</v>
      </c>
      <c r="N40" s="1">
        <v>29356.94</v>
      </c>
      <c r="O40" s="1">
        <v>29356.94</v>
      </c>
      <c r="P40" s="1">
        <v>29356.94</v>
      </c>
      <c r="Q40" s="1">
        <v>29356.94</v>
      </c>
      <c r="R40" s="1">
        <v>30948.89</v>
      </c>
      <c r="S40" s="1">
        <v>32648.91</v>
      </c>
      <c r="X40" s="1"/>
      <c r="Y40" s="1"/>
      <c r="AB40" s="5"/>
      <c r="AC40" s="5"/>
    </row>
    <row r="41" spans="1:29" x14ac:dyDescent="0.3">
      <c r="A41" t="s">
        <v>156</v>
      </c>
      <c r="B41" s="70" t="s">
        <v>157</v>
      </c>
      <c r="D41" s="42">
        <v>42905.94666666667</v>
      </c>
      <c r="E41" s="58">
        <v>21452.973333333335</v>
      </c>
      <c r="M41" s="2">
        <v>600</v>
      </c>
      <c r="N41" s="1">
        <v>31336.78</v>
      </c>
      <c r="O41" s="1">
        <v>31336.78</v>
      </c>
      <c r="P41" s="1">
        <v>31336.78</v>
      </c>
      <c r="Q41" s="1">
        <v>31336.78</v>
      </c>
      <c r="R41" s="1">
        <v>32928.33</v>
      </c>
      <c r="S41" s="1">
        <v>34628.75</v>
      </c>
      <c r="X41" s="1"/>
      <c r="Y41" s="1"/>
      <c r="AB41" s="5"/>
      <c r="AC41" s="5"/>
    </row>
    <row r="42" spans="1:29" x14ac:dyDescent="0.3">
      <c r="A42" t="s">
        <v>158</v>
      </c>
      <c r="B42" s="70" t="s">
        <v>159</v>
      </c>
      <c r="D42" s="42">
        <v>42905.94666666667</v>
      </c>
      <c r="E42" s="58">
        <v>21452.973333333335</v>
      </c>
      <c r="M42" s="2">
        <v>800</v>
      </c>
      <c r="N42" s="1">
        <v>33375.9</v>
      </c>
      <c r="O42" s="1">
        <v>33375.9</v>
      </c>
      <c r="P42" s="1">
        <v>33375.9</v>
      </c>
      <c r="Q42" s="1">
        <v>33375.9</v>
      </c>
      <c r="R42" s="1">
        <v>34967.449999999997</v>
      </c>
      <c r="S42" s="1">
        <v>36667.869999999995</v>
      </c>
    </row>
    <row r="43" spans="1:29" x14ac:dyDescent="0.3">
      <c r="A43" t="s">
        <v>160</v>
      </c>
      <c r="B43" s="70" t="s">
        <v>161</v>
      </c>
      <c r="D43" s="42">
        <v>42905.94666666667</v>
      </c>
      <c r="E43" s="58">
        <v>21452.973333333335</v>
      </c>
      <c r="M43" s="2">
        <v>1000</v>
      </c>
      <c r="N43" s="1">
        <v>35410.06</v>
      </c>
      <c r="O43" s="1">
        <v>35410.06</v>
      </c>
      <c r="P43" s="1">
        <v>35410.06</v>
      </c>
      <c r="Q43" s="1">
        <v>35410.06</v>
      </c>
      <c r="R43" s="1">
        <v>37001.61</v>
      </c>
      <c r="S43" s="1">
        <v>38702.03</v>
      </c>
      <c r="V43" s="3"/>
      <c r="W43" s="3"/>
    </row>
    <row r="44" spans="1:29" x14ac:dyDescent="0.3">
      <c r="A44" t="s">
        <v>162</v>
      </c>
      <c r="B44" s="70" t="s">
        <v>163</v>
      </c>
      <c r="D44" s="42">
        <v>42905.94666666667</v>
      </c>
      <c r="E44" s="58">
        <v>21452.973333333335</v>
      </c>
      <c r="N44" s="36"/>
      <c r="O44" s="36"/>
      <c r="P44" s="36"/>
      <c r="Q44" s="36"/>
      <c r="R44" s="36"/>
      <c r="S44" s="36"/>
      <c r="V44" s="3"/>
      <c r="W44" s="3"/>
    </row>
    <row r="45" spans="1:29" x14ac:dyDescent="0.3">
      <c r="A45" t="s">
        <v>164</v>
      </c>
      <c r="B45" s="70" t="s">
        <v>165</v>
      </c>
      <c r="D45" s="42">
        <v>44497.493333333339</v>
      </c>
      <c r="E45" s="58">
        <v>22248.74666666667</v>
      </c>
      <c r="K45" s="4" t="s">
        <v>166</v>
      </c>
      <c r="L45" s="16" t="s">
        <v>167</v>
      </c>
      <c r="M45" s="4"/>
      <c r="N45" s="4">
        <v>600</v>
      </c>
      <c r="O45" s="4">
        <v>800</v>
      </c>
      <c r="P45" s="4">
        <v>1000</v>
      </c>
      <c r="Q45" s="4">
        <v>1200</v>
      </c>
      <c r="R45" s="4">
        <v>1400</v>
      </c>
      <c r="S45" s="4">
        <v>1600</v>
      </c>
      <c r="V45" s="3"/>
      <c r="W45" s="3"/>
    </row>
    <row r="46" spans="1:29" ht="15.75" customHeight="1" x14ac:dyDescent="0.3">
      <c r="A46" s="48" t="s">
        <v>168</v>
      </c>
      <c r="B46" s="116" t="s">
        <v>169</v>
      </c>
      <c r="C46" s="48"/>
      <c r="D46" s="119">
        <v>46197.920000000006</v>
      </c>
      <c r="E46" s="117">
        <v>23098.960000000003</v>
      </c>
      <c r="K46" s="70" t="s">
        <v>138</v>
      </c>
      <c r="L46" s="5">
        <v>31047.26</v>
      </c>
      <c r="M46" s="2">
        <v>200</v>
      </c>
      <c r="N46" s="1">
        <v>31047.26</v>
      </c>
      <c r="O46" s="1">
        <v>31047.26</v>
      </c>
      <c r="P46" s="1">
        <v>31047.26</v>
      </c>
      <c r="Q46" s="1">
        <v>31047.26</v>
      </c>
      <c r="R46" s="1">
        <v>32638.809999999998</v>
      </c>
      <c r="S46" s="1">
        <v>34339.229999999996</v>
      </c>
    </row>
    <row r="47" spans="1:29" x14ac:dyDescent="0.3">
      <c r="A47" t="s">
        <v>170</v>
      </c>
      <c r="B47" s="70" t="s">
        <v>171</v>
      </c>
      <c r="D47" s="42">
        <v>44940.106666666667</v>
      </c>
      <c r="E47" s="58">
        <v>22470.053333333333</v>
      </c>
      <c r="K47" s="70"/>
      <c r="M47" s="2">
        <v>400</v>
      </c>
      <c r="N47" s="1">
        <v>33022.17</v>
      </c>
      <c r="O47" s="1">
        <v>33022.17</v>
      </c>
      <c r="P47" s="1">
        <v>33022.17</v>
      </c>
      <c r="Q47" s="1">
        <v>33022.17</v>
      </c>
      <c r="R47" s="1">
        <v>34614.119999999995</v>
      </c>
      <c r="S47" s="1">
        <v>36314.14</v>
      </c>
    </row>
    <row r="48" spans="1:29" x14ac:dyDescent="0.3">
      <c r="A48" t="s">
        <v>172</v>
      </c>
      <c r="B48" s="70" t="s">
        <v>173</v>
      </c>
      <c r="D48" s="42">
        <v>44940.106666666667</v>
      </c>
      <c r="E48" s="58">
        <v>22470.053333333333</v>
      </c>
      <c r="M48" s="2">
        <v>600</v>
      </c>
      <c r="N48" s="1">
        <v>35002.009999999995</v>
      </c>
      <c r="O48" s="1">
        <v>35002.009999999995</v>
      </c>
      <c r="P48" s="1">
        <v>35002.009999999995</v>
      </c>
      <c r="Q48" s="1">
        <v>35002.009999999995</v>
      </c>
      <c r="R48" s="1">
        <v>36593.56</v>
      </c>
      <c r="S48" s="1">
        <v>38293.979999999996</v>
      </c>
    </row>
    <row r="49" spans="1:19" x14ac:dyDescent="0.3">
      <c r="A49" t="s">
        <v>174</v>
      </c>
      <c r="B49" s="70" t="s">
        <v>175</v>
      </c>
      <c r="D49" s="42">
        <v>44940.106666666667</v>
      </c>
      <c r="E49" s="58">
        <v>22470.053333333333</v>
      </c>
      <c r="M49" s="2">
        <v>800</v>
      </c>
      <c r="N49" s="1">
        <v>37041.129999999997</v>
      </c>
      <c r="O49" s="1">
        <v>37041.129999999997</v>
      </c>
      <c r="P49" s="1">
        <v>37041.129999999997</v>
      </c>
      <c r="Q49" s="1">
        <v>37041.129999999997</v>
      </c>
      <c r="R49" s="1">
        <v>38632.68</v>
      </c>
      <c r="S49" s="1">
        <v>40333.1</v>
      </c>
    </row>
    <row r="50" spans="1:19" x14ac:dyDescent="0.3">
      <c r="A50" t="s">
        <v>176</v>
      </c>
      <c r="B50" s="70" t="s">
        <v>177</v>
      </c>
      <c r="D50" s="42">
        <v>44940.106666666667</v>
      </c>
      <c r="E50" s="58">
        <v>22470.053333333333</v>
      </c>
      <c r="M50" s="2">
        <v>1000</v>
      </c>
      <c r="N50" s="1">
        <v>39075.29</v>
      </c>
      <c r="O50" s="1">
        <v>39075.29</v>
      </c>
      <c r="P50" s="1">
        <v>39075.29</v>
      </c>
      <c r="Q50" s="1">
        <v>39075.29</v>
      </c>
      <c r="R50" s="1">
        <v>40666.839999999997</v>
      </c>
      <c r="S50" s="1">
        <v>42367.259999999995</v>
      </c>
    </row>
    <row r="51" spans="1:19" x14ac:dyDescent="0.3">
      <c r="A51" t="s">
        <v>178</v>
      </c>
      <c r="B51" s="70" t="s">
        <v>179</v>
      </c>
      <c r="D51" s="42">
        <v>46531.653333333335</v>
      </c>
      <c r="E51" s="58">
        <v>23265.826666666668</v>
      </c>
    </row>
    <row r="52" spans="1:19" x14ac:dyDescent="0.3">
      <c r="A52" t="s">
        <v>180</v>
      </c>
      <c r="B52" s="70" t="s">
        <v>181</v>
      </c>
      <c r="D52" s="42">
        <v>48232.08</v>
      </c>
      <c r="E52" s="58">
        <v>24116.04</v>
      </c>
      <c r="K52" s="4" t="s">
        <v>53</v>
      </c>
      <c r="L52" s="11" t="s">
        <v>182</v>
      </c>
      <c r="M52" s="4"/>
      <c r="N52" s="4">
        <v>600</v>
      </c>
      <c r="O52" s="4">
        <v>800</v>
      </c>
      <c r="P52" s="4">
        <v>1000</v>
      </c>
      <c r="Q52" s="4">
        <v>1200</v>
      </c>
      <c r="R52" s="4">
        <v>1400</v>
      </c>
      <c r="S52" s="4">
        <v>1600</v>
      </c>
    </row>
    <row r="53" spans="1:19" ht="15.75" customHeight="1" x14ac:dyDescent="0.3">
      <c r="A53" s="65"/>
      <c r="B53" s="65"/>
      <c r="C53" s="65"/>
      <c r="D53" s="81"/>
      <c r="E53" s="65"/>
      <c r="K53" t="s">
        <v>102</v>
      </c>
      <c r="L53" s="1">
        <v>48126.239999999998</v>
      </c>
      <c r="M53" s="2"/>
      <c r="N53" s="1">
        <v>48126.239999999998</v>
      </c>
      <c r="O53" s="1">
        <v>48126.239999999998</v>
      </c>
      <c r="P53" s="1">
        <v>48126.239999999998</v>
      </c>
      <c r="Q53" s="1">
        <v>48126.239999999998</v>
      </c>
      <c r="R53" s="1">
        <v>49717.79</v>
      </c>
      <c r="S53" s="1">
        <v>51418.21</v>
      </c>
    </row>
    <row r="54" spans="1:19" x14ac:dyDescent="0.3">
      <c r="A54" t="s">
        <v>183</v>
      </c>
      <c r="B54" s="70" t="s">
        <v>184</v>
      </c>
      <c r="D54" s="42">
        <v>31180.373333333333</v>
      </c>
      <c r="E54" s="58">
        <v>15590.186666666666</v>
      </c>
      <c r="K54" s="6" t="s">
        <v>35</v>
      </c>
    </row>
    <row r="55" spans="1:19" x14ac:dyDescent="0.3">
      <c r="A55" t="s">
        <v>185</v>
      </c>
      <c r="B55" t="s">
        <v>186</v>
      </c>
      <c r="D55" s="42">
        <v>31180.373333333333</v>
      </c>
      <c r="E55" s="58">
        <v>15590.186666666666</v>
      </c>
    </row>
    <row r="56" spans="1:19" ht="15.75" customHeight="1" x14ac:dyDescent="0.3">
      <c r="A56" t="s">
        <v>187</v>
      </c>
      <c r="B56" t="s">
        <v>188</v>
      </c>
      <c r="D56" s="42">
        <v>31180.373333333333</v>
      </c>
      <c r="E56" s="58">
        <v>15590.186666666666</v>
      </c>
    </row>
    <row r="57" spans="1:19" x14ac:dyDescent="0.3">
      <c r="A57" s="48" t="s">
        <v>189</v>
      </c>
      <c r="B57" s="48" t="s">
        <v>190</v>
      </c>
      <c r="C57" s="48"/>
      <c r="D57" s="119">
        <v>31180.373333333333</v>
      </c>
      <c r="E57" s="117">
        <v>15590.186666666666</v>
      </c>
      <c r="L57" s="5"/>
      <c r="N57" s="36"/>
      <c r="O57" s="36"/>
      <c r="P57" s="36"/>
      <c r="Q57" s="36"/>
      <c r="R57" s="5"/>
      <c r="S57" s="5"/>
    </row>
    <row r="58" spans="1:19" ht="15.75" customHeight="1" x14ac:dyDescent="0.3">
      <c r="A58" t="s">
        <v>191</v>
      </c>
      <c r="B58" s="70" t="s">
        <v>192</v>
      </c>
      <c r="D58" s="42">
        <v>33155.279999999999</v>
      </c>
      <c r="E58" s="58">
        <v>16577.64</v>
      </c>
      <c r="N58" s="36"/>
      <c r="O58" s="36"/>
      <c r="P58" s="36"/>
      <c r="Q58" s="36"/>
      <c r="R58" s="5"/>
      <c r="S58" s="5"/>
    </row>
    <row r="59" spans="1:19" x14ac:dyDescent="0.3">
      <c r="A59" t="s">
        <v>193</v>
      </c>
      <c r="B59" t="s">
        <v>194</v>
      </c>
      <c r="D59" s="42">
        <v>33155.279999999999</v>
      </c>
      <c r="E59" s="58">
        <v>16577.64</v>
      </c>
    </row>
    <row r="60" spans="1:19" ht="15.75" customHeight="1" x14ac:dyDescent="0.3">
      <c r="A60" t="s">
        <v>195</v>
      </c>
      <c r="B60" t="s">
        <v>196</v>
      </c>
      <c r="D60" s="42">
        <v>33155.279999999999</v>
      </c>
      <c r="E60" s="58">
        <v>16577.64</v>
      </c>
    </row>
    <row r="61" spans="1:19" ht="15.75" customHeight="1" x14ac:dyDescent="0.3">
      <c r="A61" s="48" t="s">
        <v>197</v>
      </c>
      <c r="B61" s="48" t="s">
        <v>198</v>
      </c>
      <c r="C61" s="48"/>
      <c r="D61" s="119">
        <v>33155.279999999999</v>
      </c>
      <c r="E61" s="117">
        <v>16577.64</v>
      </c>
    </row>
    <row r="62" spans="1:19" ht="15.75" customHeight="1" x14ac:dyDescent="0.3">
      <c r="A62" t="s">
        <v>199</v>
      </c>
      <c r="B62" s="70" t="s">
        <v>200</v>
      </c>
      <c r="D62" s="42">
        <v>35135.119999999995</v>
      </c>
      <c r="E62" s="58">
        <v>17567.559999999998</v>
      </c>
    </row>
    <row r="63" spans="1:19" ht="15.75" customHeight="1" x14ac:dyDescent="0.3">
      <c r="A63" t="s">
        <v>201</v>
      </c>
      <c r="B63" t="s">
        <v>202</v>
      </c>
      <c r="D63" s="42">
        <v>35135.119999999995</v>
      </c>
      <c r="E63" s="58">
        <v>17567.559999999998</v>
      </c>
    </row>
    <row r="64" spans="1:19" ht="15.75" customHeight="1" x14ac:dyDescent="0.3">
      <c r="A64" t="s">
        <v>203</v>
      </c>
      <c r="B64" t="s">
        <v>204</v>
      </c>
      <c r="D64" s="42">
        <v>35135.119999999995</v>
      </c>
      <c r="E64" s="58">
        <v>17567.559999999998</v>
      </c>
    </row>
    <row r="65" spans="1:24" ht="15.75" customHeight="1" x14ac:dyDescent="0.3">
      <c r="A65" s="48" t="s">
        <v>205</v>
      </c>
      <c r="B65" s="48" t="s">
        <v>206</v>
      </c>
      <c r="C65" s="48"/>
      <c r="D65" s="119">
        <v>35135.119999999995</v>
      </c>
      <c r="E65" s="117">
        <v>17567.559999999998</v>
      </c>
    </row>
    <row r="66" spans="1:24" ht="15.75" customHeight="1" x14ac:dyDescent="0.3">
      <c r="A66" t="s">
        <v>207</v>
      </c>
      <c r="B66" s="70" t="s">
        <v>208</v>
      </c>
      <c r="D66" s="42">
        <v>37174.239999999991</v>
      </c>
      <c r="E66" s="58">
        <v>18587.119999999995</v>
      </c>
      <c r="X66" s="5"/>
    </row>
    <row r="67" spans="1:24" ht="15.75" customHeight="1" x14ac:dyDescent="0.3">
      <c r="A67" t="s">
        <v>209</v>
      </c>
      <c r="B67" t="s">
        <v>210</v>
      </c>
      <c r="D67" s="42">
        <v>37174.239999999991</v>
      </c>
      <c r="E67" s="58">
        <v>18587.119999999995</v>
      </c>
    </row>
    <row r="68" spans="1:24" ht="15.75" customHeight="1" x14ac:dyDescent="0.3">
      <c r="A68" t="s">
        <v>211</v>
      </c>
      <c r="B68" t="s">
        <v>212</v>
      </c>
      <c r="D68" s="42">
        <v>37174.239999999991</v>
      </c>
      <c r="E68" s="58">
        <v>18587.119999999995</v>
      </c>
    </row>
    <row r="69" spans="1:24" ht="15.75" customHeight="1" x14ac:dyDescent="0.3">
      <c r="A69" s="48" t="s">
        <v>213</v>
      </c>
      <c r="B69" s="48" t="s">
        <v>214</v>
      </c>
      <c r="C69" s="48"/>
      <c r="D69" s="119">
        <v>37174.239999999991</v>
      </c>
      <c r="E69" s="117">
        <v>18587.119999999995</v>
      </c>
    </row>
    <row r="70" spans="1:24" ht="15.75" customHeight="1" x14ac:dyDescent="0.3">
      <c r="A70" t="s">
        <v>215</v>
      </c>
      <c r="B70" s="70" t="s">
        <v>216</v>
      </c>
      <c r="D70" s="42">
        <v>39208.399999999994</v>
      </c>
      <c r="E70" s="58">
        <v>19604.199999999997</v>
      </c>
    </row>
    <row r="71" spans="1:24" ht="15.75" customHeight="1" x14ac:dyDescent="0.3">
      <c r="A71" t="s">
        <v>217</v>
      </c>
      <c r="B71" t="s">
        <v>218</v>
      </c>
      <c r="D71" s="42">
        <v>39208.399999999994</v>
      </c>
      <c r="E71" s="58">
        <v>19604.199999999997</v>
      </c>
    </row>
    <row r="72" spans="1:24" ht="15.75" customHeight="1" x14ac:dyDescent="0.3">
      <c r="A72" t="s">
        <v>219</v>
      </c>
      <c r="B72" t="s">
        <v>220</v>
      </c>
      <c r="D72" s="42">
        <v>39208.399999999994</v>
      </c>
      <c r="E72" s="58">
        <v>19604.199999999997</v>
      </c>
    </row>
    <row r="73" spans="1:24" ht="15.75" customHeight="1" x14ac:dyDescent="0.3">
      <c r="A73" t="s">
        <v>221</v>
      </c>
      <c r="B73" t="s">
        <v>222</v>
      </c>
      <c r="D73" s="42">
        <v>39208.399999999994</v>
      </c>
      <c r="E73" s="58">
        <v>19604.199999999997</v>
      </c>
    </row>
    <row r="74" spans="1:24" ht="15.75" customHeight="1" x14ac:dyDescent="0.3">
      <c r="A74" s="65"/>
      <c r="B74" s="65"/>
      <c r="C74" s="65"/>
      <c r="D74" s="81"/>
      <c r="E74" s="65"/>
    </row>
    <row r="75" spans="1:24" ht="15.75" customHeight="1" x14ac:dyDescent="0.3">
      <c r="A75" t="s">
        <v>223</v>
      </c>
      <c r="B75" s="70" t="s">
        <v>224</v>
      </c>
      <c r="D75" s="42">
        <v>35901.17333333334</v>
      </c>
      <c r="E75" s="58">
        <v>17950.58666666667</v>
      </c>
    </row>
    <row r="76" spans="1:24" ht="15.75" customHeight="1" x14ac:dyDescent="0.3">
      <c r="A76" t="s">
        <v>225</v>
      </c>
      <c r="B76" s="70" t="s">
        <v>226</v>
      </c>
      <c r="D76" s="42">
        <v>35901.17333333334</v>
      </c>
      <c r="E76" s="58">
        <v>17950.58666666667</v>
      </c>
    </row>
    <row r="77" spans="1:24" ht="15.75" customHeight="1" x14ac:dyDescent="0.3">
      <c r="A77" t="s">
        <v>227</v>
      </c>
      <c r="B77" s="70" t="s">
        <v>228</v>
      </c>
      <c r="D77" s="42">
        <v>35901.17333333334</v>
      </c>
      <c r="E77" s="58">
        <v>17950.58666666667</v>
      </c>
    </row>
    <row r="78" spans="1:24" ht="15.75" customHeight="1" x14ac:dyDescent="0.3">
      <c r="A78" t="s">
        <v>229</v>
      </c>
      <c r="B78" s="70" t="s">
        <v>230</v>
      </c>
      <c r="D78" s="42">
        <v>35901.17333333334</v>
      </c>
      <c r="E78" s="58">
        <v>17950.58666666667</v>
      </c>
    </row>
    <row r="79" spans="1:24" ht="15.75" customHeight="1" x14ac:dyDescent="0.3">
      <c r="A79" t="s">
        <v>231</v>
      </c>
      <c r="B79" s="70" t="s">
        <v>232</v>
      </c>
      <c r="D79" s="42">
        <v>37492.720000000008</v>
      </c>
      <c r="E79" s="58">
        <v>18746.360000000004</v>
      </c>
    </row>
    <row r="80" spans="1:24" ht="15.75" customHeight="1" x14ac:dyDescent="0.3">
      <c r="A80" s="48" t="s">
        <v>233</v>
      </c>
      <c r="B80" s="116" t="s">
        <v>234</v>
      </c>
      <c r="C80" s="48"/>
      <c r="D80" s="119">
        <v>39193.146666666675</v>
      </c>
      <c r="E80" s="117">
        <v>19596.573333333337</v>
      </c>
    </row>
    <row r="81" spans="1:5" ht="15.75" customHeight="1" x14ac:dyDescent="0.3">
      <c r="A81" t="s">
        <v>235</v>
      </c>
      <c r="B81" s="70" t="s">
        <v>236</v>
      </c>
      <c r="D81" s="42">
        <v>37876.080000000002</v>
      </c>
      <c r="E81" s="58">
        <v>18938.04</v>
      </c>
    </row>
    <row r="82" spans="1:5" x14ac:dyDescent="0.3">
      <c r="A82" t="s">
        <v>237</v>
      </c>
      <c r="B82" s="70" t="s">
        <v>238</v>
      </c>
      <c r="D82" s="42">
        <v>37876.080000000002</v>
      </c>
      <c r="E82" s="58">
        <v>18938.04</v>
      </c>
    </row>
    <row r="83" spans="1:5" x14ac:dyDescent="0.3">
      <c r="A83" t="s">
        <v>239</v>
      </c>
      <c r="B83" s="70" t="s">
        <v>240</v>
      </c>
      <c r="D83" s="42">
        <v>37876.080000000002</v>
      </c>
      <c r="E83" s="58">
        <v>18938.04</v>
      </c>
    </row>
    <row r="84" spans="1:5" x14ac:dyDescent="0.3">
      <c r="A84" t="s">
        <v>241</v>
      </c>
      <c r="B84" s="70" t="s">
        <v>242</v>
      </c>
      <c r="D84" s="42">
        <v>37876.080000000002</v>
      </c>
      <c r="E84" s="58">
        <v>18938.04</v>
      </c>
    </row>
    <row r="85" spans="1:5" x14ac:dyDescent="0.3">
      <c r="A85" t="s">
        <v>243</v>
      </c>
      <c r="B85" s="70" t="s">
        <v>244</v>
      </c>
      <c r="D85" s="42">
        <v>39467.626666666671</v>
      </c>
      <c r="E85" s="58">
        <v>19733.813333333335</v>
      </c>
    </row>
    <row r="86" spans="1:5" x14ac:dyDescent="0.3">
      <c r="A86" s="48" t="s">
        <v>245</v>
      </c>
      <c r="B86" s="116" t="s">
        <v>246</v>
      </c>
      <c r="C86" s="48"/>
      <c r="D86" s="119">
        <v>41168.053333333337</v>
      </c>
      <c r="E86" s="117">
        <v>20584.026666666668</v>
      </c>
    </row>
    <row r="87" spans="1:5" x14ac:dyDescent="0.3">
      <c r="A87" t="s">
        <v>247</v>
      </c>
      <c r="B87" s="70" t="s">
        <v>248</v>
      </c>
      <c r="D87" s="42">
        <v>39855.920000000006</v>
      </c>
      <c r="E87" s="58">
        <v>19927.960000000003</v>
      </c>
    </row>
    <row r="88" spans="1:5" x14ac:dyDescent="0.3">
      <c r="A88" t="s">
        <v>249</v>
      </c>
      <c r="B88" s="70" t="s">
        <v>250</v>
      </c>
      <c r="D88" s="42">
        <v>39855.920000000006</v>
      </c>
      <c r="E88" s="58">
        <v>19927.960000000003</v>
      </c>
    </row>
    <row r="89" spans="1:5" x14ac:dyDescent="0.3">
      <c r="A89" t="s">
        <v>251</v>
      </c>
      <c r="B89" s="70" t="s">
        <v>252</v>
      </c>
      <c r="D89" s="42">
        <v>39855.920000000006</v>
      </c>
      <c r="E89" s="58">
        <v>19927.960000000003</v>
      </c>
    </row>
    <row r="90" spans="1:5" x14ac:dyDescent="0.3">
      <c r="A90" t="s">
        <v>253</v>
      </c>
      <c r="B90" s="70" t="s">
        <v>254</v>
      </c>
      <c r="D90" s="42">
        <v>39855.920000000006</v>
      </c>
      <c r="E90" s="58">
        <v>19927.960000000003</v>
      </c>
    </row>
    <row r="91" spans="1:5" x14ac:dyDescent="0.3">
      <c r="A91" t="s">
        <v>255</v>
      </c>
      <c r="B91" s="70" t="s">
        <v>256</v>
      </c>
      <c r="D91" s="42">
        <v>41447.466666666674</v>
      </c>
      <c r="E91" s="58">
        <v>20723.733333333337</v>
      </c>
    </row>
    <row r="92" spans="1:5" x14ac:dyDescent="0.3">
      <c r="A92" s="48" t="s">
        <v>257</v>
      </c>
      <c r="B92" s="116" t="s">
        <v>258</v>
      </c>
      <c r="C92" s="48"/>
      <c r="D92" s="119">
        <v>43147.893333333341</v>
      </c>
      <c r="E92" s="117">
        <v>21573.94666666667</v>
      </c>
    </row>
    <row r="93" spans="1:5" x14ac:dyDescent="0.3">
      <c r="A93" t="s">
        <v>259</v>
      </c>
      <c r="B93" s="70" t="s">
        <v>260</v>
      </c>
      <c r="D93" s="42">
        <v>41895.040000000001</v>
      </c>
      <c r="E93" s="58">
        <v>20947.52</v>
      </c>
    </row>
    <row r="94" spans="1:5" x14ac:dyDescent="0.3">
      <c r="A94" t="s">
        <v>261</v>
      </c>
      <c r="B94" s="70" t="s">
        <v>262</v>
      </c>
      <c r="D94" s="42">
        <v>41895.040000000001</v>
      </c>
      <c r="E94" s="58">
        <v>20947.52</v>
      </c>
    </row>
    <row r="95" spans="1:5" x14ac:dyDescent="0.3">
      <c r="A95" t="s">
        <v>263</v>
      </c>
      <c r="B95" s="70" t="s">
        <v>264</v>
      </c>
      <c r="D95" s="42">
        <v>41895.040000000001</v>
      </c>
      <c r="E95" s="58">
        <v>20947.52</v>
      </c>
    </row>
    <row r="96" spans="1:5" x14ac:dyDescent="0.3">
      <c r="A96" t="s">
        <v>265</v>
      </c>
      <c r="B96" s="70" t="s">
        <v>266</v>
      </c>
      <c r="D96" s="42">
        <v>41895.040000000001</v>
      </c>
      <c r="E96" s="58">
        <v>20947.52</v>
      </c>
    </row>
    <row r="97" spans="1:5" x14ac:dyDescent="0.3">
      <c r="A97" t="s">
        <v>267</v>
      </c>
      <c r="B97" s="70" t="s">
        <v>268</v>
      </c>
      <c r="D97" s="42">
        <v>43486.58666666667</v>
      </c>
      <c r="E97" s="58">
        <v>21743.293333333335</v>
      </c>
    </row>
    <row r="98" spans="1:5" x14ac:dyDescent="0.3">
      <c r="A98" s="48" t="s">
        <v>269</v>
      </c>
      <c r="B98" s="116" t="s">
        <v>270</v>
      </c>
      <c r="C98" s="48"/>
      <c r="D98" s="119">
        <v>45187.013333333336</v>
      </c>
      <c r="E98" s="117">
        <v>22593.506666666668</v>
      </c>
    </row>
    <row r="99" spans="1:5" x14ac:dyDescent="0.3">
      <c r="A99" t="s">
        <v>271</v>
      </c>
      <c r="B99" s="70" t="s">
        <v>272</v>
      </c>
      <c r="D99" s="42">
        <v>43929.2</v>
      </c>
      <c r="E99" s="58">
        <v>21964.6</v>
      </c>
    </row>
    <row r="100" spans="1:5" x14ac:dyDescent="0.3">
      <c r="A100" t="s">
        <v>273</v>
      </c>
      <c r="B100" s="70" t="s">
        <v>274</v>
      </c>
      <c r="D100" s="42">
        <v>43929.2</v>
      </c>
      <c r="E100" s="58">
        <v>21964.6</v>
      </c>
    </row>
    <row r="101" spans="1:5" x14ac:dyDescent="0.3">
      <c r="A101" t="s">
        <v>275</v>
      </c>
      <c r="B101" s="70" t="s">
        <v>276</v>
      </c>
      <c r="D101" s="42">
        <v>43929.2</v>
      </c>
      <c r="E101" s="58">
        <v>21964.6</v>
      </c>
    </row>
    <row r="102" spans="1:5" x14ac:dyDescent="0.3">
      <c r="A102" t="s">
        <v>277</v>
      </c>
      <c r="B102" s="70" t="s">
        <v>278</v>
      </c>
      <c r="D102" s="42">
        <v>43929.2</v>
      </c>
      <c r="E102" s="58">
        <v>21964.6</v>
      </c>
    </row>
    <row r="103" spans="1:5" x14ac:dyDescent="0.3">
      <c r="A103" t="s">
        <v>279</v>
      </c>
      <c r="B103" s="70" t="s">
        <v>280</v>
      </c>
      <c r="D103" s="42">
        <v>45520.746666666666</v>
      </c>
      <c r="E103" s="58">
        <v>22760.373333333333</v>
      </c>
    </row>
    <row r="104" spans="1:5" x14ac:dyDescent="0.3">
      <c r="A104" t="s">
        <v>281</v>
      </c>
      <c r="B104" s="70" t="s">
        <v>282</v>
      </c>
      <c r="D104" s="42">
        <v>47221.173333333332</v>
      </c>
      <c r="E104" s="58">
        <v>23610.586666666666</v>
      </c>
    </row>
    <row r="105" spans="1:5" x14ac:dyDescent="0.3">
      <c r="A105" s="65"/>
      <c r="B105" s="65"/>
      <c r="C105" s="65"/>
      <c r="D105" s="81"/>
      <c r="E105" s="65"/>
    </row>
    <row r="106" spans="1:5" x14ac:dyDescent="0.3">
      <c r="A106" t="s">
        <v>283</v>
      </c>
      <c r="B106" s="70" t="s">
        <v>284</v>
      </c>
      <c r="D106" s="42">
        <v>21369.333333333336</v>
      </c>
      <c r="E106" s="58">
        <v>10684.666666666668</v>
      </c>
    </row>
    <row r="107" spans="1:5" x14ac:dyDescent="0.3">
      <c r="A107" t="s">
        <v>285</v>
      </c>
      <c r="B107" s="70" t="s">
        <v>286</v>
      </c>
      <c r="D107" s="42">
        <v>21369.333333333336</v>
      </c>
      <c r="E107" s="58">
        <v>10684.666666666668</v>
      </c>
    </row>
    <row r="108" spans="1:5" x14ac:dyDescent="0.3">
      <c r="A108" t="s">
        <v>287</v>
      </c>
      <c r="B108" s="70" t="s">
        <v>288</v>
      </c>
      <c r="D108" s="42">
        <v>21369.333333333336</v>
      </c>
      <c r="E108" s="58">
        <v>10684.666666666668</v>
      </c>
    </row>
    <row r="109" spans="1:5" x14ac:dyDescent="0.3">
      <c r="A109" t="s">
        <v>289</v>
      </c>
      <c r="B109" s="70" t="s">
        <v>290</v>
      </c>
      <c r="D109" s="42">
        <v>21369.333333333336</v>
      </c>
      <c r="E109" s="58">
        <v>10684.666666666668</v>
      </c>
    </row>
    <row r="110" spans="1:5" x14ac:dyDescent="0.3">
      <c r="A110" t="s">
        <v>291</v>
      </c>
      <c r="B110" s="70" t="s">
        <v>292</v>
      </c>
      <c r="D110" s="42">
        <v>22960.880000000001</v>
      </c>
      <c r="E110" s="58">
        <v>11480.44</v>
      </c>
    </row>
    <row r="111" spans="1:5" x14ac:dyDescent="0.3">
      <c r="A111" s="48" t="s">
        <v>293</v>
      </c>
      <c r="B111" s="116" t="s">
        <v>294</v>
      </c>
      <c r="C111" s="48"/>
      <c r="D111" s="119">
        <v>24661.306666666667</v>
      </c>
      <c r="E111" s="117">
        <v>12330.653333333334</v>
      </c>
    </row>
    <row r="112" spans="1:5" x14ac:dyDescent="0.3">
      <c r="A112" t="s">
        <v>295</v>
      </c>
      <c r="B112" s="70" t="s">
        <v>296</v>
      </c>
      <c r="D112" s="42">
        <v>23344.239999999998</v>
      </c>
      <c r="E112" s="58">
        <v>11672.119999999999</v>
      </c>
    </row>
    <row r="113" spans="1:5" x14ac:dyDescent="0.3">
      <c r="A113" t="s">
        <v>297</v>
      </c>
      <c r="B113" s="70" t="s">
        <v>298</v>
      </c>
      <c r="D113" s="42">
        <v>23344.239999999998</v>
      </c>
      <c r="E113" s="58">
        <v>11672.119999999999</v>
      </c>
    </row>
    <row r="114" spans="1:5" x14ac:dyDescent="0.3">
      <c r="A114" t="s">
        <v>299</v>
      </c>
      <c r="B114" s="70" t="s">
        <v>300</v>
      </c>
      <c r="D114" s="42">
        <v>23344.239999999998</v>
      </c>
      <c r="E114" s="58">
        <v>11672.119999999999</v>
      </c>
    </row>
    <row r="115" spans="1:5" x14ac:dyDescent="0.3">
      <c r="A115" t="s">
        <v>301</v>
      </c>
      <c r="B115" s="70" t="s">
        <v>302</v>
      </c>
      <c r="D115" s="42">
        <v>23344.239999999998</v>
      </c>
      <c r="E115" s="58">
        <v>11672.119999999999</v>
      </c>
    </row>
    <row r="116" spans="1:5" x14ac:dyDescent="0.3">
      <c r="A116" t="s">
        <v>303</v>
      </c>
      <c r="B116" s="70" t="s">
        <v>304</v>
      </c>
      <c r="D116" s="42">
        <v>24935.786666666663</v>
      </c>
      <c r="E116" s="115">
        <v>12467.893333333332</v>
      </c>
    </row>
    <row r="117" spans="1:5" x14ac:dyDescent="0.3">
      <c r="A117" s="48" t="s">
        <v>305</v>
      </c>
      <c r="B117" s="116" t="s">
        <v>306</v>
      </c>
      <c r="C117" s="48"/>
      <c r="D117" s="119">
        <v>26636.21333333333</v>
      </c>
      <c r="E117" s="117">
        <v>13318.106666666665</v>
      </c>
    </row>
    <row r="118" spans="1:5" x14ac:dyDescent="0.3">
      <c r="A118" t="s">
        <v>307</v>
      </c>
      <c r="B118" s="70" t="s">
        <v>308</v>
      </c>
      <c r="D118" s="42">
        <v>25324.079999999998</v>
      </c>
      <c r="E118" s="115">
        <v>12662.039999999999</v>
      </c>
    </row>
    <row r="119" spans="1:5" x14ac:dyDescent="0.3">
      <c r="A119" t="s">
        <v>309</v>
      </c>
      <c r="B119" s="70" t="s">
        <v>310</v>
      </c>
      <c r="D119" s="42">
        <v>25324.079999999998</v>
      </c>
      <c r="E119" s="115">
        <v>12662.039999999999</v>
      </c>
    </row>
    <row r="120" spans="1:5" x14ac:dyDescent="0.3">
      <c r="A120" t="s">
        <v>311</v>
      </c>
      <c r="B120" s="70" t="s">
        <v>312</v>
      </c>
      <c r="D120" s="42">
        <v>25324.079999999998</v>
      </c>
      <c r="E120" s="115">
        <v>12662.039999999999</v>
      </c>
    </row>
    <row r="121" spans="1:5" x14ac:dyDescent="0.3">
      <c r="A121" t="s">
        <v>313</v>
      </c>
      <c r="B121" s="70" t="s">
        <v>314</v>
      </c>
      <c r="D121" s="42">
        <v>25324.079999999998</v>
      </c>
      <c r="E121" s="115">
        <v>12662.039999999999</v>
      </c>
    </row>
    <row r="122" spans="1:5" x14ac:dyDescent="0.3">
      <c r="A122" t="s">
        <v>315</v>
      </c>
      <c r="B122" s="70" t="s">
        <v>316</v>
      </c>
      <c r="D122" s="42">
        <v>26915.626666666663</v>
      </c>
      <c r="E122" s="115">
        <v>13457.813333333332</v>
      </c>
    </row>
    <row r="123" spans="1:5" x14ac:dyDescent="0.3">
      <c r="A123" s="48" t="s">
        <v>317</v>
      </c>
      <c r="B123" s="116" t="s">
        <v>316</v>
      </c>
      <c r="C123" s="48"/>
      <c r="D123" s="119">
        <v>28616.05333333333</v>
      </c>
      <c r="E123" s="117">
        <v>14308.026666666665</v>
      </c>
    </row>
    <row r="124" spans="1:5" x14ac:dyDescent="0.3">
      <c r="A124" t="s">
        <v>318</v>
      </c>
      <c r="B124" s="70" t="s">
        <v>319</v>
      </c>
      <c r="D124" s="42">
        <v>27363.199999999997</v>
      </c>
      <c r="E124" s="115">
        <v>13681.599999999999</v>
      </c>
    </row>
    <row r="125" spans="1:5" x14ac:dyDescent="0.3">
      <c r="A125" t="s">
        <v>320</v>
      </c>
      <c r="B125" s="70" t="s">
        <v>321</v>
      </c>
      <c r="D125" s="42">
        <v>27363.199999999997</v>
      </c>
      <c r="E125" s="115">
        <v>13681.599999999999</v>
      </c>
    </row>
    <row r="126" spans="1:5" x14ac:dyDescent="0.3">
      <c r="A126" t="s">
        <v>322</v>
      </c>
      <c r="B126" s="70" t="s">
        <v>323</v>
      </c>
      <c r="D126" s="42">
        <v>27363.199999999997</v>
      </c>
      <c r="E126" s="115">
        <v>13681.599999999999</v>
      </c>
    </row>
    <row r="127" spans="1:5" x14ac:dyDescent="0.3">
      <c r="A127" t="s">
        <v>324</v>
      </c>
      <c r="B127" s="70" t="s">
        <v>325</v>
      </c>
      <c r="D127" s="42">
        <v>27363.199999999997</v>
      </c>
      <c r="E127" s="115">
        <v>13681.599999999999</v>
      </c>
    </row>
    <row r="128" spans="1:5" x14ac:dyDescent="0.3">
      <c r="A128" t="s">
        <v>326</v>
      </c>
      <c r="B128" s="70" t="s">
        <v>327</v>
      </c>
      <c r="D128" s="42">
        <v>28954.746666666659</v>
      </c>
      <c r="E128" s="115">
        <v>14477.373333333329</v>
      </c>
    </row>
    <row r="129" spans="1:5" x14ac:dyDescent="0.3">
      <c r="A129" s="48" t="s">
        <v>328</v>
      </c>
      <c r="B129" s="116" t="s">
        <v>329</v>
      </c>
      <c r="C129" s="48"/>
      <c r="D129" s="119">
        <v>30655.173333333325</v>
      </c>
      <c r="E129" s="117">
        <v>15327.586666666662</v>
      </c>
    </row>
    <row r="130" spans="1:5" x14ac:dyDescent="0.3">
      <c r="A130" t="s">
        <v>330</v>
      </c>
      <c r="B130" s="70" t="s">
        <v>331</v>
      </c>
      <c r="D130" s="42">
        <v>29397.359999999993</v>
      </c>
      <c r="E130" s="115">
        <v>14698.679999999997</v>
      </c>
    </row>
    <row r="131" spans="1:5" x14ac:dyDescent="0.3">
      <c r="A131" t="s">
        <v>332</v>
      </c>
      <c r="B131" s="70" t="s">
        <v>333</v>
      </c>
      <c r="D131" s="42">
        <v>29397.359999999993</v>
      </c>
      <c r="E131" s="115">
        <v>14698.679999999997</v>
      </c>
    </row>
    <row r="132" spans="1:5" x14ac:dyDescent="0.3">
      <c r="A132" t="s">
        <v>334</v>
      </c>
      <c r="B132" s="70" t="s">
        <v>335</v>
      </c>
      <c r="D132" s="42">
        <v>29397.359999999993</v>
      </c>
      <c r="E132" s="115">
        <v>14698.679999999997</v>
      </c>
    </row>
    <row r="133" spans="1:5" x14ac:dyDescent="0.3">
      <c r="A133" t="s">
        <v>336</v>
      </c>
      <c r="B133" s="70" t="s">
        <v>337</v>
      </c>
      <c r="D133" s="42">
        <v>29397.359999999993</v>
      </c>
      <c r="E133" s="115">
        <v>14698.679999999997</v>
      </c>
    </row>
    <row r="134" spans="1:5" x14ac:dyDescent="0.3">
      <c r="A134" t="s">
        <v>338</v>
      </c>
      <c r="B134" s="70" t="s">
        <v>339</v>
      </c>
      <c r="D134" s="42">
        <v>30988.906666666659</v>
      </c>
      <c r="E134" s="115">
        <v>15494.453333333329</v>
      </c>
    </row>
    <row r="135" spans="1:5" ht="16.2" thickBot="1" x14ac:dyDescent="0.35">
      <c r="A135" s="133" t="s">
        <v>340</v>
      </c>
      <c r="B135" s="134" t="s">
        <v>341</v>
      </c>
      <c r="C135" s="133"/>
      <c r="D135" s="135">
        <v>32689.333333333325</v>
      </c>
      <c r="E135" s="136">
        <v>16344.666666666662</v>
      </c>
    </row>
    <row r="136" spans="1:5" x14ac:dyDescent="0.3">
      <c r="A136" t="s">
        <v>342</v>
      </c>
      <c r="B136" s="70" t="s">
        <v>343</v>
      </c>
      <c r="D136" s="42">
        <v>21366.666666666668</v>
      </c>
      <c r="E136" s="115">
        <v>10683.333333333334</v>
      </c>
    </row>
    <row r="137" spans="1:5" x14ac:dyDescent="0.3">
      <c r="A137" t="s">
        <v>344</v>
      </c>
      <c r="B137" s="70" t="s">
        <v>345</v>
      </c>
      <c r="D137" s="42">
        <v>21366.666666666668</v>
      </c>
      <c r="E137" s="115">
        <v>10683.333333333334</v>
      </c>
    </row>
    <row r="138" spans="1:5" x14ac:dyDescent="0.3">
      <c r="A138" t="s">
        <v>346</v>
      </c>
      <c r="B138" s="70" t="s">
        <v>347</v>
      </c>
      <c r="D138" s="42">
        <v>21366.666666666668</v>
      </c>
      <c r="E138" s="115">
        <v>10683.333333333334</v>
      </c>
    </row>
    <row r="139" spans="1:5" x14ac:dyDescent="0.3">
      <c r="A139" t="s">
        <v>348</v>
      </c>
      <c r="B139" s="70" t="s">
        <v>349</v>
      </c>
      <c r="D139" s="42">
        <v>21366.666666666668</v>
      </c>
      <c r="E139" s="115">
        <v>10683.333333333334</v>
      </c>
    </row>
    <row r="140" spans="1:5" x14ac:dyDescent="0.3">
      <c r="A140" t="s">
        <v>350</v>
      </c>
      <c r="B140" s="70" t="s">
        <v>351</v>
      </c>
      <c r="D140" s="42">
        <v>22958.213333333333</v>
      </c>
      <c r="E140" s="115">
        <v>11479.106666666667</v>
      </c>
    </row>
    <row r="141" spans="1:5" x14ac:dyDescent="0.3">
      <c r="A141" s="48" t="s">
        <v>352</v>
      </c>
      <c r="B141" s="116" t="s">
        <v>353</v>
      </c>
      <c r="C141" s="48"/>
      <c r="D141" s="119">
        <v>24658.639999999999</v>
      </c>
      <c r="E141" s="117">
        <v>12329.32</v>
      </c>
    </row>
    <row r="142" spans="1:5" x14ac:dyDescent="0.3">
      <c r="A142" t="s">
        <v>354</v>
      </c>
      <c r="B142" s="70" t="s">
        <v>355</v>
      </c>
      <c r="D142" s="42">
        <v>23341.57333333333</v>
      </c>
      <c r="E142" s="115">
        <v>11670.786666666665</v>
      </c>
    </row>
    <row r="143" spans="1:5" x14ac:dyDescent="0.3">
      <c r="A143" t="s">
        <v>356</v>
      </c>
      <c r="B143" s="70" t="s">
        <v>357</v>
      </c>
      <c r="D143" s="42">
        <v>23341.57333333333</v>
      </c>
      <c r="E143" s="115">
        <v>11670.786666666665</v>
      </c>
    </row>
    <row r="144" spans="1:5" x14ac:dyDescent="0.3">
      <c r="A144" t="s">
        <v>358</v>
      </c>
      <c r="B144" s="70" t="s">
        <v>359</v>
      </c>
      <c r="D144" s="42">
        <v>23341.57333333333</v>
      </c>
      <c r="E144" s="115">
        <v>11670.786666666665</v>
      </c>
    </row>
    <row r="145" spans="1:5" x14ac:dyDescent="0.3">
      <c r="A145" t="s">
        <v>360</v>
      </c>
      <c r="B145" s="70" t="s">
        <v>361</v>
      </c>
      <c r="D145" s="42">
        <v>23341.57333333333</v>
      </c>
      <c r="E145" s="115">
        <v>11670.786666666665</v>
      </c>
    </row>
    <row r="146" spans="1:5" x14ac:dyDescent="0.3">
      <c r="A146" t="s">
        <v>362</v>
      </c>
      <c r="B146" s="70" t="s">
        <v>363</v>
      </c>
      <c r="D146" s="42">
        <v>24933.119999999995</v>
      </c>
      <c r="E146" s="115">
        <v>12466.559999999998</v>
      </c>
    </row>
    <row r="147" spans="1:5" x14ac:dyDescent="0.3">
      <c r="A147" s="48" t="s">
        <v>364</v>
      </c>
      <c r="B147" s="116" t="s">
        <v>365</v>
      </c>
      <c r="C147" s="48"/>
      <c r="D147" s="119">
        <v>26633.546666666662</v>
      </c>
      <c r="E147" s="117">
        <v>13316.773333333331</v>
      </c>
    </row>
    <row r="148" spans="1:5" x14ac:dyDescent="0.3">
      <c r="A148" t="s">
        <v>366</v>
      </c>
      <c r="B148" s="70" t="s">
        <v>367</v>
      </c>
      <c r="D148" s="42">
        <v>25321.41333333333</v>
      </c>
      <c r="E148" s="115">
        <v>12660.706666666665</v>
      </c>
    </row>
    <row r="149" spans="1:5" x14ac:dyDescent="0.3">
      <c r="A149" t="s">
        <v>368</v>
      </c>
      <c r="B149" s="70" t="s">
        <v>369</v>
      </c>
      <c r="D149" s="42">
        <v>25321.41333333333</v>
      </c>
      <c r="E149" s="115">
        <v>12660.706666666665</v>
      </c>
    </row>
    <row r="150" spans="1:5" x14ac:dyDescent="0.3">
      <c r="A150" t="s">
        <v>370</v>
      </c>
      <c r="B150" s="70" t="s">
        <v>371</v>
      </c>
      <c r="D150" s="42">
        <v>25321.41333333333</v>
      </c>
      <c r="E150" s="115">
        <v>12660.706666666665</v>
      </c>
    </row>
    <row r="151" spans="1:5" x14ac:dyDescent="0.3">
      <c r="A151" t="s">
        <v>372</v>
      </c>
      <c r="B151" s="70" t="s">
        <v>373</v>
      </c>
      <c r="D151" s="42">
        <v>25321.41333333333</v>
      </c>
      <c r="E151" s="115">
        <v>12660.706666666665</v>
      </c>
    </row>
    <row r="152" spans="1:5" x14ac:dyDescent="0.3">
      <c r="A152" t="s">
        <v>374</v>
      </c>
      <c r="B152" s="70" t="s">
        <v>375</v>
      </c>
      <c r="D152" s="42">
        <v>26912.959999999995</v>
      </c>
      <c r="E152" s="115">
        <v>13456.479999999998</v>
      </c>
    </row>
    <row r="153" spans="1:5" x14ac:dyDescent="0.3">
      <c r="A153" s="48" t="s">
        <v>376</v>
      </c>
      <c r="B153" s="116" t="s">
        <v>377</v>
      </c>
      <c r="C153" s="48"/>
      <c r="D153" s="119">
        <v>28613.386666666662</v>
      </c>
      <c r="E153" s="117">
        <v>14306.693333333331</v>
      </c>
    </row>
    <row r="154" spans="1:5" x14ac:dyDescent="0.3">
      <c r="A154" t="s">
        <v>378</v>
      </c>
      <c r="B154" s="70" t="s">
        <v>379</v>
      </c>
      <c r="D154" s="42">
        <v>27363.199999999997</v>
      </c>
      <c r="E154" s="115">
        <v>13681.599999999999</v>
      </c>
    </row>
    <row r="155" spans="1:5" x14ac:dyDescent="0.3">
      <c r="A155" t="s">
        <v>380</v>
      </c>
      <c r="B155" s="70" t="s">
        <v>381</v>
      </c>
      <c r="D155" s="42">
        <v>27363.199999999997</v>
      </c>
      <c r="E155" s="115">
        <v>13681.599999999999</v>
      </c>
    </row>
    <row r="156" spans="1:5" x14ac:dyDescent="0.3">
      <c r="A156" t="s">
        <v>382</v>
      </c>
      <c r="B156" s="70" t="s">
        <v>383</v>
      </c>
      <c r="D156" s="42">
        <v>27363.199999999997</v>
      </c>
      <c r="E156" s="115">
        <v>13681.599999999999</v>
      </c>
    </row>
    <row r="157" spans="1:5" x14ac:dyDescent="0.3">
      <c r="A157" t="s">
        <v>384</v>
      </c>
      <c r="B157" s="70" t="s">
        <v>385</v>
      </c>
      <c r="D157" s="42">
        <v>29408.915555555548</v>
      </c>
      <c r="E157" s="115">
        <v>14704.457777777774</v>
      </c>
    </row>
    <row r="158" spans="1:5" x14ac:dyDescent="0.3">
      <c r="A158" t="s">
        <v>386</v>
      </c>
      <c r="B158" s="70" t="s">
        <v>387</v>
      </c>
      <c r="D158" s="42">
        <v>31454.631111111099</v>
      </c>
      <c r="E158" s="115">
        <v>15727.31555555555</v>
      </c>
    </row>
    <row r="159" spans="1:5" x14ac:dyDescent="0.3">
      <c r="A159" s="48" t="s">
        <v>388</v>
      </c>
      <c r="B159" s="116" t="s">
        <v>389</v>
      </c>
      <c r="C159" s="48"/>
      <c r="D159" s="119">
        <v>33500.34666666665</v>
      </c>
      <c r="E159" s="117">
        <v>16750.173333333325</v>
      </c>
    </row>
    <row r="160" spans="1:5" x14ac:dyDescent="0.3">
      <c r="A160" t="s">
        <v>390</v>
      </c>
      <c r="B160" s="70" t="s">
        <v>391</v>
      </c>
      <c r="D160" s="42">
        <v>29394.693333333325</v>
      </c>
      <c r="E160" s="115">
        <v>14697.346666666663</v>
      </c>
    </row>
    <row r="161" spans="1:5" x14ac:dyDescent="0.3">
      <c r="A161" t="s">
        <v>392</v>
      </c>
      <c r="B161" s="70" t="s">
        <v>393</v>
      </c>
      <c r="D161" s="42">
        <v>29394.693333333325</v>
      </c>
      <c r="E161" s="115">
        <v>14697.346666666663</v>
      </c>
    </row>
    <row r="162" spans="1:5" x14ac:dyDescent="0.3">
      <c r="A162" t="s">
        <v>394</v>
      </c>
      <c r="B162" s="70" t="s">
        <v>395</v>
      </c>
      <c r="D162" s="42">
        <v>29394.693333333325</v>
      </c>
      <c r="E162" s="115">
        <v>14697.346666666663</v>
      </c>
    </row>
    <row r="163" spans="1:5" x14ac:dyDescent="0.3">
      <c r="A163" t="s">
        <v>396</v>
      </c>
      <c r="B163" s="70" t="s">
        <v>397</v>
      </c>
      <c r="D163" s="42">
        <v>29394.693333333325</v>
      </c>
      <c r="E163" s="115">
        <v>14697.346666666663</v>
      </c>
    </row>
    <row r="164" spans="1:5" x14ac:dyDescent="0.3">
      <c r="A164" t="s">
        <v>398</v>
      </c>
      <c r="B164" s="70" t="s">
        <v>399</v>
      </c>
      <c r="D164" s="42">
        <v>30986.239999999991</v>
      </c>
      <c r="E164" s="115">
        <v>15493.119999999995</v>
      </c>
    </row>
    <row r="165" spans="1:5" ht="16.2" thickBot="1" x14ac:dyDescent="0.35">
      <c r="A165" s="133" t="s">
        <v>400</v>
      </c>
      <c r="B165" s="134" t="s">
        <v>401</v>
      </c>
      <c r="C165" s="133"/>
      <c r="D165" s="135">
        <v>32686.666666666657</v>
      </c>
      <c r="E165" s="136">
        <v>16343.333333333328</v>
      </c>
    </row>
    <row r="166" spans="1:5" x14ac:dyDescent="0.3">
      <c r="A166" t="s">
        <v>402</v>
      </c>
      <c r="B166" s="70" t="s">
        <v>403</v>
      </c>
      <c r="D166" s="137">
        <v>21366.666666666668</v>
      </c>
      <c r="E166" s="115">
        <v>10683.333333333334</v>
      </c>
    </row>
    <row r="167" spans="1:5" x14ac:dyDescent="0.3">
      <c r="A167" t="s">
        <v>404</v>
      </c>
      <c r="B167" s="70" t="s">
        <v>405</v>
      </c>
      <c r="D167" s="42">
        <v>21366.666666666668</v>
      </c>
      <c r="E167" s="115">
        <v>10683.333333333334</v>
      </c>
    </row>
    <row r="168" spans="1:5" x14ac:dyDescent="0.3">
      <c r="A168" t="s">
        <v>406</v>
      </c>
      <c r="B168" s="70" t="s">
        <v>407</v>
      </c>
      <c r="D168" s="42">
        <v>21366.666666666668</v>
      </c>
      <c r="E168" s="115">
        <v>10683.333333333334</v>
      </c>
    </row>
    <row r="169" spans="1:5" x14ac:dyDescent="0.3">
      <c r="A169" t="s">
        <v>408</v>
      </c>
      <c r="B169" s="70" t="s">
        <v>409</v>
      </c>
      <c r="D169" s="42">
        <v>21366.666666666668</v>
      </c>
      <c r="E169" s="115">
        <v>10683.333333333334</v>
      </c>
    </row>
    <row r="170" spans="1:5" x14ac:dyDescent="0.3">
      <c r="A170" t="s">
        <v>410</v>
      </c>
      <c r="B170" s="70" t="s">
        <v>411</v>
      </c>
      <c r="D170" s="42">
        <v>22958.213333333333</v>
      </c>
      <c r="E170" s="115">
        <v>11479.106666666667</v>
      </c>
    </row>
    <row r="171" spans="1:5" x14ac:dyDescent="0.3">
      <c r="A171" s="48" t="s">
        <v>412</v>
      </c>
      <c r="B171" s="116" t="s">
        <v>413</v>
      </c>
      <c r="C171" s="48"/>
      <c r="D171" s="119">
        <v>24658.639999999999</v>
      </c>
      <c r="E171" s="117">
        <v>12329.32</v>
      </c>
    </row>
    <row r="172" spans="1:5" x14ac:dyDescent="0.3">
      <c r="A172" t="s">
        <v>414</v>
      </c>
      <c r="B172" s="70" t="s">
        <v>415</v>
      </c>
      <c r="D172" s="42">
        <v>23341.57333333333</v>
      </c>
      <c r="E172" s="115">
        <v>11670.786666666665</v>
      </c>
    </row>
    <row r="173" spans="1:5" x14ac:dyDescent="0.3">
      <c r="A173" t="s">
        <v>416</v>
      </c>
      <c r="B173" s="70" t="s">
        <v>417</v>
      </c>
      <c r="D173" s="42">
        <v>23341.57333333333</v>
      </c>
      <c r="E173" s="115">
        <v>11670.786666666665</v>
      </c>
    </row>
    <row r="174" spans="1:5" x14ac:dyDescent="0.3">
      <c r="A174" t="s">
        <v>418</v>
      </c>
      <c r="B174" s="70" t="s">
        <v>419</v>
      </c>
      <c r="D174" s="42">
        <v>23341.57333333333</v>
      </c>
      <c r="E174" s="115">
        <v>11670.786666666665</v>
      </c>
    </row>
    <row r="175" spans="1:5" x14ac:dyDescent="0.3">
      <c r="A175" t="s">
        <v>420</v>
      </c>
      <c r="B175" s="70" t="s">
        <v>421</v>
      </c>
      <c r="D175" s="42">
        <v>23341.57333333333</v>
      </c>
      <c r="E175" s="115">
        <v>11670.786666666665</v>
      </c>
    </row>
    <row r="176" spans="1:5" x14ac:dyDescent="0.3">
      <c r="A176" t="s">
        <v>422</v>
      </c>
      <c r="B176" s="70" t="s">
        <v>423</v>
      </c>
      <c r="D176" s="42">
        <v>24933.119999999995</v>
      </c>
      <c r="E176" s="115">
        <v>12466.559999999998</v>
      </c>
    </row>
    <row r="177" spans="1:5" x14ac:dyDescent="0.3">
      <c r="A177" s="48" t="s">
        <v>424</v>
      </c>
      <c r="B177" s="116" t="s">
        <v>425</v>
      </c>
      <c r="C177" s="48"/>
      <c r="D177" s="119">
        <v>26633.546666666662</v>
      </c>
      <c r="E177" s="117">
        <v>13316.773333333331</v>
      </c>
    </row>
    <row r="178" spans="1:5" x14ac:dyDescent="0.3">
      <c r="A178" t="s">
        <v>426</v>
      </c>
      <c r="B178" s="70" t="s">
        <v>427</v>
      </c>
      <c r="D178" s="42">
        <v>25321.41333333333</v>
      </c>
      <c r="E178" s="115">
        <v>12660.706666666665</v>
      </c>
    </row>
    <row r="179" spans="1:5" x14ac:dyDescent="0.3">
      <c r="A179" t="s">
        <v>428</v>
      </c>
      <c r="B179" s="70" t="s">
        <v>429</v>
      </c>
      <c r="D179" s="42">
        <v>25321.41333333333</v>
      </c>
      <c r="E179" s="115">
        <v>12660.706666666665</v>
      </c>
    </row>
    <row r="180" spans="1:5" x14ac:dyDescent="0.3">
      <c r="A180" t="s">
        <v>430</v>
      </c>
      <c r="B180" s="70" t="s">
        <v>431</v>
      </c>
      <c r="D180" s="42">
        <v>25321.41333333333</v>
      </c>
      <c r="E180" s="115">
        <v>12660.706666666665</v>
      </c>
    </row>
    <row r="181" spans="1:5" x14ac:dyDescent="0.3">
      <c r="A181" t="s">
        <v>432</v>
      </c>
      <c r="B181" s="70" t="s">
        <v>433</v>
      </c>
      <c r="D181" s="42">
        <v>25321.41333333333</v>
      </c>
      <c r="E181" s="115">
        <v>12660.706666666665</v>
      </c>
    </row>
    <row r="182" spans="1:5" x14ac:dyDescent="0.3">
      <c r="A182" t="s">
        <v>434</v>
      </c>
      <c r="B182" s="70" t="s">
        <v>435</v>
      </c>
      <c r="D182" s="42">
        <v>26912.959999999995</v>
      </c>
      <c r="E182" s="115">
        <v>13456.479999999998</v>
      </c>
    </row>
    <row r="183" spans="1:5" x14ac:dyDescent="0.3">
      <c r="A183" s="48" t="s">
        <v>436</v>
      </c>
      <c r="B183" s="116" t="s">
        <v>437</v>
      </c>
      <c r="C183" s="48"/>
      <c r="D183" s="119">
        <v>28613.386666666662</v>
      </c>
      <c r="E183" s="117">
        <v>14306.693333333331</v>
      </c>
    </row>
    <row r="184" spans="1:5" x14ac:dyDescent="0.3">
      <c r="A184" t="s">
        <v>438</v>
      </c>
      <c r="B184" s="70" t="s">
        <v>439</v>
      </c>
      <c r="D184" s="42">
        <v>27360.533333333326</v>
      </c>
      <c r="E184" s="115">
        <v>13680.266666666663</v>
      </c>
    </row>
    <row r="185" spans="1:5" x14ac:dyDescent="0.3">
      <c r="A185" t="s">
        <v>440</v>
      </c>
      <c r="B185" s="70" t="s">
        <v>441</v>
      </c>
      <c r="D185" s="42">
        <v>27360.533333333326</v>
      </c>
      <c r="E185" s="115">
        <v>13680.266666666663</v>
      </c>
    </row>
    <row r="186" spans="1:5" x14ac:dyDescent="0.3">
      <c r="A186" t="s">
        <v>442</v>
      </c>
      <c r="B186" s="70" t="s">
        <v>443</v>
      </c>
      <c r="D186" s="42">
        <v>27360.533333333326</v>
      </c>
      <c r="E186" s="115">
        <v>13680.266666666663</v>
      </c>
    </row>
    <row r="187" spans="1:5" x14ac:dyDescent="0.3">
      <c r="A187" t="s">
        <v>444</v>
      </c>
      <c r="B187" s="70" t="s">
        <v>445</v>
      </c>
      <c r="D187" s="42">
        <v>27360.533333333326</v>
      </c>
      <c r="E187" s="115">
        <v>13680.266666666663</v>
      </c>
    </row>
    <row r="188" spans="1:5" x14ac:dyDescent="0.3">
      <c r="A188" t="s">
        <v>446</v>
      </c>
      <c r="B188" s="70" t="s">
        <v>447</v>
      </c>
      <c r="D188" s="42">
        <v>28952.079999999994</v>
      </c>
      <c r="E188" s="115">
        <v>14476.039999999997</v>
      </c>
    </row>
    <row r="189" spans="1:5" x14ac:dyDescent="0.3">
      <c r="A189" s="48" t="s">
        <v>448</v>
      </c>
      <c r="B189" s="116" t="s">
        <v>449</v>
      </c>
      <c r="C189" s="48"/>
      <c r="D189" s="119">
        <v>30652.506666666661</v>
      </c>
      <c r="E189" s="117">
        <v>15326.25333333333</v>
      </c>
    </row>
    <row r="190" spans="1:5" x14ac:dyDescent="0.3">
      <c r="A190" t="s">
        <v>450</v>
      </c>
      <c r="B190" s="70" t="s">
        <v>451</v>
      </c>
      <c r="D190" s="42">
        <v>29394.693333333325</v>
      </c>
      <c r="E190" s="115">
        <v>14697.346666666663</v>
      </c>
    </row>
    <row r="191" spans="1:5" x14ac:dyDescent="0.3">
      <c r="A191" t="s">
        <v>452</v>
      </c>
      <c r="B191" s="70" t="s">
        <v>453</v>
      </c>
      <c r="D191" s="42">
        <v>29394.693333333325</v>
      </c>
      <c r="E191" s="115">
        <v>14697.346666666663</v>
      </c>
    </row>
    <row r="192" spans="1:5" x14ac:dyDescent="0.3">
      <c r="A192" t="s">
        <v>454</v>
      </c>
      <c r="B192" s="70" t="s">
        <v>455</v>
      </c>
      <c r="D192" s="42">
        <v>29394.693333333325</v>
      </c>
      <c r="E192" s="115">
        <v>14697.346666666663</v>
      </c>
    </row>
    <row r="193" spans="1:19" x14ac:dyDescent="0.3">
      <c r="A193" t="s">
        <v>456</v>
      </c>
      <c r="B193" s="70" t="s">
        <v>457</v>
      </c>
      <c r="D193" s="42">
        <v>29394.693333333325</v>
      </c>
      <c r="E193" s="115">
        <v>14697.346666666663</v>
      </c>
    </row>
    <row r="194" spans="1:19" x14ac:dyDescent="0.3">
      <c r="A194" t="s">
        <v>458</v>
      </c>
      <c r="B194" s="70" t="s">
        <v>459</v>
      </c>
      <c r="D194" s="42">
        <v>30986.239999999991</v>
      </c>
      <c r="E194" s="115">
        <v>15493.119999999995</v>
      </c>
      <c r="L194" s="36"/>
      <c r="N194" s="36"/>
      <c r="O194" s="36"/>
      <c r="P194" s="36"/>
      <c r="Q194" s="36"/>
      <c r="R194" s="36"/>
      <c r="S194" s="36"/>
    </row>
    <row r="195" spans="1:19" ht="16.2" thickBot="1" x14ac:dyDescent="0.35">
      <c r="A195" s="133" t="s">
        <v>460</v>
      </c>
      <c r="B195" s="134" t="s">
        <v>461</v>
      </c>
      <c r="C195" s="133"/>
      <c r="D195" s="135">
        <v>32686.666666666657</v>
      </c>
      <c r="E195" s="136">
        <v>16343.333333333328</v>
      </c>
      <c r="K195" s="6"/>
    </row>
    <row r="196" spans="1:19" x14ac:dyDescent="0.3">
      <c r="A196" t="s">
        <v>462</v>
      </c>
      <c r="B196" s="70" t="s">
        <v>463</v>
      </c>
      <c r="D196" s="42">
        <v>21366.666666666668</v>
      </c>
      <c r="E196" s="115">
        <v>10683.333333333334</v>
      </c>
    </row>
    <row r="197" spans="1:19" x14ac:dyDescent="0.3">
      <c r="A197" t="s">
        <v>464</v>
      </c>
      <c r="B197" s="70" t="s">
        <v>465</v>
      </c>
      <c r="D197" s="42">
        <v>21366.666666666668</v>
      </c>
      <c r="E197" s="115">
        <v>10683.333333333334</v>
      </c>
    </row>
    <row r="198" spans="1:19" x14ac:dyDescent="0.3">
      <c r="A198" t="s">
        <v>466</v>
      </c>
      <c r="B198" s="70" t="s">
        <v>467</v>
      </c>
      <c r="D198" s="42">
        <v>21366.666666666668</v>
      </c>
      <c r="E198" s="115">
        <v>10683.333333333334</v>
      </c>
    </row>
    <row r="199" spans="1:19" x14ac:dyDescent="0.3">
      <c r="A199" t="s">
        <v>468</v>
      </c>
      <c r="B199" s="70" t="s">
        <v>469</v>
      </c>
      <c r="D199" s="42">
        <v>21366.666666666668</v>
      </c>
      <c r="E199" s="115">
        <v>10683.333333333334</v>
      </c>
    </row>
    <row r="200" spans="1:19" ht="15.75" customHeight="1" x14ac:dyDescent="0.3">
      <c r="A200" t="s">
        <v>470</v>
      </c>
      <c r="B200" s="70" t="s">
        <v>471</v>
      </c>
      <c r="D200" s="42">
        <v>22958.213333333333</v>
      </c>
      <c r="E200" s="115">
        <v>11479.106666666667</v>
      </c>
    </row>
    <row r="201" spans="1:19" x14ac:dyDescent="0.3">
      <c r="A201" s="48" t="s">
        <v>472</v>
      </c>
      <c r="B201" s="116" t="s">
        <v>473</v>
      </c>
      <c r="C201" s="48"/>
      <c r="D201" s="119">
        <v>24658.639999999999</v>
      </c>
      <c r="E201" s="117">
        <v>12329.32</v>
      </c>
    </row>
    <row r="202" spans="1:19" x14ac:dyDescent="0.3">
      <c r="A202" t="s">
        <v>474</v>
      </c>
      <c r="B202" s="70" t="s">
        <v>475</v>
      </c>
      <c r="D202" s="42">
        <v>23341.57333333333</v>
      </c>
      <c r="E202" s="115">
        <v>11670.786666666665</v>
      </c>
    </row>
    <row r="203" spans="1:19" x14ac:dyDescent="0.3">
      <c r="A203" t="s">
        <v>476</v>
      </c>
      <c r="B203" s="70" t="s">
        <v>477</v>
      </c>
      <c r="D203" s="42">
        <v>23341.57333333333</v>
      </c>
      <c r="E203" s="115">
        <v>11670.786666666665</v>
      </c>
    </row>
    <row r="204" spans="1:19" x14ac:dyDescent="0.3">
      <c r="A204" t="s">
        <v>478</v>
      </c>
      <c r="B204" s="70" t="s">
        <v>479</v>
      </c>
      <c r="D204" s="42">
        <v>23341.57333333333</v>
      </c>
      <c r="E204" s="115">
        <v>11670.786666666665</v>
      </c>
    </row>
    <row r="205" spans="1:19" x14ac:dyDescent="0.3">
      <c r="A205" t="s">
        <v>480</v>
      </c>
      <c r="B205" s="70" t="s">
        <v>481</v>
      </c>
      <c r="D205" s="42">
        <v>23341.57333333333</v>
      </c>
      <c r="E205" s="115">
        <v>11670.786666666665</v>
      </c>
    </row>
    <row r="206" spans="1:19" x14ac:dyDescent="0.3">
      <c r="A206" t="s">
        <v>482</v>
      </c>
      <c r="B206" s="70" t="s">
        <v>483</v>
      </c>
      <c r="D206" s="42">
        <v>24933.119999999995</v>
      </c>
      <c r="E206" s="115">
        <v>12466.559999999998</v>
      </c>
    </row>
    <row r="207" spans="1:19" x14ac:dyDescent="0.3">
      <c r="A207" s="48" t="s">
        <v>484</v>
      </c>
      <c r="B207" s="116" t="s">
        <v>485</v>
      </c>
      <c r="C207" s="48"/>
      <c r="D207" s="119">
        <v>26633.546666666662</v>
      </c>
      <c r="E207" s="117">
        <v>13316.773333333331</v>
      </c>
    </row>
    <row r="208" spans="1:19" x14ac:dyDescent="0.3">
      <c r="A208" t="s">
        <v>486</v>
      </c>
      <c r="B208" s="70" t="s">
        <v>487</v>
      </c>
      <c r="D208" s="42">
        <v>25321.41333333333</v>
      </c>
      <c r="E208" s="115">
        <v>12660.706666666665</v>
      </c>
    </row>
    <row r="209" spans="1:5" x14ac:dyDescent="0.3">
      <c r="A209" t="s">
        <v>488</v>
      </c>
      <c r="B209" s="70" t="s">
        <v>489</v>
      </c>
      <c r="D209" s="42">
        <v>25321.41333333333</v>
      </c>
      <c r="E209" s="115">
        <v>12660.706666666665</v>
      </c>
    </row>
    <row r="210" spans="1:5" x14ac:dyDescent="0.3">
      <c r="A210" t="s">
        <v>490</v>
      </c>
      <c r="B210" s="70" t="s">
        <v>491</v>
      </c>
      <c r="D210" s="42">
        <v>25321.41333333333</v>
      </c>
      <c r="E210" s="115">
        <v>12660.706666666665</v>
      </c>
    </row>
    <row r="211" spans="1:5" x14ac:dyDescent="0.3">
      <c r="A211" t="s">
        <v>492</v>
      </c>
      <c r="B211" s="70" t="s">
        <v>493</v>
      </c>
      <c r="D211" s="42">
        <v>25321.41333333333</v>
      </c>
      <c r="E211" s="115">
        <v>12660.706666666665</v>
      </c>
    </row>
    <row r="212" spans="1:5" x14ac:dyDescent="0.3">
      <c r="A212" t="s">
        <v>494</v>
      </c>
      <c r="B212" s="70" t="s">
        <v>495</v>
      </c>
      <c r="D212" s="42">
        <v>26912.959999999995</v>
      </c>
      <c r="E212" s="115">
        <v>13456.479999999998</v>
      </c>
    </row>
    <row r="213" spans="1:5" x14ac:dyDescent="0.3">
      <c r="A213" s="48" t="s">
        <v>496</v>
      </c>
      <c r="B213" s="116" t="s">
        <v>497</v>
      </c>
      <c r="C213" s="48"/>
      <c r="D213" s="119">
        <v>28613.386666666662</v>
      </c>
      <c r="E213" s="117">
        <v>14306.693333333331</v>
      </c>
    </row>
    <row r="214" spans="1:5" x14ac:dyDescent="0.3">
      <c r="A214" t="s">
        <v>498</v>
      </c>
      <c r="B214" s="70" t="s">
        <v>499</v>
      </c>
      <c r="D214" s="42">
        <v>27360.533333333326</v>
      </c>
      <c r="E214" s="115">
        <v>13680.266666666663</v>
      </c>
    </row>
    <row r="215" spans="1:5" x14ac:dyDescent="0.3">
      <c r="A215" t="s">
        <v>500</v>
      </c>
      <c r="B215" s="70" t="s">
        <v>501</v>
      </c>
      <c r="D215" s="42">
        <v>27360.533333333326</v>
      </c>
      <c r="E215" s="115">
        <v>13680.266666666663</v>
      </c>
    </row>
    <row r="216" spans="1:5" x14ac:dyDescent="0.3">
      <c r="A216" t="s">
        <v>502</v>
      </c>
      <c r="B216" s="70" t="s">
        <v>503</v>
      </c>
      <c r="D216" s="42">
        <v>27360.533333333326</v>
      </c>
      <c r="E216" s="115">
        <v>13680.266666666663</v>
      </c>
    </row>
    <row r="217" spans="1:5" x14ac:dyDescent="0.3">
      <c r="A217" t="s">
        <v>504</v>
      </c>
      <c r="B217" s="70" t="s">
        <v>505</v>
      </c>
      <c r="D217" s="42">
        <v>27360.533333333326</v>
      </c>
      <c r="E217" s="115">
        <v>13680.266666666663</v>
      </c>
    </row>
    <row r="218" spans="1:5" x14ac:dyDescent="0.3">
      <c r="A218" t="s">
        <v>506</v>
      </c>
      <c r="B218" s="70" t="s">
        <v>507</v>
      </c>
      <c r="D218" s="42">
        <v>28952.079999999994</v>
      </c>
      <c r="E218" s="115">
        <v>14476.039999999997</v>
      </c>
    </row>
    <row r="219" spans="1:5" x14ac:dyDescent="0.3">
      <c r="A219" s="48" t="s">
        <v>508</v>
      </c>
      <c r="B219" s="116" t="s">
        <v>509</v>
      </c>
      <c r="C219" s="48"/>
      <c r="D219" s="119">
        <v>30652.506666666661</v>
      </c>
      <c r="E219" s="117">
        <v>15326.25333333333</v>
      </c>
    </row>
    <row r="220" spans="1:5" x14ac:dyDescent="0.3">
      <c r="A220" t="s">
        <v>510</v>
      </c>
      <c r="B220" s="70" t="s">
        <v>511</v>
      </c>
      <c r="D220" s="42">
        <v>29394.693333333325</v>
      </c>
      <c r="E220" s="115">
        <v>14697.346666666663</v>
      </c>
    </row>
    <row r="221" spans="1:5" x14ac:dyDescent="0.3">
      <c r="A221" t="s">
        <v>512</v>
      </c>
      <c r="B221" s="70" t="s">
        <v>513</v>
      </c>
      <c r="D221" s="42">
        <v>29394.693333333325</v>
      </c>
      <c r="E221" s="115">
        <v>14697.346666666663</v>
      </c>
    </row>
    <row r="222" spans="1:5" x14ac:dyDescent="0.3">
      <c r="A222" t="s">
        <v>514</v>
      </c>
      <c r="B222" s="70" t="s">
        <v>515</v>
      </c>
      <c r="D222" s="42">
        <v>29394.693333333325</v>
      </c>
      <c r="E222" s="115">
        <v>14697.346666666663</v>
      </c>
    </row>
    <row r="223" spans="1:5" x14ac:dyDescent="0.3">
      <c r="A223" t="s">
        <v>516</v>
      </c>
      <c r="B223" s="70" t="s">
        <v>517</v>
      </c>
      <c r="D223" s="42">
        <v>29394.693333333325</v>
      </c>
      <c r="E223" s="115">
        <v>14697.346666666663</v>
      </c>
    </row>
    <row r="224" spans="1:5" x14ac:dyDescent="0.3">
      <c r="A224" t="s">
        <v>518</v>
      </c>
      <c r="B224" s="70" t="s">
        <v>519</v>
      </c>
      <c r="D224" s="42">
        <v>30986.239999999991</v>
      </c>
      <c r="E224" s="115">
        <v>15493.119999999995</v>
      </c>
    </row>
    <row r="225" spans="1:5" ht="16.2" thickBot="1" x14ac:dyDescent="0.35">
      <c r="A225" s="133" t="s">
        <v>520</v>
      </c>
      <c r="B225" s="134" t="s">
        <v>521</v>
      </c>
      <c r="C225" s="133"/>
      <c r="D225" s="135">
        <v>32686.666666666657</v>
      </c>
      <c r="E225" s="136">
        <v>16343.333333333328</v>
      </c>
    </row>
    <row r="226" spans="1:5" x14ac:dyDescent="0.3">
      <c r="A226" t="s">
        <v>522</v>
      </c>
      <c r="B226" s="70" t="s">
        <v>523</v>
      </c>
      <c r="D226" s="42">
        <v>21366.666666666668</v>
      </c>
      <c r="E226" s="115">
        <v>10683.333333333334</v>
      </c>
    </row>
    <row r="227" spans="1:5" x14ac:dyDescent="0.3">
      <c r="A227" t="s">
        <v>524</v>
      </c>
      <c r="B227" s="70" t="s">
        <v>525</v>
      </c>
      <c r="D227" s="42">
        <v>21366.666666666668</v>
      </c>
      <c r="E227" s="115">
        <v>10683.333333333334</v>
      </c>
    </row>
    <row r="228" spans="1:5" x14ac:dyDescent="0.3">
      <c r="A228" t="s">
        <v>526</v>
      </c>
      <c r="B228" s="70" t="s">
        <v>527</v>
      </c>
      <c r="D228" s="42">
        <v>21366.666666666668</v>
      </c>
      <c r="E228" s="115">
        <v>10683.333333333334</v>
      </c>
    </row>
    <row r="229" spans="1:5" x14ac:dyDescent="0.3">
      <c r="A229" t="s">
        <v>528</v>
      </c>
      <c r="B229" s="70" t="s">
        <v>529</v>
      </c>
      <c r="D229" s="42">
        <v>21366.666666666668</v>
      </c>
      <c r="E229" s="115">
        <v>10683.333333333334</v>
      </c>
    </row>
    <row r="230" spans="1:5" x14ac:dyDescent="0.3">
      <c r="A230" t="s">
        <v>530</v>
      </c>
      <c r="B230" s="70" t="s">
        <v>531</v>
      </c>
      <c r="D230" s="42">
        <v>22958.213333333333</v>
      </c>
      <c r="E230" s="115">
        <v>11479.106666666667</v>
      </c>
    </row>
    <row r="231" spans="1:5" x14ac:dyDescent="0.3">
      <c r="A231" s="48" t="s">
        <v>532</v>
      </c>
      <c r="B231" s="116" t="s">
        <v>533</v>
      </c>
      <c r="C231" s="48"/>
      <c r="D231" s="119">
        <v>24658.639999999999</v>
      </c>
      <c r="E231" s="117">
        <v>12329.32</v>
      </c>
    </row>
    <row r="232" spans="1:5" x14ac:dyDescent="0.3">
      <c r="A232" t="s">
        <v>534</v>
      </c>
      <c r="B232" s="70" t="s">
        <v>535</v>
      </c>
      <c r="D232" s="42">
        <v>23341.57333333333</v>
      </c>
      <c r="E232" s="115">
        <v>11670.786666666665</v>
      </c>
    </row>
    <row r="233" spans="1:5" x14ac:dyDescent="0.3">
      <c r="A233" t="s">
        <v>536</v>
      </c>
      <c r="B233" s="70" t="s">
        <v>537</v>
      </c>
      <c r="D233" s="42">
        <v>23341.57333333333</v>
      </c>
      <c r="E233" s="115">
        <v>11670.786666666665</v>
      </c>
    </row>
    <row r="234" spans="1:5" x14ac:dyDescent="0.3">
      <c r="A234" t="s">
        <v>538</v>
      </c>
      <c r="B234" s="70" t="s">
        <v>539</v>
      </c>
      <c r="D234" s="42">
        <v>23341.57333333333</v>
      </c>
      <c r="E234" s="115">
        <v>11670.786666666665</v>
      </c>
    </row>
    <row r="235" spans="1:5" x14ac:dyDescent="0.3">
      <c r="A235" t="s">
        <v>540</v>
      </c>
      <c r="B235" s="70" t="s">
        <v>541</v>
      </c>
      <c r="D235" s="42">
        <v>23341.57333333333</v>
      </c>
      <c r="E235" s="115">
        <v>11670.786666666665</v>
      </c>
    </row>
    <row r="236" spans="1:5" x14ac:dyDescent="0.3">
      <c r="A236" t="s">
        <v>542</v>
      </c>
      <c r="B236" s="70" t="s">
        <v>543</v>
      </c>
      <c r="D236" s="42">
        <v>24933.119999999995</v>
      </c>
      <c r="E236" s="115">
        <v>12466.559999999998</v>
      </c>
    </row>
    <row r="237" spans="1:5" x14ac:dyDescent="0.3">
      <c r="A237" s="48" t="s">
        <v>544</v>
      </c>
      <c r="B237" s="116" t="s">
        <v>545</v>
      </c>
      <c r="C237" s="48"/>
      <c r="D237" s="119">
        <v>26633.546666666662</v>
      </c>
      <c r="E237" s="117">
        <v>13316.773333333331</v>
      </c>
    </row>
    <row r="238" spans="1:5" x14ac:dyDescent="0.3">
      <c r="A238" t="s">
        <v>546</v>
      </c>
      <c r="B238" s="70" t="s">
        <v>547</v>
      </c>
      <c r="D238" s="42">
        <v>25321.41333333333</v>
      </c>
      <c r="E238" s="115">
        <v>12660.706666666665</v>
      </c>
    </row>
    <row r="239" spans="1:5" x14ac:dyDescent="0.3">
      <c r="A239" t="s">
        <v>548</v>
      </c>
      <c r="B239" s="70" t="s">
        <v>549</v>
      </c>
      <c r="D239" s="42">
        <v>25321.41333333333</v>
      </c>
      <c r="E239" s="115">
        <v>12660.706666666665</v>
      </c>
    </row>
    <row r="240" spans="1:5" x14ac:dyDescent="0.3">
      <c r="A240" t="s">
        <v>550</v>
      </c>
      <c r="B240" s="70" t="s">
        <v>551</v>
      </c>
      <c r="D240" s="42">
        <v>25321.41333333333</v>
      </c>
      <c r="E240" s="115">
        <v>12660.706666666665</v>
      </c>
    </row>
    <row r="241" spans="1:5" x14ac:dyDescent="0.3">
      <c r="A241" t="s">
        <v>552</v>
      </c>
      <c r="B241" s="70" t="s">
        <v>553</v>
      </c>
      <c r="D241" s="42">
        <v>25321.41333333333</v>
      </c>
      <c r="E241" s="115">
        <v>12660.706666666665</v>
      </c>
    </row>
    <row r="242" spans="1:5" x14ac:dyDescent="0.3">
      <c r="A242" t="s">
        <v>554</v>
      </c>
      <c r="B242" s="70" t="s">
        <v>555</v>
      </c>
      <c r="D242" s="42">
        <v>26912.959999999995</v>
      </c>
      <c r="E242" s="115">
        <v>13456.479999999998</v>
      </c>
    </row>
    <row r="243" spans="1:5" x14ac:dyDescent="0.3">
      <c r="A243" s="48" t="s">
        <v>556</v>
      </c>
      <c r="B243" s="116" t="s">
        <v>557</v>
      </c>
      <c r="C243" s="48"/>
      <c r="D243" s="119">
        <v>28613.386666666662</v>
      </c>
      <c r="E243" s="117">
        <v>14306.693333333331</v>
      </c>
    </row>
    <row r="244" spans="1:5" x14ac:dyDescent="0.3">
      <c r="A244" t="s">
        <v>558</v>
      </c>
      <c r="B244" s="70" t="s">
        <v>559</v>
      </c>
      <c r="D244" s="105">
        <v>27360.533333333326</v>
      </c>
      <c r="E244" s="115">
        <v>13680.266666666663</v>
      </c>
    </row>
    <row r="245" spans="1:5" x14ac:dyDescent="0.3">
      <c r="A245" t="s">
        <v>560</v>
      </c>
      <c r="B245" s="70" t="s">
        <v>561</v>
      </c>
      <c r="D245" s="105">
        <v>27360.533333333326</v>
      </c>
      <c r="E245" s="115">
        <v>13680.266666666663</v>
      </c>
    </row>
    <row r="246" spans="1:5" x14ac:dyDescent="0.3">
      <c r="A246" t="s">
        <v>562</v>
      </c>
      <c r="B246" s="70" t="s">
        <v>563</v>
      </c>
      <c r="D246" s="105">
        <v>27360.533333333326</v>
      </c>
      <c r="E246" s="115">
        <v>13680.266666666663</v>
      </c>
    </row>
    <row r="247" spans="1:5" x14ac:dyDescent="0.3">
      <c r="A247" t="s">
        <v>564</v>
      </c>
      <c r="B247" s="70" t="s">
        <v>565</v>
      </c>
      <c r="D247" s="105">
        <v>27360.533333333326</v>
      </c>
      <c r="E247" s="115">
        <v>13680.266666666663</v>
      </c>
    </row>
    <row r="248" spans="1:5" x14ac:dyDescent="0.3">
      <c r="A248" t="s">
        <v>566</v>
      </c>
      <c r="B248" s="70" t="s">
        <v>567</v>
      </c>
      <c r="D248" s="105">
        <v>28952.079999999994</v>
      </c>
      <c r="E248" s="115">
        <v>14476.039999999997</v>
      </c>
    </row>
    <row r="249" spans="1:5" x14ac:dyDescent="0.3">
      <c r="A249" s="48" t="s">
        <v>568</v>
      </c>
      <c r="B249" s="116" t="s">
        <v>569</v>
      </c>
      <c r="C249" s="48"/>
      <c r="D249" s="138">
        <v>30652.506666666661</v>
      </c>
      <c r="E249" s="117">
        <v>15326.25333333333</v>
      </c>
    </row>
    <row r="250" spans="1:5" x14ac:dyDescent="0.3">
      <c r="A250" t="s">
        <v>570</v>
      </c>
      <c r="B250" s="70" t="s">
        <v>571</v>
      </c>
      <c r="D250" s="42">
        <v>29394.693333333325</v>
      </c>
      <c r="E250" s="115">
        <v>14697.346666666663</v>
      </c>
    </row>
    <row r="251" spans="1:5" x14ac:dyDescent="0.3">
      <c r="A251" t="s">
        <v>572</v>
      </c>
      <c r="B251" s="70" t="s">
        <v>573</v>
      </c>
      <c r="D251" s="42">
        <v>29394.693333333325</v>
      </c>
      <c r="E251" s="115">
        <v>14697.346666666663</v>
      </c>
    </row>
    <row r="252" spans="1:5" x14ac:dyDescent="0.3">
      <c r="A252" t="s">
        <v>574</v>
      </c>
      <c r="B252" s="70" t="s">
        <v>575</v>
      </c>
      <c r="D252" s="42">
        <v>29394.693333333325</v>
      </c>
      <c r="E252" s="115">
        <v>14697.346666666663</v>
      </c>
    </row>
    <row r="253" spans="1:5" x14ac:dyDescent="0.3">
      <c r="A253" t="s">
        <v>576</v>
      </c>
      <c r="B253" s="70" t="s">
        <v>577</v>
      </c>
      <c r="D253" s="42">
        <v>29394.693333333325</v>
      </c>
      <c r="E253" s="115">
        <v>14697.346666666663</v>
      </c>
    </row>
    <row r="254" spans="1:5" x14ac:dyDescent="0.3">
      <c r="A254" t="s">
        <v>578</v>
      </c>
      <c r="B254" s="70" t="s">
        <v>579</v>
      </c>
      <c r="D254" s="42">
        <v>30986.239999999991</v>
      </c>
      <c r="E254" s="115">
        <v>15493.119999999995</v>
      </c>
    </row>
    <row r="255" spans="1:5" ht="16.2" thickBot="1" x14ac:dyDescent="0.35">
      <c r="A255" s="133" t="s">
        <v>580</v>
      </c>
      <c r="B255" s="134" t="s">
        <v>581</v>
      </c>
      <c r="C255" s="133"/>
      <c r="D255" s="135">
        <v>32686.666666666657</v>
      </c>
      <c r="E255" s="136">
        <v>16343.333333333328</v>
      </c>
    </row>
    <row r="256" spans="1:5" x14ac:dyDescent="0.3">
      <c r="A256" t="s">
        <v>582</v>
      </c>
      <c r="B256" s="70" t="s">
        <v>583</v>
      </c>
      <c r="D256" s="42">
        <v>21366.666666666668</v>
      </c>
      <c r="E256" s="115">
        <v>10683.333333333334</v>
      </c>
    </row>
    <row r="257" spans="1:5" x14ac:dyDescent="0.3">
      <c r="A257" t="s">
        <v>584</v>
      </c>
      <c r="B257" s="70" t="s">
        <v>585</v>
      </c>
      <c r="D257" s="42">
        <v>21366.666666666668</v>
      </c>
      <c r="E257" s="115">
        <v>10683.333333333334</v>
      </c>
    </row>
    <row r="258" spans="1:5" x14ac:dyDescent="0.3">
      <c r="A258" t="s">
        <v>586</v>
      </c>
      <c r="B258" s="70" t="s">
        <v>587</v>
      </c>
      <c r="D258" s="42">
        <v>21366.666666666668</v>
      </c>
      <c r="E258" s="115">
        <v>10683.333333333334</v>
      </c>
    </row>
    <row r="259" spans="1:5" x14ac:dyDescent="0.3">
      <c r="A259" t="s">
        <v>588</v>
      </c>
      <c r="B259" s="70" t="s">
        <v>589</v>
      </c>
      <c r="D259" s="42">
        <v>21366.666666666668</v>
      </c>
      <c r="E259" s="115">
        <v>10683.333333333334</v>
      </c>
    </row>
    <row r="260" spans="1:5" x14ac:dyDescent="0.3">
      <c r="A260" t="s">
        <v>590</v>
      </c>
      <c r="B260" s="70" t="s">
        <v>591</v>
      </c>
      <c r="D260" s="42">
        <v>22958.213333333333</v>
      </c>
      <c r="E260" s="115">
        <v>11479.106666666667</v>
      </c>
    </row>
    <row r="261" spans="1:5" x14ac:dyDescent="0.3">
      <c r="A261" s="48" t="s">
        <v>592</v>
      </c>
      <c r="B261" s="116" t="s">
        <v>593</v>
      </c>
      <c r="C261" s="48"/>
      <c r="D261" s="119">
        <v>24658.639999999999</v>
      </c>
      <c r="E261" s="117">
        <v>12329.32</v>
      </c>
    </row>
    <row r="262" spans="1:5" x14ac:dyDescent="0.3">
      <c r="A262" t="s">
        <v>594</v>
      </c>
      <c r="B262" s="70" t="s">
        <v>595</v>
      </c>
      <c r="D262" s="42">
        <v>23341.57333333333</v>
      </c>
      <c r="E262" s="115">
        <v>11670.786666666665</v>
      </c>
    </row>
    <row r="263" spans="1:5" x14ac:dyDescent="0.3">
      <c r="A263" t="s">
        <v>596</v>
      </c>
      <c r="B263" s="70" t="s">
        <v>597</v>
      </c>
      <c r="D263" s="42">
        <v>23341.57333333333</v>
      </c>
      <c r="E263" s="115">
        <v>11670.786666666665</v>
      </c>
    </row>
    <row r="264" spans="1:5" x14ac:dyDescent="0.3">
      <c r="A264" t="s">
        <v>598</v>
      </c>
      <c r="B264" s="70" t="s">
        <v>599</v>
      </c>
      <c r="D264" s="42">
        <v>23341.57333333333</v>
      </c>
      <c r="E264" s="115">
        <v>11670.786666666665</v>
      </c>
    </row>
    <row r="265" spans="1:5" x14ac:dyDescent="0.3">
      <c r="A265" t="s">
        <v>600</v>
      </c>
      <c r="B265" s="70" t="s">
        <v>601</v>
      </c>
      <c r="D265" s="42">
        <v>23341.57333333333</v>
      </c>
      <c r="E265" s="115">
        <v>11670.786666666665</v>
      </c>
    </row>
    <row r="266" spans="1:5" x14ac:dyDescent="0.3">
      <c r="A266" t="s">
        <v>602</v>
      </c>
      <c r="B266" s="70" t="s">
        <v>603</v>
      </c>
      <c r="D266" s="42">
        <v>24933.119999999995</v>
      </c>
      <c r="E266" s="115">
        <v>12466.559999999998</v>
      </c>
    </row>
    <row r="267" spans="1:5" x14ac:dyDescent="0.3">
      <c r="A267" s="48" t="s">
        <v>604</v>
      </c>
      <c r="B267" s="116" t="s">
        <v>605</v>
      </c>
      <c r="C267" s="48"/>
      <c r="D267" s="119">
        <v>26633.546666666662</v>
      </c>
      <c r="E267" s="117">
        <v>13316.773333333331</v>
      </c>
    </row>
    <row r="268" spans="1:5" x14ac:dyDescent="0.3">
      <c r="A268" t="s">
        <v>606</v>
      </c>
      <c r="B268" s="70" t="s">
        <v>607</v>
      </c>
      <c r="D268" s="42">
        <v>25321.41333333333</v>
      </c>
      <c r="E268" s="115">
        <v>12660.706666666665</v>
      </c>
    </row>
    <row r="269" spans="1:5" x14ac:dyDescent="0.3">
      <c r="A269" t="s">
        <v>608</v>
      </c>
      <c r="B269" s="70" t="s">
        <v>609</v>
      </c>
      <c r="D269" s="42">
        <v>25321.41333333333</v>
      </c>
      <c r="E269" s="115">
        <v>12660.706666666665</v>
      </c>
    </row>
    <row r="270" spans="1:5" x14ac:dyDescent="0.3">
      <c r="A270" t="s">
        <v>610</v>
      </c>
      <c r="B270" s="70" t="s">
        <v>611</v>
      </c>
      <c r="D270" s="42">
        <v>25321.41333333333</v>
      </c>
      <c r="E270" s="115">
        <v>12660.706666666665</v>
      </c>
    </row>
    <row r="271" spans="1:5" x14ac:dyDescent="0.3">
      <c r="A271" t="s">
        <v>612</v>
      </c>
      <c r="B271" s="70" t="s">
        <v>613</v>
      </c>
      <c r="D271" s="42">
        <v>25321.41333333333</v>
      </c>
      <c r="E271" s="115">
        <v>12660.706666666665</v>
      </c>
    </row>
    <row r="272" spans="1:5" x14ac:dyDescent="0.3">
      <c r="A272" t="s">
        <v>614</v>
      </c>
      <c r="B272" s="70" t="s">
        <v>615</v>
      </c>
      <c r="D272" s="42">
        <v>26912.959999999995</v>
      </c>
      <c r="E272" s="115">
        <v>13456.479999999998</v>
      </c>
    </row>
    <row r="273" spans="1:5" x14ac:dyDescent="0.3">
      <c r="A273" s="48" t="s">
        <v>616</v>
      </c>
      <c r="B273" s="116" t="s">
        <v>617</v>
      </c>
      <c r="C273" s="48"/>
      <c r="D273" s="119">
        <v>28613.386666666662</v>
      </c>
      <c r="E273" s="117">
        <v>14306.693333333331</v>
      </c>
    </row>
    <row r="274" spans="1:5" x14ac:dyDescent="0.3">
      <c r="A274" t="s">
        <v>618</v>
      </c>
      <c r="B274" s="70" t="s">
        <v>619</v>
      </c>
      <c r="D274" s="42">
        <v>27360.533333333326</v>
      </c>
      <c r="E274" s="115">
        <v>13680.266666666663</v>
      </c>
    </row>
    <row r="275" spans="1:5" x14ac:dyDescent="0.3">
      <c r="A275" t="s">
        <v>620</v>
      </c>
      <c r="B275" s="70" t="s">
        <v>621</v>
      </c>
      <c r="D275" s="42">
        <v>27360.533333333326</v>
      </c>
      <c r="E275" s="115">
        <v>13680.266666666663</v>
      </c>
    </row>
    <row r="276" spans="1:5" x14ac:dyDescent="0.3">
      <c r="A276" t="s">
        <v>622</v>
      </c>
      <c r="B276" s="70" t="s">
        <v>623</v>
      </c>
      <c r="D276" s="42">
        <v>27360.533333333326</v>
      </c>
      <c r="E276" s="115">
        <v>13680.266666666663</v>
      </c>
    </row>
    <row r="277" spans="1:5" x14ac:dyDescent="0.3">
      <c r="A277" t="s">
        <v>624</v>
      </c>
      <c r="B277" s="70" t="s">
        <v>625</v>
      </c>
      <c r="D277" s="42">
        <v>27360.533333333326</v>
      </c>
      <c r="E277" s="115">
        <v>13680.266666666663</v>
      </c>
    </row>
    <row r="278" spans="1:5" x14ac:dyDescent="0.3">
      <c r="A278" t="s">
        <v>626</v>
      </c>
      <c r="B278" s="70" t="s">
        <v>627</v>
      </c>
      <c r="D278" s="42">
        <v>28952.079999999994</v>
      </c>
      <c r="E278" s="115">
        <v>14476.039999999997</v>
      </c>
    </row>
    <row r="279" spans="1:5" x14ac:dyDescent="0.3">
      <c r="A279" s="48" t="s">
        <v>628</v>
      </c>
      <c r="B279" s="116" t="s">
        <v>629</v>
      </c>
      <c r="C279" s="48"/>
      <c r="D279" s="119">
        <v>30652.506666666661</v>
      </c>
      <c r="E279" s="117">
        <v>15326.25333333333</v>
      </c>
    </row>
    <row r="280" spans="1:5" x14ac:dyDescent="0.3">
      <c r="A280" t="s">
        <v>630</v>
      </c>
      <c r="B280" s="70" t="s">
        <v>631</v>
      </c>
      <c r="D280" s="42">
        <v>29394.693333333325</v>
      </c>
      <c r="E280" s="115">
        <v>14697.346666666663</v>
      </c>
    </row>
    <row r="281" spans="1:5" x14ac:dyDescent="0.3">
      <c r="A281" t="s">
        <v>632</v>
      </c>
      <c r="B281" s="70" t="s">
        <v>633</v>
      </c>
      <c r="D281" s="42">
        <v>29394.693333333325</v>
      </c>
      <c r="E281" s="115">
        <v>14697.346666666663</v>
      </c>
    </row>
    <row r="282" spans="1:5" x14ac:dyDescent="0.3">
      <c r="A282" t="s">
        <v>634</v>
      </c>
      <c r="B282" s="70" t="s">
        <v>635</v>
      </c>
      <c r="D282" s="42">
        <v>29394.693333333325</v>
      </c>
      <c r="E282" s="115">
        <v>14697.346666666663</v>
      </c>
    </row>
    <row r="283" spans="1:5" x14ac:dyDescent="0.3">
      <c r="A283" t="s">
        <v>636</v>
      </c>
      <c r="B283" s="70" t="s">
        <v>637</v>
      </c>
      <c r="D283" s="42">
        <v>29394.693333333325</v>
      </c>
      <c r="E283" s="115">
        <v>14697.346666666663</v>
      </c>
    </row>
    <row r="284" spans="1:5" x14ac:dyDescent="0.3">
      <c r="A284" t="s">
        <v>638</v>
      </c>
      <c r="B284" s="70" t="s">
        <v>639</v>
      </c>
      <c r="D284" s="42">
        <v>30986.239999999991</v>
      </c>
      <c r="E284" s="115">
        <v>15493.119999999995</v>
      </c>
    </row>
    <row r="285" spans="1:5" x14ac:dyDescent="0.3">
      <c r="A285" t="s">
        <v>640</v>
      </c>
      <c r="B285" s="70" t="s">
        <v>641</v>
      </c>
      <c r="D285" s="42">
        <v>32686.666666666657</v>
      </c>
      <c r="E285" s="115">
        <v>16343.333333333328</v>
      </c>
    </row>
    <row r="286" spans="1:5" x14ac:dyDescent="0.3">
      <c r="A286" s="65"/>
      <c r="B286" s="65"/>
      <c r="C286" s="65"/>
      <c r="D286" s="81"/>
      <c r="E286" s="65"/>
    </row>
    <row r="287" spans="1:5" x14ac:dyDescent="0.3">
      <c r="A287" t="s">
        <v>642</v>
      </c>
      <c r="B287" s="70" t="s">
        <v>643</v>
      </c>
      <c r="D287" s="42">
        <v>24970.346666666668</v>
      </c>
      <c r="E287" s="58">
        <v>12485.173333333334</v>
      </c>
    </row>
    <row r="288" spans="1:5" x14ac:dyDescent="0.3">
      <c r="A288" t="s">
        <v>644</v>
      </c>
      <c r="B288" s="70" t="s">
        <v>645</v>
      </c>
      <c r="D288" s="42">
        <v>24970.346666666668</v>
      </c>
      <c r="E288" s="58">
        <v>12485.173333333334</v>
      </c>
    </row>
    <row r="289" spans="1:5" x14ac:dyDescent="0.3">
      <c r="A289" t="s">
        <v>646</v>
      </c>
      <c r="B289" s="70" t="s">
        <v>647</v>
      </c>
      <c r="D289" s="42">
        <v>24970.346666666668</v>
      </c>
      <c r="E289" s="58">
        <v>12485.173333333334</v>
      </c>
    </row>
    <row r="290" spans="1:5" x14ac:dyDescent="0.3">
      <c r="A290" t="s">
        <v>648</v>
      </c>
      <c r="B290" s="70" t="s">
        <v>649</v>
      </c>
      <c r="D290" s="42">
        <v>24970.346666666668</v>
      </c>
      <c r="E290" s="58">
        <v>12485.173333333334</v>
      </c>
    </row>
    <row r="291" spans="1:5" x14ac:dyDescent="0.3">
      <c r="A291" t="s">
        <v>650</v>
      </c>
      <c r="B291" s="70" t="s">
        <v>651</v>
      </c>
      <c r="D291" s="42">
        <v>26561.893333333333</v>
      </c>
      <c r="E291" s="58">
        <v>13280.946666666667</v>
      </c>
    </row>
    <row r="292" spans="1:5" x14ac:dyDescent="0.3">
      <c r="A292" s="48" t="s">
        <v>652</v>
      </c>
      <c r="B292" s="116" t="s">
        <v>653</v>
      </c>
      <c r="C292" s="48"/>
      <c r="D292" s="119">
        <v>28262.32</v>
      </c>
      <c r="E292" s="117">
        <v>14131.16</v>
      </c>
    </row>
    <row r="293" spans="1:5" x14ac:dyDescent="0.3">
      <c r="A293" t="s">
        <v>654</v>
      </c>
      <c r="B293" s="70" t="s">
        <v>655</v>
      </c>
      <c r="D293" s="42">
        <v>26945.25333333333</v>
      </c>
      <c r="E293" s="58">
        <v>13472.626666666665</v>
      </c>
    </row>
    <row r="294" spans="1:5" x14ac:dyDescent="0.3">
      <c r="A294" t="s">
        <v>656</v>
      </c>
      <c r="B294" s="70" t="s">
        <v>657</v>
      </c>
      <c r="D294" s="42">
        <v>26945.25333333333</v>
      </c>
      <c r="E294" s="58">
        <v>13472.626666666665</v>
      </c>
    </row>
    <row r="295" spans="1:5" x14ac:dyDescent="0.3">
      <c r="A295" t="s">
        <v>658</v>
      </c>
      <c r="B295" s="70" t="s">
        <v>659</v>
      </c>
      <c r="D295" s="42">
        <v>26945.25333333333</v>
      </c>
      <c r="E295" s="58">
        <v>13472.626666666665</v>
      </c>
    </row>
    <row r="296" spans="1:5" x14ac:dyDescent="0.3">
      <c r="A296" t="s">
        <v>660</v>
      </c>
      <c r="B296" s="70" t="s">
        <v>661</v>
      </c>
      <c r="D296" s="42">
        <v>26945.25333333333</v>
      </c>
      <c r="E296" s="58">
        <v>13472.626666666665</v>
      </c>
    </row>
    <row r="297" spans="1:5" x14ac:dyDescent="0.3">
      <c r="A297" t="s">
        <v>662</v>
      </c>
      <c r="B297" s="70" t="s">
        <v>663</v>
      </c>
      <c r="D297" s="42">
        <v>28536.799999999996</v>
      </c>
      <c r="E297" s="115">
        <v>14268.399999999998</v>
      </c>
    </row>
    <row r="298" spans="1:5" x14ac:dyDescent="0.3">
      <c r="A298" s="48" t="s">
        <v>664</v>
      </c>
      <c r="B298" s="116" t="s">
        <v>665</v>
      </c>
      <c r="C298" s="48"/>
      <c r="D298" s="119">
        <v>30237.226666666662</v>
      </c>
      <c r="E298" s="117">
        <v>15118.613333333331</v>
      </c>
    </row>
    <row r="299" spans="1:5" x14ac:dyDescent="0.3">
      <c r="A299" t="s">
        <v>666</v>
      </c>
      <c r="B299" s="70" t="s">
        <v>667</v>
      </c>
      <c r="D299" s="42">
        <v>28925.093333333331</v>
      </c>
      <c r="E299" s="115">
        <v>14462.546666666665</v>
      </c>
    </row>
    <row r="300" spans="1:5" x14ac:dyDescent="0.3">
      <c r="A300" t="s">
        <v>668</v>
      </c>
      <c r="B300" s="70" t="s">
        <v>669</v>
      </c>
      <c r="D300" s="42">
        <v>28925.093333333331</v>
      </c>
      <c r="E300" s="115">
        <v>14462.546666666665</v>
      </c>
    </row>
    <row r="301" spans="1:5" x14ac:dyDescent="0.3">
      <c r="A301" t="s">
        <v>670</v>
      </c>
      <c r="B301" s="70" t="s">
        <v>671</v>
      </c>
      <c r="D301" s="42">
        <v>28925.093333333331</v>
      </c>
      <c r="E301" s="115">
        <v>14462.546666666665</v>
      </c>
    </row>
    <row r="302" spans="1:5" x14ac:dyDescent="0.3">
      <c r="A302" t="s">
        <v>672</v>
      </c>
      <c r="B302" s="70" t="s">
        <v>673</v>
      </c>
      <c r="D302" s="42">
        <v>28925.093333333331</v>
      </c>
      <c r="E302" s="115">
        <v>14462.546666666665</v>
      </c>
    </row>
    <row r="303" spans="1:5" x14ac:dyDescent="0.3">
      <c r="A303" t="s">
        <v>674</v>
      </c>
      <c r="B303" s="70" t="s">
        <v>675</v>
      </c>
      <c r="D303" s="42">
        <v>30516.639999999996</v>
      </c>
      <c r="E303" s="115">
        <v>15258.319999999998</v>
      </c>
    </row>
    <row r="304" spans="1:5" x14ac:dyDescent="0.3">
      <c r="A304" s="48" t="s">
        <v>676</v>
      </c>
      <c r="B304" s="116" t="s">
        <v>675</v>
      </c>
      <c r="C304" s="48"/>
      <c r="D304" s="119">
        <v>32217.066666666662</v>
      </c>
      <c r="E304" s="117">
        <v>16108.533333333331</v>
      </c>
    </row>
    <row r="305" spans="1:5" x14ac:dyDescent="0.3">
      <c r="A305" t="s">
        <v>677</v>
      </c>
      <c r="B305" s="70" t="s">
        <v>678</v>
      </c>
      <c r="D305" s="42">
        <v>30964.213333333326</v>
      </c>
      <c r="E305" s="115">
        <v>15482.106666666663</v>
      </c>
    </row>
    <row r="306" spans="1:5" x14ac:dyDescent="0.3">
      <c r="A306" t="s">
        <v>679</v>
      </c>
      <c r="B306" s="70" t="s">
        <v>680</v>
      </c>
      <c r="D306" s="42">
        <v>30964.213333333326</v>
      </c>
      <c r="E306" s="115">
        <v>15482.106666666663</v>
      </c>
    </row>
    <row r="307" spans="1:5" x14ac:dyDescent="0.3">
      <c r="A307" t="s">
        <v>681</v>
      </c>
      <c r="B307" s="70" t="s">
        <v>682</v>
      </c>
      <c r="D307" s="42">
        <v>30964.213333333326</v>
      </c>
      <c r="E307" s="115">
        <v>15482.106666666663</v>
      </c>
    </row>
    <row r="308" spans="1:5" x14ac:dyDescent="0.3">
      <c r="A308" t="s">
        <v>683</v>
      </c>
      <c r="B308" s="70" t="s">
        <v>684</v>
      </c>
      <c r="D308" s="42">
        <v>30964.213333333326</v>
      </c>
      <c r="E308" s="115">
        <v>15482.106666666663</v>
      </c>
    </row>
    <row r="309" spans="1:5" x14ac:dyDescent="0.3">
      <c r="A309" t="s">
        <v>685</v>
      </c>
      <c r="B309" s="70" t="s">
        <v>686</v>
      </c>
      <c r="D309" s="42">
        <v>32555.759999999995</v>
      </c>
      <c r="E309" s="115">
        <v>16277.879999999997</v>
      </c>
    </row>
    <row r="310" spans="1:5" x14ac:dyDescent="0.3">
      <c r="A310" s="48" t="s">
        <v>687</v>
      </c>
      <c r="B310" s="116" t="s">
        <v>688</v>
      </c>
      <c r="C310" s="48"/>
      <c r="D310" s="119">
        <v>34256.186666666661</v>
      </c>
      <c r="E310" s="117">
        <v>17128.093333333331</v>
      </c>
    </row>
    <row r="311" spans="1:5" x14ac:dyDescent="0.3">
      <c r="A311" t="s">
        <v>689</v>
      </c>
      <c r="B311" s="70" t="s">
        <v>690</v>
      </c>
      <c r="D311" s="42">
        <v>32998.373333333322</v>
      </c>
      <c r="E311" s="115">
        <v>16499.186666666661</v>
      </c>
    </row>
    <row r="312" spans="1:5" x14ac:dyDescent="0.3">
      <c r="A312" t="s">
        <v>691</v>
      </c>
      <c r="B312" s="70" t="s">
        <v>692</v>
      </c>
      <c r="D312" s="42">
        <v>32998.373333333322</v>
      </c>
      <c r="E312" s="115">
        <v>16499.186666666661</v>
      </c>
    </row>
    <row r="313" spans="1:5" x14ac:dyDescent="0.3">
      <c r="A313" t="s">
        <v>693</v>
      </c>
      <c r="B313" s="70" t="s">
        <v>694</v>
      </c>
      <c r="D313" s="42">
        <v>32998.373333333322</v>
      </c>
      <c r="E313" s="115">
        <v>16499.186666666661</v>
      </c>
    </row>
    <row r="314" spans="1:5" x14ac:dyDescent="0.3">
      <c r="A314" t="s">
        <v>695</v>
      </c>
      <c r="B314" s="70" t="s">
        <v>696</v>
      </c>
      <c r="D314" s="42">
        <v>32998.373333333322</v>
      </c>
      <c r="E314" s="115">
        <v>16499.186666666661</v>
      </c>
    </row>
    <row r="315" spans="1:5" x14ac:dyDescent="0.3">
      <c r="A315" t="s">
        <v>697</v>
      </c>
      <c r="B315" s="70" t="s">
        <v>698</v>
      </c>
      <c r="D315" s="42">
        <v>34589.919999999991</v>
      </c>
      <c r="E315" s="115">
        <v>17294.959999999995</v>
      </c>
    </row>
    <row r="316" spans="1:5" ht="16.2" thickBot="1" x14ac:dyDescent="0.35">
      <c r="A316" s="133" t="s">
        <v>699</v>
      </c>
      <c r="B316" s="134" t="s">
        <v>700</v>
      </c>
      <c r="C316" s="133"/>
      <c r="D316" s="135">
        <v>36290.346666666657</v>
      </c>
      <c r="E316" s="136">
        <v>18145.173333333329</v>
      </c>
    </row>
    <row r="317" spans="1:5" x14ac:dyDescent="0.3">
      <c r="A317" t="s">
        <v>701</v>
      </c>
      <c r="B317" s="70" t="s">
        <v>702</v>
      </c>
      <c r="D317" s="42">
        <v>24967.68</v>
      </c>
      <c r="E317" s="115">
        <v>12483.84</v>
      </c>
    </row>
    <row r="318" spans="1:5" x14ac:dyDescent="0.3">
      <c r="A318" t="s">
        <v>703</v>
      </c>
      <c r="B318" s="70" t="s">
        <v>704</v>
      </c>
      <c r="D318" s="42">
        <v>24967.68</v>
      </c>
      <c r="E318" s="115">
        <v>12483.84</v>
      </c>
    </row>
    <row r="319" spans="1:5" x14ac:dyDescent="0.3">
      <c r="A319" t="s">
        <v>705</v>
      </c>
      <c r="B319" s="70" t="s">
        <v>706</v>
      </c>
      <c r="D319" s="42">
        <v>24967.68</v>
      </c>
      <c r="E319" s="115">
        <v>12483.84</v>
      </c>
    </row>
    <row r="320" spans="1:5" x14ac:dyDescent="0.3">
      <c r="A320" t="s">
        <v>707</v>
      </c>
      <c r="B320" s="70" t="s">
        <v>708</v>
      </c>
      <c r="D320" s="42">
        <v>24967.68</v>
      </c>
      <c r="E320" s="115">
        <v>12483.84</v>
      </c>
    </row>
    <row r="321" spans="1:5" x14ac:dyDescent="0.3">
      <c r="A321" t="s">
        <v>709</v>
      </c>
      <c r="B321" s="70" t="s">
        <v>710</v>
      </c>
      <c r="D321" s="42">
        <v>26559.226666666666</v>
      </c>
      <c r="E321" s="115">
        <v>13279.613333333333</v>
      </c>
    </row>
    <row r="322" spans="1:5" x14ac:dyDescent="0.3">
      <c r="A322" s="48" t="s">
        <v>711</v>
      </c>
      <c r="B322" s="116" t="s">
        <v>712</v>
      </c>
      <c r="C322" s="48"/>
      <c r="D322" s="119">
        <v>28259.653333333332</v>
      </c>
      <c r="E322" s="117">
        <v>14129.826666666666</v>
      </c>
    </row>
    <row r="323" spans="1:5" x14ac:dyDescent="0.3">
      <c r="A323" t="s">
        <v>713</v>
      </c>
      <c r="B323" s="70" t="s">
        <v>714</v>
      </c>
      <c r="D323" s="42">
        <v>26942.586666666662</v>
      </c>
      <c r="E323" s="115">
        <v>13471.293333333331</v>
      </c>
    </row>
    <row r="324" spans="1:5" x14ac:dyDescent="0.3">
      <c r="A324" t="s">
        <v>715</v>
      </c>
      <c r="B324" s="70" t="s">
        <v>716</v>
      </c>
      <c r="D324" s="42">
        <v>26942.586666666662</v>
      </c>
      <c r="E324" s="115">
        <v>13471.293333333331</v>
      </c>
    </row>
    <row r="325" spans="1:5" x14ac:dyDescent="0.3">
      <c r="A325" t="s">
        <v>717</v>
      </c>
      <c r="B325" s="70" t="s">
        <v>718</v>
      </c>
      <c r="D325" s="42">
        <v>26942.586666666662</v>
      </c>
      <c r="E325" s="115">
        <v>13471.293333333331</v>
      </c>
    </row>
    <row r="326" spans="1:5" x14ac:dyDescent="0.3">
      <c r="A326" t="s">
        <v>719</v>
      </c>
      <c r="B326" s="70" t="s">
        <v>720</v>
      </c>
      <c r="D326" s="42">
        <v>26942.586666666662</v>
      </c>
      <c r="E326" s="115">
        <v>13471.293333333331</v>
      </c>
    </row>
    <row r="327" spans="1:5" x14ac:dyDescent="0.3">
      <c r="A327" t="s">
        <v>721</v>
      </c>
      <c r="B327" s="70" t="s">
        <v>722</v>
      </c>
      <c r="D327" s="42">
        <v>28534.133333333328</v>
      </c>
      <c r="E327" s="115">
        <v>14267.066666666664</v>
      </c>
    </row>
    <row r="328" spans="1:5" x14ac:dyDescent="0.3">
      <c r="A328" s="48" t="s">
        <v>723</v>
      </c>
      <c r="B328" s="116" t="s">
        <v>724</v>
      </c>
      <c r="C328" s="48"/>
      <c r="D328" s="119">
        <v>30234.559999999994</v>
      </c>
      <c r="E328" s="117">
        <v>15117.279999999997</v>
      </c>
    </row>
    <row r="329" spans="1:5" x14ac:dyDescent="0.3">
      <c r="A329" t="s">
        <v>725</v>
      </c>
      <c r="B329" s="70" t="s">
        <v>726</v>
      </c>
      <c r="D329" s="42">
        <v>28922.426666666663</v>
      </c>
      <c r="E329" s="115">
        <v>14461.213333333331</v>
      </c>
    </row>
    <row r="330" spans="1:5" x14ac:dyDescent="0.3">
      <c r="A330" t="s">
        <v>727</v>
      </c>
      <c r="B330" s="70" t="s">
        <v>728</v>
      </c>
      <c r="D330" s="42">
        <v>28922.426666666663</v>
      </c>
      <c r="E330" s="115">
        <v>14461.213333333331</v>
      </c>
    </row>
    <row r="331" spans="1:5" x14ac:dyDescent="0.3">
      <c r="A331" t="s">
        <v>729</v>
      </c>
      <c r="B331" s="70" t="s">
        <v>730</v>
      </c>
      <c r="D331" s="42">
        <v>28922.426666666663</v>
      </c>
      <c r="E331" s="115">
        <v>14461.213333333331</v>
      </c>
    </row>
    <row r="332" spans="1:5" x14ac:dyDescent="0.3">
      <c r="A332" t="s">
        <v>731</v>
      </c>
      <c r="B332" s="70" t="s">
        <v>732</v>
      </c>
      <c r="D332" s="42">
        <v>28922.426666666663</v>
      </c>
      <c r="E332" s="115">
        <v>14461.213333333331</v>
      </c>
    </row>
    <row r="333" spans="1:5" x14ac:dyDescent="0.3">
      <c r="A333" t="s">
        <v>733</v>
      </c>
      <c r="B333" s="70" t="s">
        <v>734</v>
      </c>
      <c r="D333" s="42">
        <v>30513.973333333328</v>
      </c>
      <c r="E333" s="115">
        <v>15256.986666666664</v>
      </c>
    </row>
    <row r="334" spans="1:5" x14ac:dyDescent="0.3">
      <c r="A334" s="48" t="s">
        <v>735</v>
      </c>
      <c r="B334" s="116" t="s">
        <v>736</v>
      </c>
      <c r="C334" s="48"/>
      <c r="D334" s="119">
        <v>32214.399999999994</v>
      </c>
      <c r="E334" s="117">
        <v>16107.199999999997</v>
      </c>
    </row>
    <row r="335" spans="1:5" x14ac:dyDescent="0.3">
      <c r="A335" t="s">
        <v>737</v>
      </c>
      <c r="B335" s="70" t="s">
        <v>738</v>
      </c>
      <c r="D335" s="42">
        <v>30964.213333333326</v>
      </c>
      <c r="E335" s="115">
        <v>15482.106666666663</v>
      </c>
    </row>
    <row r="336" spans="1:5" x14ac:dyDescent="0.3">
      <c r="A336" t="s">
        <v>739</v>
      </c>
      <c r="B336" s="70" t="s">
        <v>740</v>
      </c>
      <c r="D336" s="42">
        <v>30964.213333333326</v>
      </c>
      <c r="E336" s="115">
        <v>15482.106666666663</v>
      </c>
    </row>
    <row r="337" spans="1:5" x14ac:dyDescent="0.3">
      <c r="A337" t="s">
        <v>741</v>
      </c>
      <c r="B337" s="70" t="s">
        <v>742</v>
      </c>
      <c r="D337" s="42">
        <v>30964.213333333326</v>
      </c>
      <c r="E337" s="115">
        <v>15482.106666666663</v>
      </c>
    </row>
    <row r="338" spans="1:5" x14ac:dyDescent="0.3">
      <c r="A338" t="s">
        <v>743</v>
      </c>
      <c r="B338" s="70" t="s">
        <v>744</v>
      </c>
      <c r="D338" s="42">
        <v>30964.213333333326</v>
      </c>
      <c r="E338" s="115">
        <v>15482.106666666663</v>
      </c>
    </row>
    <row r="339" spans="1:5" x14ac:dyDescent="0.3">
      <c r="A339" t="s">
        <v>745</v>
      </c>
      <c r="B339" s="70" t="s">
        <v>746</v>
      </c>
      <c r="D339" s="42">
        <v>30964.213333333326</v>
      </c>
      <c r="E339" s="115">
        <v>15482.106666666663</v>
      </c>
    </row>
    <row r="340" spans="1:5" x14ac:dyDescent="0.3">
      <c r="A340" s="48" t="s">
        <v>747</v>
      </c>
      <c r="B340" s="116" t="s">
        <v>748</v>
      </c>
      <c r="C340" s="48"/>
      <c r="D340" s="119">
        <v>30964.213333333326</v>
      </c>
      <c r="E340" s="117">
        <v>15482.106666666663</v>
      </c>
    </row>
    <row r="341" spans="1:5" x14ac:dyDescent="0.3">
      <c r="A341" t="s">
        <v>749</v>
      </c>
      <c r="B341" s="70" t="s">
        <v>750</v>
      </c>
      <c r="D341" s="42">
        <v>32995.706666666658</v>
      </c>
      <c r="E341" s="115">
        <v>16497.853333333329</v>
      </c>
    </row>
    <row r="342" spans="1:5" x14ac:dyDescent="0.3">
      <c r="A342" t="s">
        <v>751</v>
      </c>
      <c r="B342" s="70" t="s">
        <v>752</v>
      </c>
      <c r="D342" s="42">
        <v>32995.706666666658</v>
      </c>
      <c r="E342" s="115">
        <v>16497.853333333329</v>
      </c>
    </row>
    <row r="343" spans="1:5" x14ac:dyDescent="0.3">
      <c r="A343" t="s">
        <v>753</v>
      </c>
      <c r="B343" s="70" t="s">
        <v>754</v>
      </c>
      <c r="D343" s="42">
        <v>32995.706666666658</v>
      </c>
      <c r="E343" s="115">
        <v>16497.853333333329</v>
      </c>
    </row>
    <row r="344" spans="1:5" x14ac:dyDescent="0.3">
      <c r="A344" t="s">
        <v>755</v>
      </c>
      <c r="B344" s="70" t="s">
        <v>756</v>
      </c>
      <c r="D344" s="42">
        <v>32995.706666666658</v>
      </c>
      <c r="E344" s="115">
        <v>16497.853333333329</v>
      </c>
    </row>
    <row r="345" spans="1:5" x14ac:dyDescent="0.3">
      <c r="A345" t="s">
        <v>757</v>
      </c>
      <c r="B345" s="70" t="s">
        <v>758</v>
      </c>
      <c r="D345" s="42">
        <v>34587.253333333327</v>
      </c>
      <c r="E345" s="115">
        <v>17293.626666666663</v>
      </c>
    </row>
    <row r="346" spans="1:5" ht="16.2" thickBot="1" x14ac:dyDescent="0.35">
      <c r="A346" s="133" t="s">
        <v>759</v>
      </c>
      <c r="B346" s="134" t="s">
        <v>760</v>
      </c>
      <c r="C346" s="133"/>
      <c r="D346" s="135">
        <v>36287.679999999993</v>
      </c>
      <c r="E346" s="136">
        <v>18143.839999999997</v>
      </c>
    </row>
    <row r="347" spans="1:5" x14ac:dyDescent="0.3">
      <c r="A347" t="s">
        <v>761</v>
      </c>
      <c r="B347" s="70" t="s">
        <v>762</v>
      </c>
      <c r="D347" s="137">
        <v>24967.68</v>
      </c>
      <c r="E347" s="115">
        <v>12483.84</v>
      </c>
    </row>
    <row r="348" spans="1:5" x14ac:dyDescent="0.3">
      <c r="A348" t="s">
        <v>763</v>
      </c>
      <c r="B348" s="70" t="s">
        <v>764</v>
      </c>
      <c r="D348" s="42">
        <v>24967.68</v>
      </c>
      <c r="E348" s="115">
        <v>12483.84</v>
      </c>
    </row>
    <row r="349" spans="1:5" x14ac:dyDescent="0.3">
      <c r="A349" t="s">
        <v>765</v>
      </c>
      <c r="B349" s="70" t="s">
        <v>766</v>
      </c>
      <c r="D349" s="42">
        <v>24967.68</v>
      </c>
      <c r="E349" s="115">
        <v>12483.84</v>
      </c>
    </row>
    <row r="350" spans="1:5" x14ac:dyDescent="0.3">
      <c r="A350" t="s">
        <v>767</v>
      </c>
      <c r="B350" s="70" t="s">
        <v>768</v>
      </c>
      <c r="D350" s="42">
        <v>24967.68</v>
      </c>
      <c r="E350" s="115">
        <v>12483.84</v>
      </c>
    </row>
    <row r="351" spans="1:5" x14ac:dyDescent="0.3">
      <c r="A351" t="s">
        <v>769</v>
      </c>
      <c r="B351" s="70" t="s">
        <v>770</v>
      </c>
      <c r="D351" s="42">
        <v>26559.226666666666</v>
      </c>
      <c r="E351" s="115">
        <v>13279.613333333333</v>
      </c>
    </row>
    <row r="352" spans="1:5" x14ac:dyDescent="0.3">
      <c r="A352" s="48" t="s">
        <v>771</v>
      </c>
      <c r="B352" s="116" t="s">
        <v>772</v>
      </c>
      <c r="C352" s="48"/>
      <c r="D352" s="119">
        <v>28259.653333333332</v>
      </c>
      <c r="E352" s="117">
        <v>14129.826666666666</v>
      </c>
    </row>
    <row r="353" spans="1:5" x14ac:dyDescent="0.3">
      <c r="A353" t="s">
        <v>773</v>
      </c>
      <c r="B353" s="70" t="s">
        <v>774</v>
      </c>
      <c r="D353" s="42">
        <v>26942.586666666662</v>
      </c>
      <c r="E353" s="115">
        <v>13471.293333333331</v>
      </c>
    </row>
    <row r="354" spans="1:5" x14ac:dyDescent="0.3">
      <c r="A354" t="s">
        <v>775</v>
      </c>
      <c r="B354" s="70" t="s">
        <v>776</v>
      </c>
      <c r="D354" s="42">
        <v>26942.586666666662</v>
      </c>
      <c r="E354" s="115">
        <v>13471.293333333331</v>
      </c>
    </row>
    <row r="355" spans="1:5" x14ac:dyDescent="0.3">
      <c r="A355" t="s">
        <v>777</v>
      </c>
      <c r="B355" s="70" t="s">
        <v>778</v>
      </c>
      <c r="D355" s="42">
        <v>26942.586666666662</v>
      </c>
      <c r="E355" s="115">
        <v>13471.293333333331</v>
      </c>
    </row>
    <row r="356" spans="1:5" x14ac:dyDescent="0.3">
      <c r="A356" t="s">
        <v>779</v>
      </c>
      <c r="B356" s="70" t="s">
        <v>780</v>
      </c>
      <c r="D356" s="42">
        <v>26942.586666666662</v>
      </c>
      <c r="E356" s="115">
        <v>13471.293333333331</v>
      </c>
    </row>
    <row r="357" spans="1:5" x14ac:dyDescent="0.3">
      <c r="A357" t="s">
        <v>781</v>
      </c>
      <c r="B357" s="70" t="s">
        <v>782</v>
      </c>
      <c r="D357" s="42">
        <v>28534.133333333328</v>
      </c>
      <c r="E357" s="115">
        <v>14267.066666666664</v>
      </c>
    </row>
    <row r="358" spans="1:5" x14ac:dyDescent="0.3">
      <c r="A358" s="48" t="s">
        <v>783</v>
      </c>
      <c r="B358" s="116" t="s">
        <v>784</v>
      </c>
      <c r="C358" s="48"/>
      <c r="D358" s="119">
        <v>30234.559999999994</v>
      </c>
      <c r="E358" s="117">
        <v>15117.279999999997</v>
      </c>
    </row>
    <row r="359" spans="1:5" x14ac:dyDescent="0.3">
      <c r="A359" t="s">
        <v>785</v>
      </c>
      <c r="B359" s="70" t="s">
        <v>786</v>
      </c>
      <c r="D359" s="42">
        <v>28922.426666666663</v>
      </c>
      <c r="E359" s="115">
        <v>14461.213333333331</v>
      </c>
    </row>
    <row r="360" spans="1:5" x14ac:dyDescent="0.3">
      <c r="A360" t="s">
        <v>787</v>
      </c>
      <c r="B360" s="70" t="s">
        <v>788</v>
      </c>
      <c r="D360" s="42">
        <v>28922.426666666663</v>
      </c>
      <c r="E360" s="115">
        <v>14461.213333333331</v>
      </c>
    </row>
    <row r="361" spans="1:5" x14ac:dyDescent="0.3">
      <c r="A361" t="s">
        <v>789</v>
      </c>
      <c r="B361" s="70" t="s">
        <v>790</v>
      </c>
      <c r="D361" s="42">
        <v>28922.426666666663</v>
      </c>
      <c r="E361" s="115">
        <v>14461.213333333331</v>
      </c>
    </row>
    <row r="362" spans="1:5" x14ac:dyDescent="0.3">
      <c r="A362" t="s">
        <v>791</v>
      </c>
      <c r="B362" s="70" t="s">
        <v>792</v>
      </c>
      <c r="D362" s="42">
        <v>28922.426666666663</v>
      </c>
      <c r="E362" s="115">
        <v>14461.213333333331</v>
      </c>
    </row>
    <row r="363" spans="1:5" x14ac:dyDescent="0.3">
      <c r="A363" t="s">
        <v>793</v>
      </c>
      <c r="B363" s="70" t="s">
        <v>794</v>
      </c>
      <c r="D363" s="42">
        <v>30513.973333333328</v>
      </c>
      <c r="E363" s="115">
        <v>15256.986666666664</v>
      </c>
    </row>
    <row r="364" spans="1:5" x14ac:dyDescent="0.3">
      <c r="A364" s="48" t="s">
        <v>795</v>
      </c>
      <c r="B364" s="116" t="s">
        <v>796</v>
      </c>
      <c r="C364" s="48"/>
      <c r="D364" s="119">
        <v>32214.399999999994</v>
      </c>
      <c r="E364" s="117">
        <v>16107.199999999997</v>
      </c>
    </row>
    <row r="365" spans="1:5" x14ac:dyDescent="0.3">
      <c r="A365" t="s">
        <v>797</v>
      </c>
      <c r="B365" s="70" t="s">
        <v>798</v>
      </c>
      <c r="D365" s="42">
        <v>30961.546666666662</v>
      </c>
      <c r="E365" s="115">
        <v>15480.773333333331</v>
      </c>
    </row>
    <row r="366" spans="1:5" x14ac:dyDescent="0.3">
      <c r="A366" t="s">
        <v>799</v>
      </c>
      <c r="B366" s="70" t="s">
        <v>800</v>
      </c>
      <c r="D366" s="42">
        <v>30961.546666666662</v>
      </c>
      <c r="E366" s="115">
        <v>15480.773333333331</v>
      </c>
    </row>
    <row r="367" spans="1:5" x14ac:dyDescent="0.3">
      <c r="A367" t="s">
        <v>801</v>
      </c>
      <c r="B367" s="70" t="s">
        <v>802</v>
      </c>
      <c r="D367" s="42">
        <v>30961.546666666662</v>
      </c>
      <c r="E367" s="115">
        <v>15480.773333333331</v>
      </c>
    </row>
    <row r="368" spans="1:5" x14ac:dyDescent="0.3">
      <c r="A368" t="s">
        <v>803</v>
      </c>
      <c r="B368" s="70" t="s">
        <v>804</v>
      </c>
      <c r="D368" s="42">
        <v>30961.546666666662</v>
      </c>
      <c r="E368" s="115">
        <v>15480.773333333331</v>
      </c>
    </row>
    <row r="369" spans="1:5" x14ac:dyDescent="0.3">
      <c r="A369" t="s">
        <v>805</v>
      </c>
      <c r="B369" s="70" t="s">
        <v>806</v>
      </c>
      <c r="D369" s="42">
        <v>32553.093333333323</v>
      </c>
      <c r="E369" s="115">
        <v>16276.546666666662</v>
      </c>
    </row>
    <row r="370" spans="1:5" x14ac:dyDescent="0.3">
      <c r="A370" s="48" t="s">
        <v>807</v>
      </c>
      <c r="B370" s="116" t="s">
        <v>808</v>
      </c>
      <c r="C370" s="48"/>
      <c r="D370" s="119">
        <v>34253.51999999999</v>
      </c>
      <c r="E370" s="117">
        <v>17126.759999999995</v>
      </c>
    </row>
    <row r="371" spans="1:5" x14ac:dyDescent="0.3">
      <c r="A371" t="s">
        <v>809</v>
      </c>
      <c r="B371" s="70" t="s">
        <v>810</v>
      </c>
      <c r="D371" s="42">
        <v>32995.706666666658</v>
      </c>
      <c r="E371" s="115">
        <v>16497.853333333329</v>
      </c>
    </row>
    <row r="372" spans="1:5" x14ac:dyDescent="0.3">
      <c r="A372" t="s">
        <v>811</v>
      </c>
      <c r="B372" s="70" t="s">
        <v>812</v>
      </c>
      <c r="D372" s="42">
        <v>32995.706666666658</v>
      </c>
      <c r="E372" s="115">
        <v>16497.853333333329</v>
      </c>
    </row>
    <row r="373" spans="1:5" x14ac:dyDescent="0.3">
      <c r="A373" t="s">
        <v>813</v>
      </c>
      <c r="B373" s="70" t="s">
        <v>814</v>
      </c>
      <c r="D373" s="42">
        <v>32995.706666666658</v>
      </c>
      <c r="E373" s="115">
        <v>16497.853333333329</v>
      </c>
    </row>
    <row r="374" spans="1:5" x14ac:dyDescent="0.3">
      <c r="A374" t="s">
        <v>815</v>
      </c>
      <c r="B374" s="70" t="s">
        <v>816</v>
      </c>
      <c r="D374" s="42">
        <v>32995.706666666658</v>
      </c>
      <c r="E374" s="115">
        <v>16497.853333333329</v>
      </c>
    </row>
    <row r="375" spans="1:5" x14ac:dyDescent="0.3">
      <c r="A375" t="s">
        <v>817</v>
      </c>
      <c r="B375" s="70" t="s">
        <v>818</v>
      </c>
      <c r="D375" s="42">
        <v>34587.253333333327</v>
      </c>
      <c r="E375" s="115">
        <v>17293.626666666663</v>
      </c>
    </row>
    <row r="376" spans="1:5" ht="16.2" thickBot="1" x14ac:dyDescent="0.35">
      <c r="A376" s="133" t="s">
        <v>819</v>
      </c>
      <c r="B376" s="134" t="s">
        <v>820</v>
      </c>
      <c r="C376" s="133"/>
      <c r="D376" s="135">
        <v>36287.679999999993</v>
      </c>
      <c r="E376" s="136">
        <v>18143.839999999997</v>
      </c>
    </row>
    <row r="377" spans="1:5" x14ac:dyDescent="0.3">
      <c r="A377" t="s">
        <v>821</v>
      </c>
      <c r="B377" s="70" t="s">
        <v>822</v>
      </c>
      <c r="D377" s="42">
        <v>24967.68</v>
      </c>
      <c r="E377" s="115">
        <v>12483.84</v>
      </c>
    </row>
    <row r="378" spans="1:5" x14ac:dyDescent="0.3">
      <c r="A378" t="s">
        <v>823</v>
      </c>
      <c r="B378" s="70" t="s">
        <v>824</v>
      </c>
      <c r="D378" s="42">
        <v>24967.68</v>
      </c>
      <c r="E378" s="115">
        <v>12483.84</v>
      </c>
    </row>
    <row r="379" spans="1:5" x14ac:dyDescent="0.3">
      <c r="A379" t="s">
        <v>825</v>
      </c>
      <c r="B379" s="70" t="s">
        <v>826</v>
      </c>
      <c r="D379" s="42">
        <v>24967.68</v>
      </c>
      <c r="E379" s="115">
        <v>12483.84</v>
      </c>
    </row>
    <row r="380" spans="1:5" x14ac:dyDescent="0.3">
      <c r="A380" t="s">
        <v>827</v>
      </c>
      <c r="B380" s="70" t="s">
        <v>828</v>
      </c>
      <c r="D380" s="42">
        <v>24967.68</v>
      </c>
      <c r="E380" s="115">
        <v>12483.84</v>
      </c>
    </row>
    <row r="381" spans="1:5" x14ac:dyDescent="0.3">
      <c r="A381" t="s">
        <v>829</v>
      </c>
      <c r="B381" s="70" t="s">
        <v>830</v>
      </c>
      <c r="D381" s="42">
        <v>26559.226666666666</v>
      </c>
      <c r="E381" s="115">
        <v>13279.613333333333</v>
      </c>
    </row>
    <row r="382" spans="1:5" x14ac:dyDescent="0.3">
      <c r="A382" s="48" t="s">
        <v>831</v>
      </c>
      <c r="B382" s="116" t="s">
        <v>832</v>
      </c>
      <c r="C382" s="48"/>
      <c r="D382" s="119">
        <v>28259.653333333332</v>
      </c>
      <c r="E382" s="117">
        <v>14129.826666666666</v>
      </c>
    </row>
    <row r="383" spans="1:5" x14ac:dyDescent="0.3">
      <c r="A383" t="s">
        <v>833</v>
      </c>
      <c r="B383" s="70" t="s">
        <v>834</v>
      </c>
      <c r="D383" s="42">
        <v>26942.586666666662</v>
      </c>
      <c r="E383" s="115">
        <v>13471.293333333331</v>
      </c>
    </row>
    <row r="384" spans="1:5" x14ac:dyDescent="0.3">
      <c r="A384" t="s">
        <v>835</v>
      </c>
      <c r="B384" s="70" t="s">
        <v>836</v>
      </c>
      <c r="D384" s="42">
        <v>26942.586666666662</v>
      </c>
      <c r="E384" s="115">
        <v>13471.293333333331</v>
      </c>
    </row>
    <row r="385" spans="1:5" x14ac:dyDescent="0.3">
      <c r="A385" t="s">
        <v>837</v>
      </c>
      <c r="B385" s="70" t="s">
        <v>838</v>
      </c>
      <c r="D385" s="42">
        <v>26942.586666666662</v>
      </c>
      <c r="E385" s="115">
        <v>13471.293333333331</v>
      </c>
    </row>
    <row r="386" spans="1:5" x14ac:dyDescent="0.3">
      <c r="A386" t="s">
        <v>839</v>
      </c>
      <c r="B386" s="70" t="s">
        <v>840</v>
      </c>
      <c r="D386" s="42">
        <v>26942.586666666662</v>
      </c>
      <c r="E386" s="115">
        <v>13471.293333333331</v>
      </c>
    </row>
    <row r="387" spans="1:5" x14ac:dyDescent="0.3">
      <c r="A387" t="s">
        <v>841</v>
      </c>
      <c r="B387" s="70" t="s">
        <v>842</v>
      </c>
      <c r="D387" s="42">
        <v>28534.133333333328</v>
      </c>
      <c r="E387" s="115">
        <v>14267.066666666664</v>
      </c>
    </row>
    <row r="388" spans="1:5" x14ac:dyDescent="0.3">
      <c r="A388" s="48" t="s">
        <v>843</v>
      </c>
      <c r="B388" s="116" t="s">
        <v>844</v>
      </c>
      <c r="C388" s="48"/>
      <c r="D388" s="119">
        <v>30234.559999999994</v>
      </c>
      <c r="E388" s="117">
        <v>15117.279999999997</v>
      </c>
    </row>
    <row r="389" spans="1:5" x14ac:dyDescent="0.3">
      <c r="A389" t="s">
        <v>845</v>
      </c>
      <c r="B389" s="70" t="s">
        <v>846</v>
      </c>
      <c r="D389" s="42">
        <v>28922.426666666663</v>
      </c>
      <c r="E389" s="115">
        <v>14461.213333333331</v>
      </c>
    </row>
    <row r="390" spans="1:5" x14ac:dyDescent="0.3">
      <c r="A390" t="s">
        <v>847</v>
      </c>
      <c r="B390" s="70" t="s">
        <v>848</v>
      </c>
      <c r="D390" s="42">
        <v>28922.426666666663</v>
      </c>
      <c r="E390" s="115">
        <v>14461.213333333331</v>
      </c>
    </row>
    <row r="391" spans="1:5" x14ac:dyDescent="0.3">
      <c r="A391" t="s">
        <v>849</v>
      </c>
      <c r="B391" s="70" t="s">
        <v>850</v>
      </c>
      <c r="D391" s="42">
        <v>28922.426666666663</v>
      </c>
      <c r="E391" s="115">
        <v>14461.213333333331</v>
      </c>
    </row>
    <row r="392" spans="1:5" x14ac:dyDescent="0.3">
      <c r="A392" t="s">
        <v>851</v>
      </c>
      <c r="B392" s="70" t="s">
        <v>852</v>
      </c>
      <c r="D392" s="42">
        <v>28922.426666666663</v>
      </c>
      <c r="E392" s="115">
        <v>14461.213333333331</v>
      </c>
    </row>
    <row r="393" spans="1:5" x14ac:dyDescent="0.3">
      <c r="A393" t="s">
        <v>853</v>
      </c>
      <c r="B393" s="70" t="s">
        <v>854</v>
      </c>
      <c r="D393" s="42">
        <v>30513.973333333328</v>
      </c>
      <c r="E393" s="115">
        <v>15256.986666666664</v>
      </c>
    </row>
    <row r="394" spans="1:5" x14ac:dyDescent="0.3">
      <c r="A394" s="48" t="s">
        <v>855</v>
      </c>
      <c r="B394" s="116" t="s">
        <v>856</v>
      </c>
      <c r="C394" s="48"/>
      <c r="D394" s="119">
        <v>32214.399999999994</v>
      </c>
      <c r="E394" s="117">
        <v>16107.199999999997</v>
      </c>
    </row>
    <row r="395" spans="1:5" x14ac:dyDescent="0.3">
      <c r="A395" t="s">
        <v>857</v>
      </c>
      <c r="B395" s="70" t="s">
        <v>858</v>
      </c>
      <c r="D395" s="42">
        <v>30961.546666666662</v>
      </c>
      <c r="E395" s="115">
        <v>15480.773333333331</v>
      </c>
    </row>
    <row r="396" spans="1:5" x14ac:dyDescent="0.3">
      <c r="A396" t="s">
        <v>859</v>
      </c>
      <c r="B396" s="70" t="s">
        <v>860</v>
      </c>
      <c r="D396" s="42">
        <v>30961.546666666662</v>
      </c>
      <c r="E396" s="115">
        <v>15480.773333333331</v>
      </c>
    </row>
    <row r="397" spans="1:5" x14ac:dyDescent="0.3">
      <c r="A397" t="s">
        <v>861</v>
      </c>
      <c r="B397" s="70" t="s">
        <v>862</v>
      </c>
      <c r="D397" s="42">
        <v>30961.546666666662</v>
      </c>
      <c r="E397" s="115">
        <v>15480.773333333331</v>
      </c>
    </row>
    <row r="398" spans="1:5" x14ac:dyDescent="0.3">
      <c r="A398" t="s">
        <v>863</v>
      </c>
      <c r="B398" s="70" t="s">
        <v>864</v>
      </c>
      <c r="D398" s="42">
        <v>30961.546666666662</v>
      </c>
      <c r="E398" s="115">
        <v>15480.773333333331</v>
      </c>
    </row>
    <row r="399" spans="1:5" x14ac:dyDescent="0.3">
      <c r="A399" t="s">
        <v>865</v>
      </c>
      <c r="B399" s="70" t="s">
        <v>866</v>
      </c>
      <c r="D399" s="42">
        <v>32553.093333333323</v>
      </c>
      <c r="E399" s="115">
        <v>16276.546666666662</v>
      </c>
    </row>
    <row r="400" spans="1:5" x14ac:dyDescent="0.3">
      <c r="A400" s="48" t="s">
        <v>867</v>
      </c>
      <c r="B400" s="116" t="s">
        <v>868</v>
      </c>
      <c r="C400" s="48"/>
      <c r="D400" s="119">
        <v>34253.51999999999</v>
      </c>
      <c r="E400" s="117">
        <v>17126.759999999995</v>
      </c>
    </row>
    <row r="401" spans="1:5" x14ac:dyDescent="0.3">
      <c r="A401" t="s">
        <v>869</v>
      </c>
      <c r="B401" s="70" t="s">
        <v>870</v>
      </c>
      <c r="D401" s="42">
        <v>32995.706666666658</v>
      </c>
      <c r="E401" s="115">
        <v>16497.853333333329</v>
      </c>
    </row>
    <row r="402" spans="1:5" x14ac:dyDescent="0.3">
      <c r="A402" t="s">
        <v>871</v>
      </c>
      <c r="B402" s="70" t="s">
        <v>872</v>
      </c>
      <c r="D402" s="42">
        <v>32995.706666666658</v>
      </c>
      <c r="E402" s="115">
        <v>16497.853333333329</v>
      </c>
    </row>
    <row r="403" spans="1:5" x14ac:dyDescent="0.3">
      <c r="A403" t="s">
        <v>873</v>
      </c>
      <c r="B403" s="70" t="s">
        <v>874</v>
      </c>
      <c r="D403" s="42">
        <v>32995.706666666658</v>
      </c>
      <c r="E403" s="115">
        <v>16497.853333333329</v>
      </c>
    </row>
    <row r="404" spans="1:5" x14ac:dyDescent="0.3">
      <c r="A404" t="s">
        <v>875</v>
      </c>
      <c r="B404" s="70" t="s">
        <v>876</v>
      </c>
      <c r="D404" s="42">
        <v>32995.706666666658</v>
      </c>
      <c r="E404" s="115">
        <v>16497.853333333329</v>
      </c>
    </row>
    <row r="405" spans="1:5" x14ac:dyDescent="0.3">
      <c r="A405" t="s">
        <v>877</v>
      </c>
      <c r="B405" s="70" t="s">
        <v>878</v>
      </c>
      <c r="D405" s="42">
        <v>34587.253333333327</v>
      </c>
      <c r="E405" s="115">
        <v>17293.626666666663</v>
      </c>
    </row>
    <row r="406" spans="1:5" ht="16.2" thickBot="1" x14ac:dyDescent="0.35">
      <c r="A406" s="133" t="s">
        <v>879</v>
      </c>
      <c r="B406" s="134" t="s">
        <v>880</v>
      </c>
      <c r="C406" s="133"/>
      <c r="D406" s="135">
        <v>36287.679999999993</v>
      </c>
      <c r="E406" s="136">
        <v>18143.839999999997</v>
      </c>
    </row>
    <row r="407" spans="1:5" x14ac:dyDescent="0.3">
      <c r="A407" t="s">
        <v>881</v>
      </c>
      <c r="B407" s="70" t="s">
        <v>882</v>
      </c>
      <c r="D407" s="42">
        <v>24967.68</v>
      </c>
      <c r="E407" s="115">
        <v>12483.84</v>
      </c>
    </row>
    <row r="408" spans="1:5" x14ac:dyDescent="0.3">
      <c r="A408" t="s">
        <v>883</v>
      </c>
      <c r="B408" s="70" t="s">
        <v>884</v>
      </c>
      <c r="D408" s="42">
        <v>24967.68</v>
      </c>
      <c r="E408" s="115">
        <v>12483.84</v>
      </c>
    </row>
    <row r="409" spans="1:5" x14ac:dyDescent="0.3">
      <c r="A409" t="s">
        <v>885</v>
      </c>
      <c r="B409" s="70" t="s">
        <v>886</v>
      </c>
      <c r="D409" s="42">
        <v>24967.68</v>
      </c>
      <c r="E409" s="115">
        <v>12483.84</v>
      </c>
    </row>
    <row r="410" spans="1:5" x14ac:dyDescent="0.3">
      <c r="A410" t="s">
        <v>887</v>
      </c>
      <c r="B410" s="70" t="s">
        <v>888</v>
      </c>
      <c r="D410" s="42">
        <v>24967.68</v>
      </c>
      <c r="E410" s="115">
        <v>12483.84</v>
      </c>
    </row>
    <row r="411" spans="1:5" x14ac:dyDescent="0.3">
      <c r="A411" t="s">
        <v>889</v>
      </c>
      <c r="B411" s="70" t="s">
        <v>890</v>
      </c>
      <c r="D411" s="42">
        <v>26559.226666666666</v>
      </c>
      <c r="E411" s="115">
        <v>13279.613333333333</v>
      </c>
    </row>
    <row r="412" spans="1:5" x14ac:dyDescent="0.3">
      <c r="A412" s="48" t="s">
        <v>891</v>
      </c>
      <c r="B412" s="116" t="s">
        <v>892</v>
      </c>
      <c r="C412" s="48"/>
      <c r="D412" s="119">
        <v>28259.653333333332</v>
      </c>
      <c r="E412" s="117">
        <v>14129.826666666666</v>
      </c>
    </row>
    <row r="413" spans="1:5" x14ac:dyDescent="0.3">
      <c r="A413" t="s">
        <v>893</v>
      </c>
      <c r="B413" s="70" t="s">
        <v>894</v>
      </c>
      <c r="D413" s="42">
        <v>26942.586666666662</v>
      </c>
      <c r="E413" s="115">
        <v>13471.293333333331</v>
      </c>
    </row>
    <row r="414" spans="1:5" x14ac:dyDescent="0.3">
      <c r="A414" t="s">
        <v>895</v>
      </c>
      <c r="B414" s="70" t="s">
        <v>896</v>
      </c>
      <c r="D414" s="42">
        <v>26942.586666666662</v>
      </c>
      <c r="E414" s="115">
        <v>13471.293333333331</v>
      </c>
    </row>
    <row r="415" spans="1:5" x14ac:dyDescent="0.3">
      <c r="A415" t="s">
        <v>897</v>
      </c>
      <c r="B415" s="70" t="s">
        <v>898</v>
      </c>
      <c r="D415" s="42">
        <v>26942.586666666662</v>
      </c>
      <c r="E415" s="115">
        <v>13471.293333333331</v>
      </c>
    </row>
    <row r="416" spans="1:5" x14ac:dyDescent="0.3">
      <c r="A416" t="s">
        <v>899</v>
      </c>
      <c r="B416" s="70" t="s">
        <v>900</v>
      </c>
      <c r="D416" s="42">
        <v>26942.586666666662</v>
      </c>
      <c r="E416" s="115">
        <v>13471.293333333331</v>
      </c>
    </row>
    <row r="417" spans="1:5" x14ac:dyDescent="0.3">
      <c r="A417" t="s">
        <v>901</v>
      </c>
      <c r="B417" s="70" t="s">
        <v>902</v>
      </c>
      <c r="D417" s="42">
        <v>28534.133333333328</v>
      </c>
      <c r="E417" s="115">
        <v>14267.066666666664</v>
      </c>
    </row>
    <row r="418" spans="1:5" x14ac:dyDescent="0.3">
      <c r="A418" s="48" t="s">
        <v>903</v>
      </c>
      <c r="B418" s="116" t="s">
        <v>904</v>
      </c>
      <c r="C418" s="48"/>
      <c r="D418" s="119">
        <v>30234.559999999994</v>
      </c>
      <c r="E418" s="117">
        <v>15117.279999999997</v>
      </c>
    </row>
    <row r="419" spans="1:5" x14ac:dyDescent="0.3">
      <c r="A419" t="s">
        <v>905</v>
      </c>
      <c r="B419" s="70" t="s">
        <v>906</v>
      </c>
      <c r="D419" s="42">
        <v>28922.426666666663</v>
      </c>
      <c r="E419" s="115">
        <v>14461.213333333331</v>
      </c>
    </row>
    <row r="420" spans="1:5" x14ac:dyDescent="0.3">
      <c r="A420" t="s">
        <v>907</v>
      </c>
      <c r="B420" s="70" t="s">
        <v>908</v>
      </c>
      <c r="D420" s="42">
        <v>28922.426666666663</v>
      </c>
      <c r="E420" s="115">
        <v>14461.213333333331</v>
      </c>
    </row>
    <row r="421" spans="1:5" x14ac:dyDescent="0.3">
      <c r="A421" t="s">
        <v>909</v>
      </c>
      <c r="B421" s="70" t="s">
        <v>910</v>
      </c>
      <c r="D421" s="42">
        <v>28922.426666666663</v>
      </c>
      <c r="E421" s="115">
        <v>14461.213333333331</v>
      </c>
    </row>
    <row r="422" spans="1:5" x14ac:dyDescent="0.3">
      <c r="A422" t="s">
        <v>911</v>
      </c>
      <c r="B422" s="70" t="s">
        <v>912</v>
      </c>
      <c r="D422" s="42">
        <v>28922.426666666663</v>
      </c>
      <c r="E422" s="115">
        <v>14461.213333333331</v>
      </c>
    </row>
    <row r="423" spans="1:5" x14ac:dyDescent="0.3">
      <c r="A423" t="s">
        <v>913</v>
      </c>
      <c r="B423" s="70" t="s">
        <v>914</v>
      </c>
      <c r="D423" s="42">
        <v>30513.973333333328</v>
      </c>
      <c r="E423" s="115">
        <v>15256.986666666664</v>
      </c>
    </row>
    <row r="424" spans="1:5" x14ac:dyDescent="0.3">
      <c r="A424" s="48" t="s">
        <v>915</v>
      </c>
      <c r="B424" s="116" t="s">
        <v>916</v>
      </c>
      <c r="C424" s="48"/>
      <c r="D424" s="119">
        <v>32214.399999999994</v>
      </c>
      <c r="E424" s="117">
        <v>16107.199999999997</v>
      </c>
    </row>
    <row r="425" spans="1:5" x14ac:dyDescent="0.3">
      <c r="A425" t="s">
        <v>917</v>
      </c>
      <c r="B425" s="70" t="s">
        <v>918</v>
      </c>
      <c r="D425" s="105">
        <v>30961.546666666662</v>
      </c>
      <c r="E425" s="115">
        <v>15480.773333333331</v>
      </c>
    </row>
    <row r="426" spans="1:5" x14ac:dyDescent="0.3">
      <c r="A426" t="s">
        <v>919</v>
      </c>
      <c r="B426" s="70" t="s">
        <v>920</v>
      </c>
      <c r="D426" s="105">
        <v>30961.546666666662</v>
      </c>
      <c r="E426" s="115">
        <v>15480.773333333331</v>
      </c>
    </row>
    <row r="427" spans="1:5" x14ac:dyDescent="0.3">
      <c r="A427" t="s">
        <v>921</v>
      </c>
      <c r="B427" s="70" t="s">
        <v>922</v>
      </c>
      <c r="D427" s="105">
        <v>30961.546666666662</v>
      </c>
      <c r="E427" s="115">
        <v>15480.773333333331</v>
      </c>
    </row>
    <row r="428" spans="1:5" x14ac:dyDescent="0.3">
      <c r="A428" t="s">
        <v>923</v>
      </c>
      <c r="B428" s="70" t="s">
        <v>924</v>
      </c>
      <c r="D428" s="105">
        <v>30961.546666666662</v>
      </c>
      <c r="E428" s="115">
        <v>15480.773333333331</v>
      </c>
    </row>
    <row r="429" spans="1:5" x14ac:dyDescent="0.3">
      <c r="A429" t="s">
        <v>925</v>
      </c>
      <c r="B429" s="70" t="s">
        <v>926</v>
      </c>
      <c r="D429" s="105">
        <v>32553.093333333323</v>
      </c>
      <c r="E429" s="115">
        <v>16276.546666666662</v>
      </c>
    </row>
    <row r="430" spans="1:5" x14ac:dyDescent="0.3">
      <c r="A430" s="48" t="s">
        <v>927</v>
      </c>
      <c r="B430" s="116" t="s">
        <v>928</v>
      </c>
      <c r="C430" s="48"/>
      <c r="D430" s="138">
        <v>34253.51999999999</v>
      </c>
      <c r="E430" s="117">
        <v>17126.759999999995</v>
      </c>
    </row>
    <row r="431" spans="1:5" x14ac:dyDescent="0.3">
      <c r="A431" t="s">
        <v>929</v>
      </c>
      <c r="B431" s="70" t="s">
        <v>930</v>
      </c>
      <c r="D431" s="42">
        <v>32995.706666666658</v>
      </c>
      <c r="E431" s="115">
        <v>16497.853333333329</v>
      </c>
    </row>
    <row r="432" spans="1:5" x14ac:dyDescent="0.3">
      <c r="A432" t="s">
        <v>931</v>
      </c>
      <c r="B432" s="70" t="s">
        <v>932</v>
      </c>
      <c r="D432" s="42">
        <v>32995.706666666658</v>
      </c>
      <c r="E432" s="115">
        <v>16497.853333333329</v>
      </c>
    </row>
    <row r="433" spans="1:5" x14ac:dyDescent="0.3">
      <c r="A433" t="s">
        <v>933</v>
      </c>
      <c r="B433" s="70" t="s">
        <v>934</v>
      </c>
      <c r="D433" s="42">
        <v>32995.706666666658</v>
      </c>
      <c r="E433" s="115">
        <v>16497.853333333329</v>
      </c>
    </row>
    <row r="434" spans="1:5" x14ac:dyDescent="0.3">
      <c r="A434" t="s">
        <v>935</v>
      </c>
      <c r="B434" s="70" t="s">
        <v>936</v>
      </c>
      <c r="D434" s="42">
        <v>32995.706666666658</v>
      </c>
      <c r="E434" s="115">
        <v>16497.853333333329</v>
      </c>
    </row>
    <row r="435" spans="1:5" x14ac:dyDescent="0.3">
      <c r="A435" t="s">
        <v>937</v>
      </c>
      <c r="B435" s="70" t="s">
        <v>938</v>
      </c>
      <c r="D435" s="42">
        <v>34587.253333333327</v>
      </c>
      <c r="E435" s="115">
        <v>17293.626666666663</v>
      </c>
    </row>
    <row r="436" spans="1:5" ht="16.2" thickBot="1" x14ac:dyDescent="0.35">
      <c r="A436" s="133" t="s">
        <v>939</v>
      </c>
      <c r="B436" s="134" t="s">
        <v>940</v>
      </c>
      <c r="C436" s="133"/>
      <c r="D436" s="135">
        <v>36287.679999999993</v>
      </c>
      <c r="E436" s="136">
        <v>18143.839999999997</v>
      </c>
    </row>
    <row r="437" spans="1:5" x14ac:dyDescent="0.3">
      <c r="A437" t="s">
        <v>941</v>
      </c>
      <c r="B437" s="70" t="s">
        <v>942</v>
      </c>
      <c r="D437" s="42">
        <v>24967.68</v>
      </c>
      <c r="E437" s="115">
        <v>12483.84</v>
      </c>
    </row>
    <row r="438" spans="1:5" x14ac:dyDescent="0.3">
      <c r="A438" t="s">
        <v>943</v>
      </c>
      <c r="B438" s="70" t="s">
        <v>944</v>
      </c>
      <c r="D438" s="42">
        <v>24967.68</v>
      </c>
      <c r="E438" s="115">
        <v>12483.84</v>
      </c>
    </row>
    <row r="439" spans="1:5" x14ac:dyDescent="0.3">
      <c r="A439" t="s">
        <v>945</v>
      </c>
      <c r="B439" s="70" t="s">
        <v>946</v>
      </c>
      <c r="D439" s="42">
        <v>24967.68</v>
      </c>
      <c r="E439" s="115">
        <v>12483.84</v>
      </c>
    </row>
    <row r="440" spans="1:5" x14ac:dyDescent="0.3">
      <c r="A440" t="s">
        <v>947</v>
      </c>
      <c r="B440" s="70" t="s">
        <v>948</v>
      </c>
      <c r="D440" s="42">
        <v>24967.68</v>
      </c>
      <c r="E440" s="115">
        <v>12483.84</v>
      </c>
    </row>
    <row r="441" spans="1:5" x14ac:dyDescent="0.3">
      <c r="A441" t="s">
        <v>949</v>
      </c>
      <c r="B441" s="70" t="s">
        <v>950</v>
      </c>
      <c r="D441" s="42">
        <v>26559.226666666666</v>
      </c>
      <c r="E441" s="115">
        <v>13279.613333333333</v>
      </c>
    </row>
    <row r="442" spans="1:5" x14ac:dyDescent="0.3">
      <c r="A442" s="48" t="s">
        <v>951</v>
      </c>
      <c r="B442" s="116" t="s">
        <v>952</v>
      </c>
      <c r="C442" s="48"/>
      <c r="D442" s="119">
        <v>28259.653333333332</v>
      </c>
      <c r="E442" s="117">
        <v>14129.826666666666</v>
      </c>
    </row>
    <row r="443" spans="1:5" x14ac:dyDescent="0.3">
      <c r="A443" t="s">
        <v>953</v>
      </c>
      <c r="B443" s="70" t="s">
        <v>954</v>
      </c>
      <c r="D443" s="42">
        <v>26942.586666666662</v>
      </c>
      <c r="E443" s="115">
        <v>13471.293333333331</v>
      </c>
    </row>
    <row r="444" spans="1:5" x14ac:dyDescent="0.3">
      <c r="A444" t="s">
        <v>955</v>
      </c>
      <c r="B444" s="70" t="s">
        <v>956</v>
      </c>
      <c r="D444" s="42">
        <v>26942.586666666662</v>
      </c>
      <c r="E444" s="115">
        <v>13471.293333333331</v>
      </c>
    </row>
    <row r="445" spans="1:5" x14ac:dyDescent="0.3">
      <c r="A445" t="s">
        <v>957</v>
      </c>
      <c r="B445" s="70" t="s">
        <v>958</v>
      </c>
      <c r="D445" s="42">
        <v>26942.586666666662</v>
      </c>
      <c r="E445" s="115">
        <v>13471.293333333331</v>
      </c>
    </row>
    <row r="446" spans="1:5" x14ac:dyDescent="0.3">
      <c r="A446" t="s">
        <v>959</v>
      </c>
      <c r="B446" s="70" t="s">
        <v>960</v>
      </c>
      <c r="D446" s="42">
        <v>26942.586666666662</v>
      </c>
      <c r="E446" s="115">
        <v>13471.293333333331</v>
      </c>
    </row>
    <row r="447" spans="1:5" x14ac:dyDescent="0.3">
      <c r="A447" t="s">
        <v>961</v>
      </c>
      <c r="B447" s="70" t="s">
        <v>962</v>
      </c>
      <c r="D447" s="42">
        <v>28534.133333333328</v>
      </c>
      <c r="E447" s="115">
        <v>14267.066666666664</v>
      </c>
    </row>
    <row r="448" spans="1:5" x14ac:dyDescent="0.3">
      <c r="A448" s="48" t="s">
        <v>963</v>
      </c>
      <c r="B448" s="116" t="s">
        <v>964</v>
      </c>
      <c r="C448" s="48"/>
      <c r="D448" s="119">
        <v>30234.559999999994</v>
      </c>
      <c r="E448" s="117">
        <v>15117.279999999997</v>
      </c>
    </row>
    <row r="449" spans="1:5" x14ac:dyDescent="0.3">
      <c r="A449" t="s">
        <v>965</v>
      </c>
      <c r="B449" s="70" t="s">
        <v>966</v>
      </c>
      <c r="D449" s="42">
        <v>28922.426666666663</v>
      </c>
      <c r="E449" s="115">
        <v>14461.213333333331</v>
      </c>
    </row>
    <row r="450" spans="1:5" x14ac:dyDescent="0.3">
      <c r="A450" t="s">
        <v>967</v>
      </c>
      <c r="B450" s="70" t="s">
        <v>968</v>
      </c>
      <c r="D450" s="42">
        <v>28922.426666666663</v>
      </c>
      <c r="E450" s="115">
        <v>14461.213333333331</v>
      </c>
    </row>
    <row r="451" spans="1:5" x14ac:dyDescent="0.3">
      <c r="A451" t="s">
        <v>969</v>
      </c>
      <c r="B451" s="70" t="s">
        <v>970</v>
      </c>
      <c r="D451" s="42">
        <v>28922.426666666663</v>
      </c>
      <c r="E451" s="115">
        <v>14461.213333333331</v>
      </c>
    </row>
    <row r="452" spans="1:5" x14ac:dyDescent="0.3">
      <c r="A452" t="s">
        <v>971</v>
      </c>
      <c r="B452" s="70" t="s">
        <v>972</v>
      </c>
      <c r="D452" s="42">
        <v>28922.426666666663</v>
      </c>
      <c r="E452" s="115">
        <v>14461.213333333331</v>
      </c>
    </row>
    <row r="453" spans="1:5" x14ac:dyDescent="0.3">
      <c r="A453" t="s">
        <v>973</v>
      </c>
      <c r="B453" s="70" t="s">
        <v>974</v>
      </c>
      <c r="D453" s="42">
        <v>30513.973333333328</v>
      </c>
      <c r="E453" s="115">
        <v>15256.986666666664</v>
      </c>
    </row>
    <row r="454" spans="1:5" x14ac:dyDescent="0.3">
      <c r="A454" s="48" t="s">
        <v>975</v>
      </c>
      <c r="B454" s="116" t="s">
        <v>976</v>
      </c>
      <c r="C454" s="48"/>
      <c r="D454" s="119">
        <v>32214.399999999994</v>
      </c>
      <c r="E454" s="117">
        <v>16107.199999999997</v>
      </c>
    </row>
    <row r="455" spans="1:5" x14ac:dyDescent="0.3">
      <c r="A455" t="s">
        <v>977</v>
      </c>
      <c r="B455" s="70" t="s">
        <v>978</v>
      </c>
      <c r="D455" s="42">
        <v>30961.546666666662</v>
      </c>
      <c r="E455" s="115">
        <v>15480.773333333331</v>
      </c>
    </row>
    <row r="456" spans="1:5" x14ac:dyDescent="0.3">
      <c r="A456" t="s">
        <v>979</v>
      </c>
      <c r="B456" s="70" t="s">
        <v>980</v>
      </c>
      <c r="D456" s="42">
        <v>30961.546666666662</v>
      </c>
      <c r="E456" s="115">
        <v>15480.773333333331</v>
      </c>
    </row>
    <row r="457" spans="1:5" x14ac:dyDescent="0.3">
      <c r="A457" t="s">
        <v>981</v>
      </c>
      <c r="B457" s="70" t="s">
        <v>982</v>
      </c>
      <c r="D457" s="42">
        <v>30961.546666666662</v>
      </c>
      <c r="E457" s="115">
        <v>15480.773333333331</v>
      </c>
    </row>
    <row r="458" spans="1:5" x14ac:dyDescent="0.3">
      <c r="A458" t="s">
        <v>983</v>
      </c>
      <c r="B458" s="70" t="s">
        <v>984</v>
      </c>
      <c r="D458" s="42">
        <v>30961.546666666662</v>
      </c>
      <c r="E458" s="115">
        <v>15480.773333333331</v>
      </c>
    </row>
    <row r="459" spans="1:5" x14ac:dyDescent="0.3">
      <c r="A459" t="s">
        <v>985</v>
      </c>
      <c r="B459" s="70" t="s">
        <v>986</v>
      </c>
      <c r="D459" s="42">
        <v>32553.093333333323</v>
      </c>
      <c r="E459" s="115">
        <v>16276.546666666662</v>
      </c>
    </row>
    <row r="460" spans="1:5" x14ac:dyDescent="0.3">
      <c r="A460" s="48" t="s">
        <v>987</v>
      </c>
      <c r="B460" s="116" t="s">
        <v>988</v>
      </c>
      <c r="C460" s="48"/>
      <c r="D460" s="119">
        <v>34253.51999999999</v>
      </c>
      <c r="E460" s="117">
        <v>17126.759999999995</v>
      </c>
    </row>
    <row r="461" spans="1:5" x14ac:dyDescent="0.3">
      <c r="A461" t="s">
        <v>989</v>
      </c>
      <c r="B461" s="70" t="s">
        <v>990</v>
      </c>
      <c r="D461" s="42">
        <v>32995.706666666658</v>
      </c>
      <c r="E461" s="115">
        <v>16497.853333333329</v>
      </c>
    </row>
    <row r="462" spans="1:5" x14ac:dyDescent="0.3">
      <c r="A462" t="s">
        <v>991</v>
      </c>
      <c r="B462" s="70" t="s">
        <v>992</v>
      </c>
      <c r="D462" s="42">
        <v>32995.706666666658</v>
      </c>
      <c r="E462" s="115">
        <v>16497.853333333329</v>
      </c>
    </row>
    <row r="463" spans="1:5" x14ac:dyDescent="0.3">
      <c r="A463" t="s">
        <v>993</v>
      </c>
      <c r="B463" s="70" t="s">
        <v>994</v>
      </c>
      <c r="D463" s="42">
        <v>32995.706666666658</v>
      </c>
      <c r="E463" s="115">
        <v>16497.853333333329</v>
      </c>
    </row>
    <row r="464" spans="1:5" x14ac:dyDescent="0.3">
      <c r="A464" t="s">
        <v>995</v>
      </c>
      <c r="B464" s="70" t="s">
        <v>996</v>
      </c>
      <c r="D464" s="42">
        <v>32995.706666666658</v>
      </c>
      <c r="E464" s="115">
        <v>16497.853333333329</v>
      </c>
    </row>
    <row r="465" spans="1:5" x14ac:dyDescent="0.3">
      <c r="A465" t="s">
        <v>997</v>
      </c>
      <c r="B465" s="70" t="s">
        <v>998</v>
      </c>
      <c r="D465" s="42">
        <v>34587.253333333327</v>
      </c>
      <c r="E465" s="115">
        <v>17293.626666666663</v>
      </c>
    </row>
    <row r="466" spans="1:5" x14ac:dyDescent="0.3">
      <c r="A466" t="s">
        <v>999</v>
      </c>
      <c r="B466" s="70" t="s">
        <v>1000</v>
      </c>
      <c r="D466" s="42">
        <v>36287.679999999993</v>
      </c>
      <c r="E466" s="115">
        <v>18143.839999999997</v>
      </c>
    </row>
    <row r="467" spans="1:5" x14ac:dyDescent="0.3">
      <c r="A467" s="65"/>
      <c r="B467" s="65"/>
      <c r="C467" s="65"/>
      <c r="D467" s="81"/>
      <c r="E467" s="65"/>
    </row>
    <row r="468" spans="1:5" x14ac:dyDescent="0.3">
      <c r="A468" t="s">
        <v>1001</v>
      </c>
      <c r="B468" s="70" t="s">
        <v>1002</v>
      </c>
      <c r="D468" s="42">
        <v>28635.573333333341</v>
      </c>
      <c r="E468" s="58">
        <v>14317.78666666667</v>
      </c>
    </row>
    <row r="469" spans="1:5" x14ac:dyDescent="0.3">
      <c r="A469" t="s">
        <v>1003</v>
      </c>
      <c r="B469" s="70" t="s">
        <v>1004</v>
      </c>
      <c r="D469" s="42">
        <v>28635.573333333341</v>
      </c>
      <c r="E469" s="58">
        <v>14317.78666666667</v>
      </c>
    </row>
    <row r="470" spans="1:5" x14ac:dyDescent="0.3">
      <c r="A470" t="s">
        <v>1005</v>
      </c>
      <c r="B470" s="70" t="s">
        <v>1006</v>
      </c>
      <c r="D470" s="42">
        <v>28635.573333333341</v>
      </c>
      <c r="E470" s="58">
        <v>14317.78666666667</v>
      </c>
    </row>
    <row r="471" spans="1:5" x14ac:dyDescent="0.3">
      <c r="A471" t="s">
        <v>1007</v>
      </c>
      <c r="B471" s="70" t="s">
        <v>1008</v>
      </c>
      <c r="D471" s="42">
        <v>28635.573333333341</v>
      </c>
      <c r="E471" s="58">
        <v>14317.78666666667</v>
      </c>
    </row>
    <row r="472" spans="1:5" x14ac:dyDescent="0.3">
      <c r="A472" t="s">
        <v>1009</v>
      </c>
      <c r="B472" s="70" t="s">
        <v>1010</v>
      </c>
      <c r="D472" s="42">
        <v>30227.120000000006</v>
      </c>
      <c r="E472" s="58">
        <v>15113.560000000003</v>
      </c>
    </row>
    <row r="473" spans="1:5" x14ac:dyDescent="0.3">
      <c r="A473" s="48" t="s">
        <v>1011</v>
      </c>
      <c r="B473" s="116" t="s">
        <v>1012</v>
      </c>
      <c r="C473" s="48"/>
      <c r="D473" s="119">
        <v>31927.546666666673</v>
      </c>
      <c r="E473" s="117">
        <v>15963.773333333336</v>
      </c>
    </row>
    <row r="474" spans="1:5" x14ac:dyDescent="0.3">
      <c r="A474" t="s">
        <v>1013</v>
      </c>
      <c r="B474" s="70" t="s">
        <v>1014</v>
      </c>
      <c r="D474" s="42">
        <v>30610.480000000003</v>
      </c>
      <c r="E474" s="58">
        <v>15305.240000000002</v>
      </c>
    </row>
    <row r="475" spans="1:5" x14ac:dyDescent="0.3">
      <c r="A475" t="s">
        <v>1015</v>
      </c>
      <c r="B475" s="70" t="s">
        <v>1016</v>
      </c>
      <c r="D475" s="42">
        <v>30610.480000000003</v>
      </c>
      <c r="E475" s="58">
        <v>15305.240000000002</v>
      </c>
    </row>
    <row r="476" spans="1:5" x14ac:dyDescent="0.3">
      <c r="A476" t="s">
        <v>1017</v>
      </c>
      <c r="B476" s="70" t="s">
        <v>1018</v>
      </c>
      <c r="D476" s="42">
        <v>30610.480000000003</v>
      </c>
      <c r="E476" s="58">
        <v>15305.240000000002</v>
      </c>
    </row>
    <row r="477" spans="1:5" x14ac:dyDescent="0.3">
      <c r="A477" t="s">
        <v>1019</v>
      </c>
      <c r="B477" s="70" t="s">
        <v>1020</v>
      </c>
      <c r="D477" s="42">
        <v>30610.480000000003</v>
      </c>
      <c r="E477" s="58">
        <v>15305.240000000002</v>
      </c>
    </row>
    <row r="478" spans="1:5" x14ac:dyDescent="0.3">
      <c r="A478" t="s">
        <v>1021</v>
      </c>
      <c r="B478" s="70" t="s">
        <v>1022</v>
      </c>
      <c r="D478" s="42">
        <v>32202.026666666668</v>
      </c>
      <c r="E478" s="115">
        <v>16101.013333333334</v>
      </c>
    </row>
    <row r="479" spans="1:5" x14ac:dyDescent="0.3">
      <c r="A479" s="48" t="s">
        <v>1023</v>
      </c>
      <c r="B479" s="116" t="s">
        <v>1024</v>
      </c>
      <c r="C479" s="48"/>
      <c r="D479" s="119">
        <v>33902.453333333338</v>
      </c>
      <c r="E479" s="117">
        <v>16951.226666666669</v>
      </c>
    </row>
    <row r="480" spans="1:5" x14ac:dyDescent="0.3">
      <c r="A480" t="s">
        <v>1025</v>
      </c>
      <c r="B480" s="70" t="s">
        <v>1026</v>
      </c>
      <c r="D480" s="42">
        <v>32590.320000000003</v>
      </c>
      <c r="E480" s="115">
        <v>16295.160000000002</v>
      </c>
    </row>
    <row r="481" spans="1:11" x14ac:dyDescent="0.3">
      <c r="A481" t="s">
        <v>1027</v>
      </c>
      <c r="B481" s="70" t="s">
        <v>1028</v>
      </c>
      <c r="D481" s="42">
        <v>32590.320000000003</v>
      </c>
      <c r="E481" s="115">
        <v>16295.160000000002</v>
      </c>
    </row>
    <row r="482" spans="1:11" x14ac:dyDescent="0.3">
      <c r="A482" t="s">
        <v>1029</v>
      </c>
      <c r="B482" s="70" t="s">
        <v>1030</v>
      </c>
      <c r="D482" s="42">
        <v>32590.320000000003</v>
      </c>
      <c r="E482" s="115">
        <v>16295.160000000002</v>
      </c>
    </row>
    <row r="483" spans="1:11" x14ac:dyDescent="0.3">
      <c r="A483" t="s">
        <v>1031</v>
      </c>
      <c r="B483" s="70" t="s">
        <v>1032</v>
      </c>
      <c r="D483" s="42">
        <v>32590.320000000003</v>
      </c>
      <c r="E483" s="115">
        <v>16295.160000000002</v>
      </c>
    </row>
    <row r="484" spans="1:11" x14ac:dyDescent="0.3">
      <c r="A484" t="s">
        <v>1033</v>
      </c>
      <c r="B484" s="70" t="s">
        <v>1034</v>
      </c>
      <c r="D484" s="42">
        <v>34181.866666666669</v>
      </c>
      <c r="E484" s="115">
        <v>17090.933333333334</v>
      </c>
    </row>
    <row r="485" spans="1:11" x14ac:dyDescent="0.3">
      <c r="A485" s="48" t="s">
        <v>1035</v>
      </c>
      <c r="B485" s="116" t="s">
        <v>1034</v>
      </c>
      <c r="C485" s="48"/>
      <c r="D485" s="119">
        <v>35882.293333333335</v>
      </c>
      <c r="E485" s="117">
        <v>17941.146666666667</v>
      </c>
    </row>
    <row r="486" spans="1:11" x14ac:dyDescent="0.3">
      <c r="A486" t="s">
        <v>1036</v>
      </c>
      <c r="B486" s="70" t="s">
        <v>1037</v>
      </c>
      <c r="D486" s="42">
        <v>34629.440000000002</v>
      </c>
      <c r="E486" s="115">
        <v>17314.72</v>
      </c>
    </row>
    <row r="487" spans="1:11" x14ac:dyDescent="0.3">
      <c r="A487" t="s">
        <v>1038</v>
      </c>
      <c r="B487" s="70" t="s">
        <v>1039</v>
      </c>
      <c r="D487" s="42">
        <v>34629.440000000002</v>
      </c>
      <c r="E487" s="115">
        <v>17314.72</v>
      </c>
    </row>
    <row r="488" spans="1:11" x14ac:dyDescent="0.3">
      <c r="A488" t="s">
        <v>1040</v>
      </c>
      <c r="B488" s="70" t="s">
        <v>1041</v>
      </c>
      <c r="D488" s="42">
        <v>34629.440000000002</v>
      </c>
      <c r="E488" s="115">
        <v>17314.72</v>
      </c>
    </row>
    <row r="489" spans="1:11" x14ac:dyDescent="0.3">
      <c r="A489" t="s">
        <v>1042</v>
      </c>
      <c r="B489" s="70" t="s">
        <v>1043</v>
      </c>
      <c r="D489" s="42">
        <v>34629.440000000002</v>
      </c>
      <c r="E489" s="115">
        <v>17314.72</v>
      </c>
    </row>
    <row r="490" spans="1:11" x14ac:dyDescent="0.3">
      <c r="A490" t="s">
        <v>1044</v>
      </c>
      <c r="B490" s="70" t="s">
        <v>1045</v>
      </c>
      <c r="D490" s="42">
        <v>36220.986666666664</v>
      </c>
      <c r="E490" s="115">
        <v>18110.493333333332</v>
      </c>
    </row>
    <row r="491" spans="1:11" x14ac:dyDescent="0.3">
      <c r="A491" s="48" t="s">
        <v>1046</v>
      </c>
      <c r="B491" s="116" t="s">
        <v>1047</v>
      </c>
      <c r="C491" s="48"/>
      <c r="D491" s="119">
        <v>37921.41333333333</v>
      </c>
      <c r="E491" s="117">
        <v>18960.706666666665</v>
      </c>
    </row>
    <row r="492" spans="1:11" x14ac:dyDescent="0.3">
      <c r="A492" t="s">
        <v>1048</v>
      </c>
      <c r="B492" s="70" t="s">
        <v>1049</v>
      </c>
      <c r="D492" s="42">
        <v>36663.599999999999</v>
      </c>
      <c r="E492" s="115">
        <v>18331.8</v>
      </c>
    </row>
    <row r="493" spans="1:11" x14ac:dyDescent="0.3">
      <c r="A493" t="s">
        <v>1050</v>
      </c>
      <c r="B493" s="70" t="s">
        <v>1051</v>
      </c>
      <c r="D493" s="42">
        <v>36663.599999999999</v>
      </c>
      <c r="E493" s="115">
        <v>18331.8</v>
      </c>
      <c r="J493" s="42"/>
      <c r="K493" s="58"/>
    </row>
    <row r="494" spans="1:11" x14ac:dyDescent="0.3">
      <c r="A494" t="s">
        <v>1052</v>
      </c>
      <c r="B494" s="70" t="s">
        <v>1053</v>
      </c>
      <c r="D494" s="42">
        <v>36663.599999999999</v>
      </c>
      <c r="E494" s="115">
        <v>18331.8</v>
      </c>
      <c r="J494" s="42"/>
      <c r="K494" s="58">
        <v>0</v>
      </c>
    </row>
    <row r="495" spans="1:11" x14ac:dyDescent="0.3">
      <c r="A495" t="s">
        <v>1054</v>
      </c>
      <c r="B495" s="70" t="s">
        <v>1055</v>
      </c>
      <c r="D495" s="42">
        <v>36663.599999999999</v>
      </c>
      <c r="E495" s="115">
        <v>18331.8</v>
      </c>
      <c r="H495" s="70"/>
      <c r="J495" s="42"/>
      <c r="K495" s="58">
        <v>0</v>
      </c>
    </row>
    <row r="496" spans="1:11" x14ac:dyDescent="0.3">
      <c r="A496" t="s">
        <v>1056</v>
      </c>
      <c r="B496" s="70" t="s">
        <v>1057</v>
      </c>
      <c r="D496" s="42">
        <v>38255.146666666667</v>
      </c>
      <c r="E496" s="115">
        <v>19127.573333333334</v>
      </c>
      <c r="J496" s="42"/>
      <c r="K496" s="58">
        <v>0</v>
      </c>
    </row>
    <row r="497" spans="1:11" ht="16.2" thickBot="1" x14ac:dyDescent="0.35">
      <c r="A497" s="133" t="s">
        <v>1058</v>
      </c>
      <c r="B497" s="134" t="s">
        <v>1059</v>
      </c>
      <c r="C497" s="133"/>
      <c r="D497" s="135">
        <v>39955.573333333334</v>
      </c>
      <c r="E497" s="136">
        <v>19977.786666666667</v>
      </c>
      <c r="J497" s="42"/>
      <c r="K497" s="58">
        <v>0</v>
      </c>
    </row>
    <row r="498" spans="1:11" x14ac:dyDescent="0.3">
      <c r="A498" t="s">
        <v>1060</v>
      </c>
      <c r="B498" s="70" t="s">
        <v>1061</v>
      </c>
      <c r="D498" s="42">
        <v>28632.906666666673</v>
      </c>
      <c r="E498" s="115">
        <v>14316.453333333337</v>
      </c>
      <c r="J498" s="42"/>
      <c r="K498" s="58">
        <v>0</v>
      </c>
    </row>
    <row r="499" spans="1:11" x14ac:dyDescent="0.3">
      <c r="A499" t="s">
        <v>1062</v>
      </c>
      <c r="B499" s="70" t="s">
        <v>1063</v>
      </c>
      <c r="D499" s="42">
        <v>28632.906666666673</v>
      </c>
      <c r="E499" s="115">
        <v>14316.453333333337</v>
      </c>
      <c r="J499" s="42"/>
      <c r="K499" s="65"/>
    </row>
    <row r="500" spans="1:11" x14ac:dyDescent="0.3">
      <c r="A500" t="s">
        <v>1064</v>
      </c>
      <c r="B500" s="70" t="s">
        <v>1065</v>
      </c>
      <c r="D500" s="42">
        <v>28632.906666666673</v>
      </c>
      <c r="E500" s="115">
        <v>14316.453333333337</v>
      </c>
      <c r="H500" s="70"/>
      <c r="J500" s="42"/>
      <c r="K500" s="58">
        <v>0</v>
      </c>
    </row>
    <row r="501" spans="1:11" x14ac:dyDescent="0.3">
      <c r="A501" t="s">
        <v>1066</v>
      </c>
      <c r="B501" s="70" t="s">
        <v>1067</v>
      </c>
      <c r="D501" s="42">
        <v>28632.906666666673</v>
      </c>
      <c r="E501" s="115">
        <v>14316.453333333337</v>
      </c>
      <c r="H501" s="70"/>
      <c r="J501" s="42"/>
      <c r="K501" s="58">
        <v>0</v>
      </c>
    </row>
    <row r="502" spans="1:11" x14ac:dyDescent="0.3">
      <c r="A502" t="s">
        <v>1068</v>
      </c>
      <c r="B502" s="70" t="s">
        <v>1069</v>
      </c>
      <c r="D502" s="42">
        <v>30224.453333333338</v>
      </c>
      <c r="E502" s="115">
        <v>15112.226666666669</v>
      </c>
      <c r="H502" s="70"/>
      <c r="J502" s="42"/>
      <c r="K502" s="58">
        <v>0</v>
      </c>
    </row>
    <row r="503" spans="1:11" x14ac:dyDescent="0.3">
      <c r="A503" s="48" t="s">
        <v>1070</v>
      </c>
      <c r="B503" s="116" t="s">
        <v>1071</v>
      </c>
      <c r="C503" s="48"/>
      <c r="D503" s="119">
        <v>31924.880000000005</v>
      </c>
      <c r="E503" s="117">
        <v>15962.440000000002</v>
      </c>
      <c r="H503" s="70"/>
      <c r="J503" s="42"/>
      <c r="K503" s="58">
        <v>0</v>
      </c>
    </row>
    <row r="504" spans="1:11" x14ac:dyDescent="0.3">
      <c r="A504" t="s">
        <v>1072</v>
      </c>
      <c r="B504" s="70" t="s">
        <v>1073</v>
      </c>
      <c r="D504" s="42">
        <v>30607.813333333335</v>
      </c>
      <c r="E504" s="115">
        <v>15303.906666666668</v>
      </c>
      <c r="H504" s="70"/>
      <c r="J504" s="42"/>
      <c r="K504" s="58">
        <v>0</v>
      </c>
    </row>
    <row r="505" spans="1:11" x14ac:dyDescent="0.3">
      <c r="A505" t="s">
        <v>1074</v>
      </c>
      <c r="B505" s="70" t="s">
        <v>1075</v>
      </c>
      <c r="D505" s="42">
        <v>30607.813333333335</v>
      </c>
      <c r="E505" s="115">
        <v>15303.906666666668</v>
      </c>
      <c r="H505" s="70"/>
      <c r="J505" s="42"/>
      <c r="K505" s="58">
        <v>0</v>
      </c>
    </row>
    <row r="506" spans="1:11" x14ac:dyDescent="0.3">
      <c r="A506" t="s">
        <v>1076</v>
      </c>
      <c r="B506" s="70" t="s">
        <v>1077</v>
      </c>
      <c r="D506" s="42">
        <v>30607.813333333335</v>
      </c>
      <c r="E506" s="115">
        <v>15303.906666666668</v>
      </c>
      <c r="H506" s="70"/>
      <c r="J506" s="42"/>
      <c r="K506" s="58">
        <v>0</v>
      </c>
    </row>
    <row r="507" spans="1:11" x14ac:dyDescent="0.3">
      <c r="A507" t="s">
        <v>1078</v>
      </c>
      <c r="B507" s="70" t="s">
        <v>1079</v>
      </c>
      <c r="D507" s="42">
        <v>30607.813333333335</v>
      </c>
      <c r="E507" s="115">
        <v>15303.906666666668</v>
      </c>
      <c r="H507" s="70"/>
      <c r="J507" s="42"/>
      <c r="K507" s="58">
        <v>0</v>
      </c>
    </row>
    <row r="508" spans="1:11" x14ac:dyDescent="0.3">
      <c r="A508" t="s">
        <v>1080</v>
      </c>
      <c r="B508" s="70" t="s">
        <v>1081</v>
      </c>
      <c r="D508" s="42">
        <v>32199.360000000001</v>
      </c>
      <c r="E508" s="115">
        <v>16099.68</v>
      </c>
      <c r="H508" s="70"/>
      <c r="J508" s="42"/>
      <c r="K508" s="58">
        <v>0</v>
      </c>
    </row>
    <row r="509" spans="1:11" x14ac:dyDescent="0.3">
      <c r="A509" s="48" t="s">
        <v>1082</v>
      </c>
      <c r="B509" s="116" t="s">
        <v>1083</v>
      </c>
      <c r="C509" s="48"/>
      <c r="D509" s="119">
        <v>33899.786666666667</v>
      </c>
      <c r="E509" s="117">
        <v>16949.893333333333</v>
      </c>
      <c r="H509" s="70"/>
      <c r="J509" s="42"/>
      <c r="K509" s="58">
        <v>0</v>
      </c>
    </row>
    <row r="510" spans="1:11" x14ac:dyDescent="0.3">
      <c r="A510" t="s">
        <v>1084</v>
      </c>
      <c r="B510" s="70" t="s">
        <v>1085</v>
      </c>
      <c r="D510" s="42">
        <v>32587.653333333335</v>
      </c>
      <c r="E510" s="115">
        <v>16293.826666666668</v>
      </c>
      <c r="H510" s="70"/>
      <c r="J510" s="42"/>
      <c r="K510" s="58">
        <v>0</v>
      </c>
    </row>
    <row r="511" spans="1:11" x14ac:dyDescent="0.3">
      <c r="A511" t="s">
        <v>1086</v>
      </c>
      <c r="B511" s="70" t="s">
        <v>1087</v>
      </c>
      <c r="D511" s="42">
        <v>32587.653333333335</v>
      </c>
      <c r="E511" s="115">
        <v>16293.826666666668</v>
      </c>
      <c r="H511" s="70"/>
      <c r="J511" s="42"/>
      <c r="K511" s="58">
        <v>0</v>
      </c>
    </row>
    <row r="512" spans="1:11" x14ac:dyDescent="0.3">
      <c r="A512" t="s">
        <v>1088</v>
      </c>
      <c r="B512" s="70" t="s">
        <v>1089</v>
      </c>
      <c r="D512" s="42">
        <v>32587.653333333335</v>
      </c>
      <c r="E512" s="115">
        <v>16293.826666666668</v>
      </c>
      <c r="H512" s="70"/>
      <c r="J512" s="42"/>
      <c r="K512" s="58">
        <v>0</v>
      </c>
    </row>
    <row r="513" spans="1:11" x14ac:dyDescent="0.3">
      <c r="A513" t="s">
        <v>1090</v>
      </c>
      <c r="B513" s="70" t="s">
        <v>1091</v>
      </c>
      <c r="D513" s="42">
        <v>32587.653333333335</v>
      </c>
      <c r="E513" s="115">
        <v>16293.826666666668</v>
      </c>
      <c r="H513" s="70"/>
      <c r="J513" s="42"/>
      <c r="K513" s="58">
        <v>0</v>
      </c>
    </row>
    <row r="514" spans="1:11" x14ac:dyDescent="0.3">
      <c r="A514" t="s">
        <v>1092</v>
      </c>
      <c r="B514" s="70" t="s">
        <v>1093</v>
      </c>
      <c r="D514" s="42">
        <v>34179.200000000004</v>
      </c>
      <c r="E514" s="115">
        <v>17089.600000000002</v>
      </c>
      <c r="H514" s="70"/>
      <c r="J514" s="42"/>
      <c r="K514" s="58">
        <v>0</v>
      </c>
    </row>
    <row r="515" spans="1:11" x14ac:dyDescent="0.3">
      <c r="A515" s="48" t="s">
        <v>1094</v>
      </c>
      <c r="B515" s="116" t="s">
        <v>1095</v>
      </c>
      <c r="C515" s="48"/>
      <c r="D515" s="119">
        <v>35879.626666666671</v>
      </c>
      <c r="E515" s="117">
        <v>17939.813333333335</v>
      </c>
      <c r="H515" s="70"/>
      <c r="J515" s="42"/>
      <c r="K515" s="58">
        <v>0</v>
      </c>
    </row>
    <row r="516" spans="1:11" x14ac:dyDescent="0.3">
      <c r="A516" t="s">
        <v>1096</v>
      </c>
      <c r="B516" s="70" t="s">
        <v>1097</v>
      </c>
      <c r="D516" s="42">
        <v>34629.440000000002</v>
      </c>
      <c r="E516" s="115">
        <v>17314.72</v>
      </c>
      <c r="H516" s="70"/>
      <c r="J516" s="42"/>
      <c r="K516" s="58">
        <v>0</v>
      </c>
    </row>
    <row r="517" spans="1:11" x14ac:dyDescent="0.3">
      <c r="A517" t="s">
        <v>1098</v>
      </c>
      <c r="B517" s="70" t="s">
        <v>1099</v>
      </c>
      <c r="D517" s="42">
        <v>34629.440000000002</v>
      </c>
      <c r="E517" s="115">
        <v>17314.72</v>
      </c>
      <c r="H517" s="70"/>
      <c r="J517" s="42"/>
      <c r="K517" s="58">
        <v>0</v>
      </c>
    </row>
    <row r="518" spans="1:11" x14ac:dyDescent="0.3">
      <c r="A518" t="s">
        <v>1100</v>
      </c>
      <c r="B518" s="70" t="s">
        <v>1101</v>
      </c>
      <c r="D518" s="42">
        <v>34629.440000000002</v>
      </c>
      <c r="E518" s="115">
        <v>17314.72</v>
      </c>
      <c r="H518" s="70"/>
      <c r="J518" s="42"/>
      <c r="K518" s="58">
        <v>0</v>
      </c>
    </row>
    <row r="519" spans="1:11" x14ac:dyDescent="0.3">
      <c r="A519" t="s">
        <v>1102</v>
      </c>
      <c r="B519" s="70" t="s">
        <v>1103</v>
      </c>
      <c r="D519" s="42">
        <v>34629.440000000002</v>
      </c>
      <c r="E519" s="115">
        <v>17314.72</v>
      </c>
      <c r="H519" s="70"/>
      <c r="J519" s="42"/>
      <c r="K519" s="58">
        <v>0</v>
      </c>
    </row>
    <row r="520" spans="1:11" x14ac:dyDescent="0.3">
      <c r="A520" t="s">
        <v>1104</v>
      </c>
      <c r="B520" s="70" t="s">
        <v>1105</v>
      </c>
      <c r="D520" s="42">
        <v>34629.440000000002</v>
      </c>
      <c r="E520" s="115">
        <v>17314.72</v>
      </c>
      <c r="H520" s="70"/>
      <c r="J520" s="42"/>
      <c r="K520" s="58">
        <v>0</v>
      </c>
    </row>
    <row r="521" spans="1:11" x14ac:dyDescent="0.3">
      <c r="A521" s="48" t="s">
        <v>1106</v>
      </c>
      <c r="B521" s="116" t="s">
        <v>1107</v>
      </c>
      <c r="C521" s="48"/>
      <c r="D521" s="119">
        <v>34629.440000000002</v>
      </c>
      <c r="E521" s="117">
        <v>17314.72</v>
      </c>
      <c r="H521" s="70"/>
      <c r="J521" s="42"/>
      <c r="K521" s="58">
        <v>0</v>
      </c>
    </row>
    <row r="522" spans="1:11" x14ac:dyDescent="0.3">
      <c r="A522" t="s">
        <v>1108</v>
      </c>
      <c r="B522" s="70" t="s">
        <v>1109</v>
      </c>
      <c r="D522" s="42">
        <v>36660.933333333334</v>
      </c>
      <c r="E522" s="115">
        <v>18330.466666666667</v>
      </c>
      <c r="H522" s="70"/>
      <c r="J522" s="42"/>
      <c r="K522" s="58">
        <v>0</v>
      </c>
    </row>
    <row r="523" spans="1:11" x14ac:dyDescent="0.3">
      <c r="A523" t="s">
        <v>1110</v>
      </c>
      <c r="B523" s="70" t="s">
        <v>1111</v>
      </c>
      <c r="D523" s="42">
        <v>36660.933333333334</v>
      </c>
      <c r="E523" s="115">
        <v>18330.466666666667</v>
      </c>
      <c r="H523" s="70"/>
      <c r="J523" s="42"/>
      <c r="K523" s="58">
        <v>0</v>
      </c>
    </row>
    <row r="524" spans="1:11" x14ac:dyDescent="0.3">
      <c r="A524" t="s">
        <v>1112</v>
      </c>
      <c r="B524" s="70" t="s">
        <v>1113</v>
      </c>
      <c r="D524" s="42">
        <v>36660.933333333334</v>
      </c>
      <c r="E524" s="115">
        <v>18330.466666666667</v>
      </c>
      <c r="H524" s="70"/>
      <c r="J524" s="42"/>
      <c r="K524" s="58">
        <v>0</v>
      </c>
    </row>
    <row r="525" spans="1:11" x14ac:dyDescent="0.3">
      <c r="A525" t="s">
        <v>1114</v>
      </c>
      <c r="B525" s="70" t="s">
        <v>1115</v>
      </c>
      <c r="D525" s="42">
        <v>36660.933333333334</v>
      </c>
      <c r="E525" s="115">
        <v>18330.466666666667</v>
      </c>
      <c r="H525" s="70"/>
      <c r="J525" s="42"/>
      <c r="K525" s="58">
        <v>0</v>
      </c>
    </row>
    <row r="526" spans="1:11" x14ac:dyDescent="0.3">
      <c r="A526" t="s">
        <v>1116</v>
      </c>
      <c r="B526" s="70" t="s">
        <v>1117</v>
      </c>
      <c r="D526" s="42">
        <v>38252.479999999996</v>
      </c>
      <c r="E526" s="115">
        <v>19126.239999999998</v>
      </c>
      <c r="H526" s="70"/>
      <c r="J526" s="42"/>
      <c r="K526" s="58">
        <v>0</v>
      </c>
    </row>
    <row r="527" spans="1:11" ht="16.2" thickBot="1" x14ac:dyDescent="0.35">
      <c r="A527" s="133" t="s">
        <v>1118</v>
      </c>
      <c r="B527" s="134" t="s">
        <v>1119</v>
      </c>
      <c r="C527" s="133"/>
      <c r="D527" s="135">
        <v>39952.906666666662</v>
      </c>
      <c r="E527" s="136">
        <v>19976.453333333331</v>
      </c>
      <c r="H527" s="70"/>
      <c r="J527" s="42"/>
      <c r="K527" s="58">
        <v>0</v>
      </c>
    </row>
    <row r="528" spans="1:11" x14ac:dyDescent="0.3">
      <c r="A528" t="s">
        <v>1120</v>
      </c>
      <c r="B528" s="70" t="s">
        <v>1121</v>
      </c>
      <c r="D528" s="137">
        <v>28632.906666666673</v>
      </c>
      <c r="E528" s="115">
        <v>14316.453333333337</v>
      </c>
      <c r="H528" s="70"/>
      <c r="J528" s="42"/>
      <c r="K528" s="58">
        <v>0</v>
      </c>
    </row>
    <row r="529" spans="1:11" x14ac:dyDescent="0.3">
      <c r="A529" t="s">
        <v>1122</v>
      </c>
      <c r="B529" s="70" t="s">
        <v>1123</v>
      </c>
      <c r="D529" s="42">
        <v>28632.906666666673</v>
      </c>
      <c r="E529" s="115">
        <v>14316.453333333337</v>
      </c>
      <c r="H529" s="70"/>
      <c r="J529" s="42"/>
      <c r="K529" s="58">
        <v>0</v>
      </c>
    </row>
    <row r="530" spans="1:11" x14ac:dyDescent="0.3">
      <c r="A530" t="s">
        <v>1124</v>
      </c>
      <c r="B530" s="70" t="s">
        <v>1125</v>
      </c>
      <c r="D530" s="42">
        <v>28632.906666666673</v>
      </c>
      <c r="E530" s="115">
        <v>14316.453333333337</v>
      </c>
      <c r="J530" s="42"/>
      <c r="K530" s="65"/>
    </row>
    <row r="531" spans="1:11" x14ac:dyDescent="0.3">
      <c r="A531" t="s">
        <v>1126</v>
      </c>
      <c r="B531" s="70" t="s">
        <v>1127</v>
      </c>
      <c r="D531" s="42">
        <v>28632.906666666673</v>
      </c>
      <c r="E531" s="115">
        <v>14316.453333333337</v>
      </c>
      <c r="H531" s="70"/>
      <c r="J531" s="42"/>
      <c r="K531" s="58">
        <v>0</v>
      </c>
    </row>
    <row r="532" spans="1:11" x14ac:dyDescent="0.3">
      <c r="A532" t="s">
        <v>1128</v>
      </c>
      <c r="B532" s="70" t="s">
        <v>1129</v>
      </c>
      <c r="D532" s="42">
        <v>30224.453333333338</v>
      </c>
      <c r="E532" s="115">
        <v>15112.226666666669</v>
      </c>
      <c r="H532" s="70"/>
      <c r="J532" s="42"/>
      <c r="K532" s="58">
        <v>0</v>
      </c>
    </row>
    <row r="533" spans="1:11" x14ac:dyDescent="0.3">
      <c r="A533" s="48" t="s">
        <v>1130</v>
      </c>
      <c r="B533" s="116" t="s">
        <v>1131</v>
      </c>
      <c r="C533" s="48"/>
      <c r="D533" s="119">
        <v>31924.880000000005</v>
      </c>
      <c r="E533" s="117">
        <v>15962.440000000002</v>
      </c>
      <c r="H533" s="70"/>
      <c r="J533" s="42"/>
      <c r="K533" s="58">
        <v>0</v>
      </c>
    </row>
    <row r="534" spans="1:11" x14ac:dyDescent="0.3">
      <c r="A534" t="s">
        <v>1132</v>
      </c>
      <c r="B534" s="70" t="s">
        <v>1133</v>
      </c>
      <c r="D534" s="42">
        <v>30607.813333333335</v>
      </c>
      <c r="E534" s="115">
        <v>15303.906666666668</v>
      </c>
      <c r="H534" s="70"/>
      <c r="J534" s="42"/>
      <c r="K534" s="58">
        <v>0</v>
      </c>
    </row>
    <row r="535" spans="1:11" x14ac:dyDescent="0.3">
      <c r="A535" t="s">
        <v>1134</v>
      </c>
      <c r="B535" s="70" t="s">
        <v>1135</v>
      </c>
      <c r="D535" s="42">
        <v>30607.813333333335</v>
      </c>
      <c r="E535" s="115">
        <v>15303.906666666668</v>
      </c>
      <c r="H535" s="70"/>
      <c r="J535" s="42"/>
      <c r="K535" s="58">
        <v>0</v>
      </c>
    </row>
    <row r="536" spans="1:11" x14ac:dyDescent="0.3">
      <c r="A536" t="s">
        <v>1136</v>
      </c>
      <c r="B536" s="70" t="s">
        <v>1137</v>
      </c>
      <c r="D536" s="42">
        <v>30607.813333333335</v>
      </c>
      <c r="E536" s="115">
        <v>15303.906666666668</v>
      </c>
      <c r="H536" s="70"/>
      <c r="J536" s="42"/>
      <c r="K536" s="58">
        <v>0</v>
      </c>
    </row>
    <row r="537" spans="1:11" x14ac:dyDescent="0.3">
      <c r="A537" t="s">
        <v>1138</v>
      </c>
      <c r="B537" s="70" t="s">
        <v>1139</v>
      </c>
      <c r="D537" s="42">
        <v>30607.813333333335</v>
      </c>
      <c r="E537" s="115">
        <v>15303.906666666668</v>
      </c>
      <c r="H537" s="70"/>
      <c r="J537" s="42"/>
      <c r="K537" s="58">
        <v>0</v>
      </c>
    </row>
    <row r="538" spans="1:11" x14ac:dyDescent="0.3">
      <c r="A538" t="s">
        <v>1140</v>
      </c>
      <c r="B538" s="70" t="s">
        <v>1141</v>
      </c>
      <c r="D538" s="42">
        <v>32199.360000000001</v>
      </c>
      <c r="E538" s="115">
        <v>16099.68</v>
      </c>
      <c r="H538" s="70"/>
      <c r="J538" s="42"/>
      <c r="K538" s="58">
        <v>0</v>
      </c>
    </row>
    <row r="539" spans="1:11" x14ac:dyDescent="0.3">
      <c r="A539" s="48" t="s">
        <v>1142</v>
      </c>
      <c r="B539" s="116" t="s">
        <v>1143</v>
      </c>
      <c r="C539" s="48"/>
      <c r="D539" s="119">
        <v>33899.786666666667</v>
      </c>
      <c r="E539" s="117">
        <v>16949.893333333333</v>
      </c>
      <c r="H539" s="70"/>
      <c r="J539" s="42"/>
      <c r="K539" s="58">
        <v>0</v>
      </c>
    </row>
    <row r="540" spans="1:11" x14ac:dyDescent="0.3">
      <c r="A540" t="s">
        <v>1144</v>
      </c>
      <c r="B540" s="70" t="s">
        <v>1145</v>
      </c>
      <c r="D540" s="42">
        <v>32587.653333333335</v>
      </c>
      <c r="E540" s="115">
        <v>16293.826666666668</v>
      </c>
      <c r="H540" s="70"/>
      <c r="J540" s="42"/>
      <c r="K540" s="58">
        <v>0</v>
      </c>
    </row>
    <row r="541" spans="1:11" x14ac:dyDescent="0.3">
      <c r="A541" t="s">
        <v>1146</v>
      </c>
      <c r="B541" s="70" t="s">
        <v>1147</v>
      </c>
      <c r="D541" s="42">
        <v>32587.653333333335</v>
      </c>
      <c r="E541" s="115">
        <v>16293.826666666668</v>
      </c>
      <c r="H541" s="70"/>
      <c r="J541" s="42"/>
      <c r="K541" s="58">
        <v>0</v>
      </c>
    </row>
    <row r="542" spans="1:11" x14ac:dyDescent="0.3">
      <c r="A542" t="s">
        <v>1148</v>
      </c>
      <c r="B542" s="70" t="s">
        <v>1149</v>
      </c>
      <c r="D542" s="42">
        <v>32587.653333333335</v>
      </c>
      <c r="E542" s="115">
        <v>16293.826666666668</v>
      </c>
      <c r="H542" s="70"/>
      <c r="J542" s="42"/>
      <c r="K542" s="58">
        <v>0</v>
      </c>
    </row>
    <row r="543" spans="1:11" x14ac:dyDescent="0.3">
      <c r="A543" t="s">
        <v>1150</v>
      </c>
      <c r="B543" s="70" t="s">
        <v>1151</v>
      </c>
      <c r="D543" s="42">
        <v>32587.653333333335</v>
      </c>
      <c r="E543" s="115">
        <v>16293.826666666668</v>
      </c>
      <c r="H543" s="70"/>
      <c r="J543" s="42"/>
      <c r="K543" s="58">
        <v>0</v>
      </c>
    </row>
    <row r="544" spans="1:11" x14ac:dyDescent="0.3">
      <c r="A544" t="s">
        <v>1152</v>
      </c>
      <c r="B544" s="70" t="s">
        <v>1153</v>
      </c>
      <c r="D544" s="42">
        <v>34179.200000000004</v>
      </c>
      <c r="E544" s="115">
        <v>17089.600000000002</v>
      </c>
      <c r="H544" s="70"/>
      <c r="J544" s="42"/>
      <c r="K544" s="58">
        <v>0</v>
      </c>
    </row>
    <row r="545" spans="1:11" x14ac:dyDescent="0.3">
      <c r="A545" s="48" t="s">
        <v>1154</v>
      </c>
      <c r="B545" s="116" t="s">
        <v>1155</v>
      </c>
      <c r="C545" s="48"/>
      <c r="D545" s="119">
        <v>35879.626666666671</v>
      </c>
      <c r="E545" s="117">
        <v>17939.813333333335</v>
      </c>
      <c r="H545" s="70"/>
      <c r="J545" s="42"/>
      <c r="K545" s="58">
        <v>0</v>
      </c>
    </row>
    <row r="546" spans="1:11" x14ac:dyDescent="0.3">
      <c r="A546" t="s">
        <v>1156</v>
      </c>
      <c r="B546" s="70" t="s">
        <v>1157</v>
      </c>
      <c r="D546" s="42">
        <v>34626.773333333331</v>
      </c>
      <c r="E546" s="115">
        <v>17313.386666666665</v>
      </c>
      <c r="H546" s="70"/>
      <c r="J546" s="42"/>
      <c r="K546" s="58">
        <v>0</v>
      </c>
    </row>
    <row r="547" spans="1:11" x14ac:dyDescent="0.3">
      <c r="A547" t="s">
        <v>1158</v>
      </c>
      <c r="B547" s="70" t="s">
        <v>1159</v>
      </c>
      <c r="D547" s="42">
        <v>34626.773333333331</v>
      </c>
      <c r="E547" s="115">
        <v>17313.386666666665</v>
      </c>
      <c r="H547" s="70"/>
      <c r="J547" s="42"/>
      <c r="K547" s="58">
        <v>0</v>
      </c>
    </row>
    <row r="548" spans="1:11" x14ac:dyDescent="0.3">
      <c r="A548" t="s">
        <v>1160</v>
      </c>
      <c r="B548" s="70" t="s">
        <v>1161</v>
      </c>
      <c r="D548" s="42">
        <v>34626.773333333331</v>
      </c>
      <c r="E548" s="115">
        <v>17313.386666666665</v>
      </c>
      <c r="H548" s="70"/>
      <c r="J548" s="42"/>
      <c r="K548" s="58">
        <v>0</v>
      </c>
    </row>
    <row r="549" spans="1:11" x14ac:dyDescent="0.3">
      <c r="A549" t="s">
        <v>1162</v>
      </c>
      <c r="B549" s="70" t="s">
        <v>1163</v>
      </c>
      <c r="D549" s="42">
        <v>34626.773333333331</v>
      </c>
      <c r="E549" s="115">
        <v>17313.386666666665</v>
      </c>
      <c r="H549" s="70"/>
      <c r="J549" s="42"/>
      <c r="K549" s="58">
        <v>0</v>
      </c>
    </row>
    <row r="550" spans="1:11" x14ac:dyDescent="0.3">
      <c r="A550" t="s">
        <v>1164</v>
      </c>
      <c r="B550" s="70" t="s">
        <v>1165</v>
      </c>
      <c r="D550" s="42">
        <v>36218.32</v>
      </c>
      <c r="E550" s="115">
        <v>18109.16</v>
      </c>
      <c r="H550" s="70"/>
      <c r="J550" s="42"/>
      <c r="K550" s="58">
        <v>0</v>
      </c>
    </row>
    <row r="551" spans="1:11" x14ac:dyDescent="0.3">
      <c r="A551" s="48" t="s">
        <v>1166</v>
      </c>
      <c r="B551" s="116" t="s">
        <v>1167</v>
      </c>
      <c r="C551" s="48"/>
      <c r="D551" s="119">
        <v>37918.746666666666</v>
      </c>
      <c r="E551" s="117">
        <v>18959.373333333333</v>
      </c>
      <c r="H551" s="70"/>
      <c r="J551" s="42"/>
      <c r="K551" s="58">
        <v>0</v>
      </c>
    </row>
    <row r="552" spans="1:11" x14ac:dyDescent="0.3">
      <c r="A552" t="s">
        <v>1168</v>
      </c>
      <c r="B552" s="70" t="s">
        <v>1169</v>
      </c>
      <c r="D552" s="42">
        <v>36660.933333333334</v>
      </c>
      <c r="E552" s="115">
        <v>18330.466666666667</v>
      </c>
      <c r="H552" s="70"/>
      <c r="J552" s="42"/>
      <c r="K552" s="58">
        <v>0</v>
      </c>
    </row>
    <row r="553" spans="1:11" x14ac:dyDescent="0.3">
      <c r="A553" t="s">
        <v>1170</v>
      </c>
      <c r="B553" s="70" t="s">
        <v>1171</v>
      </c>
      <c r="D553" s="42">
        <v>36660.933333333334</v>
      </c>
      <c r="E553" s="115">
        <v>18330.466666666667</v>
      </c>
      <c r="H553" s="70"/>
      <c r="J553" s="42"/>
      <c r="K553" s="58">
        <v>0</v>
      </c>
    </row>
    <row r="554" spans="1:11" x14ac:dyDescent="0.3">
      <c r="A554" t="s">
        <v>1172</v>
      </c>
      <c r="B554" s="70" t="s">
        <v>1173</v>
      </c>
      <c r="D554" s="42">
        <v>36660.933333333334</v>
      </c>
      <c r="E554" s="115">
        <v>18330.466666666667</v>
      </c>
      <c r="H554" s="70"/>
      <c r="J554" s="42"/>
      <c r="K554" s="58">
        <v>0</v>
      </c>
    </row>
    <row r="555" spans="1:11" x14ac:dyDescent="0.3">
      <c r="A555" t="s">
        <v>1174</v>
      </c>
      <c r="B555" s="70" t="s">
        <v>1175</v>
      </c>
      <c r="D555" s="42">
        <v>36660.933333333334</v>
      </c>
      <c r="E555" s="115">
        <v>18330.466666666667</v>
      </c>
      <c r="H555" s="70"/>
      <c r="J555" s="42"/>
      <c r="K555" s="58">
        <v>0</v>
      </c>
    </row>
    <row r="556" spans="1:11" x14ac:dyDescent="0.3">
      <c r="A556" t="s">
        <v>1176</v>
      </c>
      <c r="B556" s="70" t="s">
        <v>1177</v>
      </c>
      <c r="D556" s="42">
        <v>38252.479999999996</v>
      </c>
      <c r="E556" s="115">
        <v>19126.239999999998</v>
      </c>
      <c r="H556" s="70"/>
      <c r="J556" s="42"/>
      <c r="K556" s="58">
        <v>0</v>
      </c>
    </row>
    <row r="557" spans="1:11" ht="16.2" thickBot="1" x14ac:dyDescent="0.35">
      <c r="A557" s="133" t="s">
        <v>1178</v>
      </c>
      <c r="B557" s="134" t="s">
        <v>1179</v>
      </c>
      <c r="C557" s="133"/>
      <c r="D557" s="135">
        <v>39952.906666666662</v>
      </c>
      <c r="E557" s="136">
        <v>19976.453333333331</v>
      </c>
      <c r="H557" s="70"/>
      <c r="J557" s="42"/>
      <c r="K557" s="58">
        <v>0</v>
      </c>
    </row>
    <row r="558" spans="1:11" x14ac:dyDescent="0.3">
      <c r="A558" t="s">
        <v>1180</v>
      </c>
      <c r="B558" s="70" t="s">
        <v>1181</v>
      </c>
      <c r="D558" s="42">
        <v>28632.906666666673</v>
      </c>
      <c r="E558" s="115">
        <v>14316.453333333337</v>
      </c>
      <c r="H558" s="70"/>
      <c r="J558" s="42"/>
      <c r="K558" s="58">
        <v>0</v>
      </c>
    </row>
    <row r="559" spans="1:11" x14ac:dyDescent="0.3">
      <c r="A559" t="s">
        <v>1182</v>
      </c>
      <c r="B559" s="70" t="s">
        <v>1183</v>
      </c>
      <c r="D559" s="42">
        <v>28632.906666666673</v>
      </c>
      <c r="E559" s="115">
        <v>14316.453333333337</v>
      </c>
      <c r="H559" s="70"/>
      <c r="J559" s="42"/>
      <c r="K559" s="58">
        <v>0</v>
      </c>
    </row>
    <row r="560" spans="1:11" x14ac:dyDescent="0.3">
      <c r="A560" t="s">
        <v>1184</v>
      </c>
      <c r="B560" s="70" t="s">
        <v>1185</v>
      </c>
      <c r="D560" s="42">
        <v>28632.906666666673</v>
      </c>
      <c r="E560" s="115">
        <v>14316.453333333337</v>
      </c>
      <c r="H560" s="70"/>
      <c r="J560" s="42"/>
      <c r="K560" s="58">
        <v>0</v>
      </c>
    </row>
    <row r="561" spans="1:11" x14ac:dyDescent="0.3">
      <c r="A561" t="s">
        <v>1186</v>
      </c>
      <c r="B561" s="70" t="s">
        <v>1187</v>
      </c>
      <c r="D561" s="42">
        <v>28632.906666666673</v>
      </c>
      <c r="E561" s="115">
        <v>14316.453333333337</v>
      </c>
      <c r="K561" s="65"/>
    </row>
    <row r="562" spans="1:11" x14ac:dyDescent="0.3">
      <c r="A562" t="s">
        <v>1188</v>
      </c>
      <c r="B562" s="70" t="s">
        <v>1189</v>
      </c>
      <c r="D562" s="42">
        <v>30224.453333333338</v>
      </c>
      <c r="E562" s="115">
        <v>15112.226666666669</v>
      </c>
      <c r="K562" s="58">
        <v>25338.666666666668</v>
      </c>
    </row>
    <row r="563" spans="1:11" x14ac:dyDescent="0.3">
      <c r="A563" s="48" t="s">
        <v>1190</v>
      </c>
      <c r="B563" s="116" t="s">
        <v>1191</v>
      </c>
      <c r="C563" s="48"/>
      <c r="D563" s="119">
        <v>31924.880000000005</v>
      </c>
      <c r="E563" s="117">
        <v>15962.440000000002</v>
      </c>
      <c r="K563" s="58">
        <v>25338.666666666668</v>
      </c>
    </row>
    <row r="564" spans="1:11" x14ac:dyDescent="0.3">
      <c r="A564" t="s">
        <v>1192</v>
      </c>
      <c r="B564" s="70" t="s">
        <v>1193</v>
      </c>
      <c r="D564" s="42">
        <v>30607.813333333335</v>
      </c>
      <c r="E564" s="115">
        <v>15303.906666666668</v>
      </c>
      <c r="K564" s="58">
        <v>25338.666666666668</v>
      </c>
    </row>
    <row r="565" spans="1:11" x14ac:dyDescent="0.3">
      <c r="A565" t="s">
        <v>1194</v>
      </c>
      <c r="B565" s="70" t="s">
        <v>1195</v>
      </c>
      <c r="D565" s="42">
        <v>30607.813333333335</v>
      </c>
      <c r="E565" s="115">
        <v>15303.906666666668</v>
      </c>
      <c r="K565" s="58">
        <v>26134.440000000002</v>
      </c>
    </row>
    <row r="566" spans="1:11" x14ac:dyDescent="0.3">
      <c r="A566" t="s">
        <v>1196</v>
      </c>
      <c r="B566" s="70" t="s">
        <v>1197</v>
      </c>
      <c r="D566" s="42">
        <v>30607.813333333335</v>
      </c>
      <c r="E566" s="115">
        <v>15303.906666666668</v>
      </c>
      <c r="K566" s="58">
        <v>26984.653333333335</v>
      </c>
    </row>
    <row r="567" spans="1:11" x14ac:dyDescent="0.3">
      <c r="A567" t="s">
        <v>1198</v>
      </c>
      <c r="B567" s="70" t="s">
        <v>1199</v>
      </c>
      <c r="D567" s="42">
        <v>30607.813333333335</v>
      </c>
      <c r="E567" s="115">
        <v>15303.906666666668</v>
      </c>
      <c r="K567" s="58">
        <v>25338.666666666668</v>
      </c>
    </row>
    <row r="568" spans="1:11" x14ac:dyDescent="0.3">
      <c r="A568" t="s">
        <v>1200</v>
      </c>
      <c r="B568" s="70" t="s">
        <v>1201</v>
      </c>
      <c r="D568" s="42">
        <v>32199.360000000001</v>
      </c>
      <c r="E568" s="115">
        <v>16099.68</v>
      </c>
      <c r="K568" s="65"/>
    </row>
    <row r="569" spans="1:11" x14ac:dyDescent="0.3">
      <c r="A569" s="48" t="s">
        <v>1202</v>
      </c>
      <c r="B569" s="116" t="s">
        <v>1203</v>
      </c>
      <c r="C569" s="48"/>
      <c r="D569" s="119">
        <v>33899.786666666667</v>
      </c>
      <c r="E569" s="117">
        <v>16949.893333333333</v>
      </c>
    </row>
    <row r="570" spans="1:11" x14ac:dyDescent="0.3">
      <c r="A570" t="s">
        <v>1204</v>
      </c>
      <c r="B570" s="70" t="s">
        <v>1205</v>
      </c>
      <c r="D570" s="42">
        <v>32587.653333333335</v>
      </c>
      <c r="E570" s="115">
        <v>16293.826666666668</v>
      </c>
    </row>
    <row r="571" spans="1:11" x14ac:dyDescent="0.3">
      <c r="A571" t="s">
        <v>1206</v>
      </c>
      <c r="B571" s="70" t="s">
        <v>1207</v>
      </c>
      <c r="D571" s="42">
        <v>32587.653333333335</v>
      </c>
      <c r="E571" s="115">
        <v>16293.826666666668</v>
      </c>
    </row>
    <row r="572" spans="1:11" x14ac:dyDescent="0.3">
      <c r="A572" t="s">
        <v>1208</v>
      </c>
      <c r="B572" s="70" t="s">
        <v>1209</v>
      </c>
      <c r="D572" s="42">
        <v>32587.653333333335</v>
      </c>
      <c r="E572" s="115">
        <v>16293.826666666668</v>
      </c>
    </row>
    <row r="573" spans="1:11" x14ac:dyDescent="0.3">
      <c r="A573" t="s">
        <v>1210</v>
      </c>
      <c r="B573" s="70" t="s">
        <v>1211</v>
      </c>
      <c r="D573" s="42">
        <v>32587.653333333335</v>
      </c>
      <c r="E573" s="115">
        <v>16293.826666666668</v>
      </c>
      <c r="K573" s="58"/>
    </row>
    <row r="574" spans="1:11" x14ac:dyDescent="0.3">
      <c r="A574" t="s">
        <v>1212</v>
      </c>
      <c r="B574" s="70" t="s">
        <v>1213</v>
      </c>
      <c r="D574" s="42">
        <v>34179.200000000004</v>
      </c>
      <c r="E574" s="115">
        <v>17089.600000000002</v>
      </c>
      <c r="K574" s="58">
        <v>0</v>
      </c>
    </row>
    <row r="575" spans="1:11" x14ac:dyDescent="0.3">
      <c r="A575" s="48" t="s">
        <v>1214</v>
      </c>
      <c r="B575" s="116" t="s">
        <v>1215</v>
      </c>
      <c r="C575" s="48"/>
      <c r="D575" s="119">
        <v>35879.626666666671</v>
      </c>
      <c r="E575" s="117">
        <v>17939.813333333335</v>
      </c>
      <c r="K575" s="58">
        <v>125.90666666666706</v>
      </c>
    </row>
    <row r="576" spans="1:11" x14ac:dyDescent="0.3">
      <c r="A576" t="s">
        <v>1216</v>
      </c>
      <c r="B576" s="70" t="s">
        <v>1217</v>
      </c>
      <c r="D576" s="42">
        <v>34626.773333333331</v>
      </c>
      <c r="E576" s="115">
        <v>17313.386666666665</v>
      </c>
      <c r="K576" s="58">
        <v>246.86666666666622</v>
      </c>
    </row>
    <row r="577" spans="1:11" x14ac:dyDescent="0.3">
      <c r="A577" t="s">
        <v>1218</v>
      </c>
      <c r="B577" s="70" t="s">
        <v>1219</v>
      </c>
      <c r="D577" s="42">
        <v>34626.773333333331</v>
      </c>
      <c r="E577" s="115">
        <v>17313.386666666665</v>
      </c>
      <c r="K577" s="58"/>
    </row>
    <row r="578" spans="1:11" x14ac:dyDescent="0.3">
      <c r="A578" t="s">
        <v>1220</v>
      </c>
      <c r="B578" s="70" t="s">
        <v>1221</v>
      </c>
      <c r="D578" s="42">
        <v>34626.773333333331</v>
      </c>
      <c r="E578" s="115">
        <v>17313.386666666665</v>
      </c>
      <c r="K578" s="58">
        <v>0</v>
      </c>
    </row>
    <row r="579" spans="1:11" x14ac:dyDescent="0.3">
      <c r="A579" t="s">
        <v>1222</v>
      </c>
      <c r="B579" s="70" t="s">
        <v>1223</v>
      </c>
      <c r="D579" s="42">
        <v>34626.773333333331</v>
      </c>
      <c r="E579" s="115">
        <v>17313.386666666665</v>
      </c>
      <c r="K579" s="58">
        <v>254.2666666666652</v>
      </c>
    </row>
    <row r="580" spans="1:11" x14ac:dyDescent="0.3">
      <c r="A580" t="s">
        <v>1224</v>
      </c>
      <c r="B580" s="70" t="s">
        <v>1225</v>
      </c>
      <c r="D580" s="42">
        <v>36218.32</v>
      </c>
      <c r="E580" s="115">
        <v>18109.16</v>
      </c>
      <c r="K580" s="58">
        <v>607.29333333333261</v>
      </c>
    </row>
    <row r="581" spans="1:11" x14ac:dyDescent="0.3">
      <c r="A581" s="48" t="s">
        <v>1226</v>
      </c>
      <c r="B581" s="116" t="s">
        <v>1227</v>
      </c>
      <c r="C581" s="48"/>
      <c r="D581" s="119">
        <v>37918.746666666666</v>
      </c>
      <c r="E581" s="117">
        <v>18959.373333333333</v>
      </c>
      <c r="K581" s="58"/>
    </row>
    <row r="582" spans="1:11" x14ac:dyDescent="0.3">
      <c r="A582" t="s">
        <v>1228</v>
      </c>
      <c r="B582" s="70" t="s">
        <v>1229</v>
      </c>
      <c r="D582" s="42">
        <v>36660.933333333334</v>
      </c>
      <c r="E582" s="115">
        <v>18330.466666666667</v>
      </c>
      <c r="K582" s="58">
        <v>395</v>
      </c>
    </row>
    <row r="583" spans="1:11" x14ac:dyDescent="0.3">
      <c r="A583" t="s">
        <v>1230</v>
      </c>
      <c r="B583" s="70" t="s">
        <v>1231</v>
      </c>
      <c r="D583" s="42">
        <v>36660.933333333334</v>
      </c>
      <c r="E583" s="115">
        <v>18330.466666666667</v>
      </c>
      <c r="K583" s="58">
        <v>271.56000000000012</v>
      </c>
    </row>
    <row r="584" spans="1:11" x14ac:dyDescent="0.3">
      <c r="A584" t="s">
        <v>1232</v>
      </c>
      <c r="B584" s="70" t="s">
        <v>1233</v>
      </c>
      <c r="D584" s="42">
        <v>36660.933333333334</v>
      </c>
      <c r="E584" s="115">
        <v>18330.466666666667</v>
      </c>
      <c r="K584" s="58">
        <v>498.66666666666669</v>
      </c>
    </row>
    <row r="585" spans="1:11" x14ac:dyDescent="0.3">
      <c r="A585" t="s">
        <v>1234</v>
      </c>
      <c r="B585" s="70" t="s">
        <v>1235</v>
      </c>
      <c r="D585" s="42">
        <v>36660.933333333334</v>
      </c>
      <c r="E585" s="115">
        <v>18330.466666666667</v>
      </c>
      <c r="K585" s="58">
        <v>0</v>
      </c>
    </row>
    <row r="586" spans="1:11" x14ac:dyDescent="0.3">
      <c r="A586" t="s">
        <v>1236</v>
      </c>
      <c r="B586" s="70" t="s">
        <v>1237</v>
      </c>
      <c r="D586" s="42">
        <v>38252.479999999996</v>
      </c>
      <c r="E586" s="115">
        <v>19126.239999999998</v>
      </c>
      <c r="K586" s="58"/>
    </row>
    <row r="587" spans="1:11" ht="16.2" thickBot="1" x14ac:dyDescent="0.35">
      <c r="A587" s="133" t="s">
        <v>1238</v>
      </c>
      <c r="B587" s="134" t="s">
        <v>1239</v>
      </c>
      <c r="C587" s="133"/>
      <c r="D587" s="135">
        <v>39952.906666666662</v>
      </c>
      <c r="E587" s="136">
        <v>19976.453333333331</v>
      </c>
      <c r="K587" s="58">
        <v>1052.9599999999991</v>
      </c>
    </row>
    <row r="588" spans="1:11" x14ac:dyDescent="0.3">
      <c r="A588" t="s">
        <v>1240</v>
      </c>
      <c r="B588" s="70" t="s">
        <v>1241</v>
      </c>
      <c r="D588" s="42">
        <v>28632.906666666673</v>
      </c>
      <c r="E588" s="115">
        <v>14316.453333333337</v>
      </c>
      <c r="K588" s="58">
        <v>385.10666666666663</v>
      </c>
    </row>
    <row r="589" spans="1:11" x14ac:dyDescent="0.3">
      <c r="A589" t="s">
        <v>1242</v>
      </c>
      <c r="B589" s="70" t="s">
        <v>1243</v>
      </c>
      <c r="D589" s="42">
        <v>28632.906666666673</v>
      </c>
      <c r="E589" s="115">
        <v>14316.453333333337</v>
      </c>
      <c r="K589" s="58">
        <v>0</v>
      </c>
    </row>
    <row r="590" spans="1:11" x14ac:dyDescent="0.3">
      <c r="A590" t="s">
        <v>1244</v>
      </c>
      <c r="B590" s="70" t="s">
        <v>1245</v>
      </c>
      <c r="D590" s="42">
        <v>28632.906666666673</v>
      </c>
      <c r="E590" s="115">
        <v>14316.453333333337</v>
      </c>
      <c r="K590" s="58">
        <v>0</v>
      </c>
    </row>
    <row r="591" spans="1:11" x14ac:dyDescent="0.3">
      <c r="A591" t="s">
        <v>1246</v>
      </c>
      <c r="B591" s="70" t="s">
        <v>1247</v>
      </c>
      <c r="D591" s="42">
        <v>28632.906666666673</v>
      </c>
      <c r="E591" s="115">
        <v>14316.453333333337</v>
      </c>
      <c r="K591" s="58">
        <v>672.31111111110988</v>
      </c>
    </row>
    <row r="592" spans="1:11" x14ac:dyDescent="0.3">
      <c r="A592" t="s">
        <v>1248</v>
      </c>
      <c r="B592" s="70" t="s">
        <v>1249</v>
      </c>
      <c r="D592" s="42">
        <v>30224.453333333338</v>
      </c>
      <c r="E592" s="115">
        <v>15112.226666666669</v>
      </c>
      <c r="K592" s="58">
        <v>1022.8577777777763</v>
      </c>
    </row>
    <row r="593" spans="1:11" x14ac:dyDescent="0.3">
      <c r="A593" s="48" t="s">
        <v>1250</v>
      </c>
      <c r="B593" s="116" t="s">
        <v>1251</v>
      </c>
      <c r="C593" s="48"/>
      <c r="D593" s="119">
        <v>31924.880000000005</v>
      </c>
      <c r="E593" s="117">
        <v>15962.440000000002</v>
      </c>
      <c r="K593" s="58">
        <v>116.02666666666727</v>
      </c>
    </row>
    <row r="594" spans="1:11" x14ac:dyDescent="0.3">
      <c r="A594" t="s">
        <v>1252</v>
      </c>
      <c r="B594" s="70" t="s">
        <v>1253</v>
      </c>
      <c r="D594" s="42">
        <v>30607.813333333335</v>
      </c>
      <c r="E594" s="115">
        <v>15303.906666666668</v>
      </c>
    </row>
    <row r="595" spans="1:11" x14ac:dyDescent="0.3">
      <c r="A595" t="s">
        <v>1254</v>
      </c>
      <c r="B595" s="70" t="s">
        <v>1255</v>
      </c>
      <c r="D595" s="42">
        <v>30607.813333333335</v>
      </c>
      <c r="E595" s="115">
        <v>15303.906666666668</v>
      </c>
    </row>
    <row r="596" spans="1:11" x14ac:dyDescent="0.3">
      <c r="A596" t="s">
        <v>1256</v>
      </c>
      <c r="B596" s="70" t="s">
        <v>1257</v>
      </c>
      <c r="D596" s="42">
        <v>30607.813333333335</v>
      </c>
      <c r="E596" s="115">
        <v>15303.906666666668</v>
      </c>
    </row>
    <row r="597" spans="1:11" x14ac:dyDescent="0.3">
      <c r="A597" t="s">
        <v>1258</v>
      </c>
      <c r="B597" s="70" t="s">
        <v>1259</v>
      </c>
      <c r="D597" s="42">
        <v>30607.813333333335</v>
      </c>
      <c r="E597" s="115">
        <v>15303.906666666668</v>
      </c>
    </row>
    <row r="598" spans="1:11" x14ac:dyDescent="0.3">
      <c r="A598" t="s">
        <v>1260</v>
      </c>
      <c r="B598" s="70" t="s">
        <v>1261</v>
      </c>
      <c r="D598" s="42">
        <v>32199.360000000001</v>
      </c>
      <c r="E598" s="115">
        <v>16099.68</v>
      </c>
    </row>
    <row r="599" spans="1:11" x14ac:dyDescent="0.3">
      <c r="A599" s="48" t="s">
        <v>1262</v>
      </c>
      <c r="B599" s="116" t="s">
        <v>1263</v>
      </c>
      <c r="C599" s="48"/>
      <c r="D599" s="119">
        <v>33899.786666666667</v>
      </c>
      <c r="E599" s="117">
        <v>16949.893333333333</v>
      </c>
    </row>
    <row r="600" spans="1:11" x14ac:dyDescent="0.3">
      <c r="A600" t="s">
        <v>1264</v>
      </c>
      <c r="B600" s="70" t="s">
        <v>1265</v>
      </c>
      <c r="D600" s="42">
        <v>32587.653333333335</v>
      </c>
      <c r="E600" s="115">
        <v>16293.826666666668</v>
      </c>
    </row>
    <row r="601" spans="1:11" x14ac:dyDescent="0.3">
      <c r="A601" t="s">
        <v>1266</v>
      </c>
      <c r="B601" s="70" t="s">
        <v>1267</v>
      </c>
      <c r="D601" s="42">
        <v>32587.653333333335</v>
      </c>
      <c r="E601" s="115">
        <v>16293.826666666668</v>
      </c>
    </row>
    <row r="602" spans="1:11" x14ac:dyDescent="0.3">
      <c r="A602" t="s">
        <v>1268</v>
      </c>
      <c r="B602" s="70" t="s">
        <v>1269</v>
      </c>
      <c r="D602" s="42">
        <v>32587.653333333335</v>
      </c>
      <c r="E602" s="115">
        <v>16293.826666666668</v>
      </c>
    </row>
    <row r="603" spans="1:11" x14ac:dyDescent="0.3">
      <c r="A603" t="s">
        <v>1270</v>
      </c>
      <c r="B603" s="70" t="s">
        <v>1271</v>
      </c>
      <c r="D603" s="42">
        <v>32587.653333333335</v>
      </c>
      <c r="E603" s="115">
        <v>16293.826666666668</v>
      </c>
    </row>
    <row r="604" spans="1:11" x14ac:dyDescent="0.3">
      <c r="A604" t="s">
        <v>1272</v>
      </c>
      <c r="B604" s="70" t="s">
        <v>1273</v>
      </c>
      <c r="D604" s="42">
        <v>34179.200000000004</v>
      </c>
      <c r="E604" s="115">
        <v>17089.600000000002</v>
      </c>
    </row>
    <row r="605" spans="1:11" x14ac:dyDescent="0.3">
      <c r="A605" s="48" t="s">
        <v>1274</v>
      </c>
      <c r="B605" s="116" t="s">
        <v>1275</v>
      </c>
      <c r="C605" s="48"/>
      <c r="D605" s="119">
        <v>35879.626666666671</v>
      </c>
      <c r="E605" s="117">
        <v>17939.813333333335</v>
      </c>
    </row>
    <row r="606" spans="1:11" x14ac:dyDescent="0.3">
      <c r="A606" t="s">
        <v>1276</v>
      </c>
      <c r="B606" s="70" t="s">
        <v>1277</v>
      </c>
      <c r="D606" s="105">
        <v>34626.773333333331</v>
      </c>
      <c r="E606" s="115">
        <v>17313.386666666665</v>
      </c>
    </row>
    <row r="607" spans="1:11" x14ac:dyDescent="0.3">
      <c r="A607" t="s">
        <v>1278</v>
      </c>
      <c r="B607" s="70" t="s">
        <v>1279</v>
      </c>
      <c r="D607" s="105">
        <v>34626.773333333331</v>
      </c>
      <c r="E607" s="115">
        <v>17313.386666666665</v>
      </c>
    </row>
    <row r="608" spans="1:11" x14ac:dyDescent="0.3">
      <c r="A608" t="s">
        <v>1280</v>
      </c>
      <c r="B608" s="70" t="s">
        <v>1281</v>
      </c>
      <c r="D608" s="105">
        <v>34626.773333333331</v>
      </c>
      <c r="E608" s="115">
        <v>17313.386666666665</v>
      </c>
    </row>
    <row r="609" spans="1:5" x14ac:dyDescent="0.3">
      <c r="A609" t="s">
        <v>1282</v>
      </c>
      <c r="B609" s="70" t="s">
        <v>1283</v>
      </c>
      <c r="D609" s="105">
        <v>34626.773333333331</v>
      </c>
      <c r="E609" s="115">
        <v>17313.386666666665</v>
      </c>
    </row>
    <row r="610" spans="1:5" x14ac:dyDescent="0.3">
      <c r="A610" t="s">
        <v>1284</v>
      </c>
      <c r="B610" s="70" t="s">
        <v>1285</v>
      </c>
      <c r="D610" s="105">
        <v>36218.32</v>
      </c>
      <c r="E610" s="115">
        <v>18109.16</v>
      </c>
    </row>
    <row r="611" spans="1:5" x14ac:dyDescent="0.3">
      <c r="A611" s="48" t="s">
        <v>1286</v>
      </c>
      <c r="B611" s="116" t="s">
        <v>1287</v>
      </c>
      <c r="C611" s="48"/>
      <c r="D611" s="138">
        <v>37918.746666666666</v>
      </c>
      <c r="E611" s="117">
        <v>18959.373333333333</v>
      </c>
    </row>
    <row r="612" spans="1:5" x14ac:dyDescent="0.3">
      <c r="A612" t="s">
        <v>1288</v>
      </c>
      <c r="B612" s="70" t="s">
        <v>1289</v>
      </c>
      <c r="D612" s="42">
        <v>36660.933333333334</v>
      </c>
      <c r="E612" s="115">
        <v>18330.466666666667</v>
      </c>
    </row>
    <row r="613" spans="1:5" x14ac:dyDescent="0.3">
      <c r="A613" t="s">
        <v>1290</v>
      </c>
      <c r="B613" s="70" t="s">
        <v>1291</v>
      </c>
      <c r="D613" s="42">
        <v>36660.933333333334</v>
      </c>
      <c r="E613" s="115">
        <v>18330.466666666667</v>
      </c>
    </row>
    <row r="614" spans="1:5" x14ac:dyDescent="0.3">
      <c r="A614" t="s">
        <v>1292</v>
      </c>
      <c r="B614" s="70" t="s">
        <v>1293</v>
      </c>
      <c r="D614" s="42">
        <v>36660.933333333334</v>
      </c>
      <c r="E614" s="115">
        <v>18330.466666666667</v>
      </c>
    </row>
    <row r="615" spans="1:5" x14ac:dyDescent="0.3">
      <c r="A615" t="s">
        <v>1294</v>
      </c>
      <c r="B615" s="70" t="s">
        <v>1295</v>
      </c>
      <c r="D615" s="42">
        <v>36660.933333333334</v>
      </c>
      <c r="E615" s="115">
        <v>18330.466666666667</v>
      </c>
    </row>
    <row r="616" spans="1:5" x14ac:dyDescent="0.3">
      <c r="A616" t="s">
        <v>1296</v>
      </c>
      <c r="B616" s="70" t="s">
        <v>1297</v>
      </c>
      <c r="D616" s="42">
        <v>38252.479999999996</v>
      </c>
      <c r="E616" s="115">
        <v>19126.239999999998</v>
      </c>
    </row>
    <row r="617" spans="1:5" ht="16.2" thickBot="1" x14ac:dyDescent="0.35">
      <c r="A617" s="133" t="s">
        <v>1298</v>
      </c>
      <c r="B617" s="134" t="s">
        <v>1299</v>
      </c>
      <c r="C617" s="133"/>
      <c r="D617" s="135">
        <v>39952.906666666662</v>
      </c>
      <c r="E617" s="136">
        <v>19976.453333333331</v>
      </c>
    </row>
    <row r="618" spans="1:5" x14ac:dyDescent="0.3">
      <c r="A618" t="s">
        <v>1300</v>
      </c>
      <c r="B618" s="70" t="s">
        <v>1301</v>
      </c>
      <c r="D618" s="42">
        <v>28632.906666666673</v>
      </c>
      <c r="E618" s="115">
        <v>14316.453333333337</v>
      </c>
    </row>
    <row r="619" spans="1:5" x14ac:dyDescent="0.3">
      <c r="A619" t="s">
        <v>1302</v>
      </c>
      <c r="B619" s="70" t="s">
        <v>1303</v>
      </c>
      <c r="D619" s="42">
        <v>28632.906666666673</v>
      </c>
      <c r="E619" s="115">
        <v>14316.453333333337</v>
      </c>
    </row>
    <row r="620" spans="1:5" x14ac:dyDescent="0.3">
      <c r="A620" t="s">
        <v>1304</v>
      </c>
      <c r="B620" s="70" t="s">
        <v>1305</v>
      </c>
      <c r="D620" s="42">
        <v>28632.906666666673</v>
      </c>
      <c r="E620" s="115">
        <v>14316.453333333337</v>
      </c>
    </row>
    <row r="621" spans="1:5" x14ac:dyDescent="0.3">
      <c r="A621" t="s">
        <v>1306</v>
      </c>
      <c r="B621" s="70" t="s">
        <v>1307</v>
      </c>
      <c r="D621" s="42">
        <v>28632.906666666673</v>
      </c>
      <c r="E621" s="115">
        <v>14316.453333333337</v>
      </c>
    </row>
    <row r="622" spans="1:5" x14ac:dyDescent="0.3">
      <c r="A622" t="s">
        <v>1308</v>
      </c>
      <c r="B622" s="70" t="s">
        <v>1309</v>
      </c>
      <c r="D622" s="42">
        <v>30224.453333333338</v>
      </c>
      <c r="E622" s="115">
        <v>15112.226666666669</v>
      </c>
    </row>
    <row r="623" spans="1:5" x14ac:dyDescent="0.3">
      <c r="A623" s="48" t="s">
        <v>1310</v>
      </c>
      <c r="B623" s="116" t="s">
        <v>1311</v>
      </c>
      <c r="C623" s="48"/>
      <c r="D623" s="119">
        <v>31924.880000000005</v>
      </c>
      <c r="E623" s="117">
        <v>15962.440000000002</v>
      </c>
    </row>
    <row r="624" spans="1:5" x14ac:dyDescent="0.3">
      <c r="A624" t="s">
        <v>1312</v>
      </c>
      <c r="B624" s="70" t="s">
        <v>1313</v>
      </c>
      <c r="D624" s="42">
        <v>30607.813333333335</v>
      </c>
      <c r="E624" s="115">
        <v>15303.906666666668</v>
      </c>
    </row>
    <row r="625" spans="1:5" x14ac:dyDescent="0.3">
      <c r="A625" t="s">
        <v>1314</v>
      </c>
      <c r="B625" s="70" t="s">
        <v>1315</v>
      </c>
      <c r="D625" s="42">
        <v>30607.813333333335</v>
      </c>
      <c r="E625" s="115">
        <v>15303.906666666668</v>
      </c>
    </row>
    <row r="626" spans="1:5" x14ac:dyDescent="0.3">
      <c r="A626" t="s">
        <v>1316</v>
      </c>
      <c r="B626" s="70" t="s">
        <v>1317</v>
      </c>
      <c r="D626" s="42">
        <v>30607.813333333335</v>
      </c>
      <c r="E626" s="115">
        <v>15303.906666666668</v>
      </c>
    </row>
    <row r="627" spans="1:5" x14ac:dyDescent="0.3">
      <c r="A627" t="s">
        <v>1318</v>
      </c>
      <c r="B627" s="70" t="s">
        <v>1319</v>
      </c>
      <c r="D627" s="42">
        <v>30607.813333333335</v>
      </c>
      <c r="E627" s="115">
        <v>15303.906666666668</v>
      </c>
    </row>
    <row r="628" spans="1:5" x14ac:dyDescent="0.3">
      <c r="A628" t="s">
        <v>1320</v>
      </c>
      <c r="B628" s="70" t="s">
        <v>1321</v>
      </c>
      <c r="D628" s="42">
        <v>32199.360000000001</v>
      </c>
      <c r="E628" s="115">
        <v>16099.68</v>
      </c>
    </row>
    <row r="629" spans="1:5" x14ac:dyDescent="0.3">
      <c r="A629" s="48" t="s">
        <v>1322</v>
      </c>
      <c r="B629" s="116" t="s">
        <v>1323</v>
      </c>
      <c r="C629" s="48"/>
      <c r="D629" s="119">
        <v>33899.786666666667</v>
      </c>
      <c r="E629" s="117">
        <v>16949.893333333333</v>
      </c>
    </row>
    <row r="630" spans="1:5" x14ac:dyDescent="0.3">
      <c r="A630" t="s">
        <v>1324</v>
      </c>
      <c r="B630" s="70" t="s">
        <v>1325</v>
      </c>
      <c r="D630" s="42">
        <v>32587.653333333335</v>
      </c>
      <c r="E630" s="115">
        <v>16293.826666666668</v>
      </c>
    </row>
    <row r="631" spans="1:5" x14ac:dyDescent="0.3">
      <c r="A631" t="s">
        <v>1326</v>
      </c>
      <c r="B631" s="70" t="s">
        <v>1327</v>
      </c>
      <c r="D631" s="42">
        <v>32587.653333333335</v>
      </c>
      <c r="E631" s="115">
        <v>16293.826666666668</v>
      </c>
    </row>
    <row r="632" spans="1:5" x14ac:dyDescent="0.3">
      <c r="A632" t="s">
        <v>1328</v>
      </c>
      <c r="B632" s="70" t="s">
        <v>1329</v>
      </c>
      <c r="D632" s="42">
        <v>32587.653333333335</v>
      </c>
      <c r="E632" s="115">
        <v>16293.826666666668</v>
      </c>
    </row>
    <row r="633" spans="1:5" x14ac:dyDescent="0.3">
      <c r="A633" t="s">
        <v>1330</v>
      </c>
      <c r="B633" s="70" t="s">
        <v>1331</v>
      </c>
      <c r="D633" s="42">
        <v>32587.653333333335</v>
      </c>
      <c r="E633" s="115">
        <v>16293.826666666668</v>
      </c>
    </row>
    <row r="634" spans="1:5" x14ac:dyDescent="0.3">
      <c r="A634" t="s">
        <v>1332</v>
      </c>
      <c r="B634" s="70" t="s">
        <v>1333</v>
      </c>
      <c r="D634" s="42">
        <v>34179.200000000004</v>
      </c>
      <c r="E634" s="115">
        <v>17089.600000000002</v>
      </c>
    </row>
    <row r="635" spans="1:5" x14ac:dyDescent="0.3">
      <c r="A635" s="48" t="s">
        <v>1334</v>
      </c>
      <c r="B635" s="116" t="s">
        <v>1335</v>
      </c>
      <c r="C635" s="48"/>
      <c r="D635" s="119">
        <v>35879.626666666671</v>
      </c>
      <c r="E635" s="117">
        <v>17939.813333333335</v>
      </c>
    </row>
    <row r="636" spans="1:5" x14ac:dyDescent="0.3">
      <c r="A636" t="s">
        <v>1336</v>
      </c>
      <c r="B636" s="70" t="s">
        <v>1337</v>
      </c>
      <c r="D636" s="42">
        <v>34626.773333333331</v>
      </c>
      <c r="E636" s="115">
        <v>17313.386666666665</v>
      </c>
    </row>
    <row r="637" spans="1:5" x14ac:dyDescent="0.3">
      <c r="A637" t="s">
        <v>1338</v>
      </c>
      <c r="B637" s="70" t="s">
        <v>1339</v>
      </c>
      <c r="D637" s="42">
        <v>34626.773333333331</v>
      </c>
      <c r="E637" s="115">
        <v>17313.386666666665</v>
      </c>
    </row>
    <row r="638" spans="1:5" x14ac:dyDescent="0.3">
      <c r="A638" t="s">
        <v>1340</v>
      </c>
      <c r="B638" s="70" t="s">
        <v>1341</v>
      </c>
      <c r="D638" s="42">
        <v>34626.773333333331</v>
      </c>
      <c r="E638" s="115">
        <v>17313.386666666665</v>
      </c>
    </row>
    <row r="639" spans="1:5" x14ac:dyDescent="0.3">
      <c r="A639" t="s">
        <v>1342</v>
      </c>
      <c r="B639" s="70" t="s">
        <v>1343</v>
      </c>
      <c r="D639" s="42">
        <v>34626.773333333331</v>
      </c>
      <c r="E639" s="115">
        <v>17313.386666666665</v>
      </c>
    </row>
    <row r="640" spans="1:5" x14ac:dyDescent="0.3">
      <c r="A640" t="s">
        <v>1344</v>
      </c>
      <c r="B640" s="70" t="s">
        <v>1345</v>
      </c>
      <c r="D640" s="42">
        <v>36218.32</v>
      </c>
      <c r="E640" s="115">
        <v>18109.16</v>
      </c>
    </row>
    <row r="641" spans="1:5" x14ac:dyDescent="0.3">
      <c r="A641" s="48" t="s">
        <v>1346</v>
      </c>
      <c r="B641" s="116" t="s">
        <v>1347</v>
      </c>
      <c r="C641" s="48"/>
      <c r="D641" s="119">
        <v>37918.746666666666</v>
      </c>
      <c r="E641" s="117">
        <v>18959.373333333333</v>
      </c>
    </row>
    <row r="642" spans="1:5" x14ac:dyDescent="0.3">
      <c r="A642" t="s">
        <v>1348</v>
      </c>
      <c r="B642" s="70" t="s">
        <v>1349</v>
      </c>
      <c r="D642" s="42">
        <v>36660.933333333334</v>
      </c>
      <c r="E642" s="115">
        <v>18330.466666666667</v>
      </c>
    </row>
    <row r="643" spans="1:5" x14ac:dyDescent="0.3">
      <c r="A643" t="s">
        <v>1350</v>
      </c>
      <c r="B643" s="70" t="s">
        <v>1351</v>
      </c>
      <c r="D643" s="42">
        <v>36660.933333333334</v>
      </c>
      <c r="E643" s="115">
        <v>18330.466666666667</v>
      </c>
    </row>
    <row r="644" spans="1:5" x14ac:dyDescent="0.3">
      <c r="A644" t="s">
        <v>1352</v>
      </c>
      <c r="B644" s="70" t="s">
        <v>1353</v>
      </c>
      <c r="D644" s="42">
        <v>36660.933333333334</v>
      </c>
      <c r="E644" s="115">
        <v>18330.466666666667</v>
      </c>
    </row>
    <row r="645" spans="1:5" x14ac:dyDescent="0.3">
      <c r="A645" t="s">
        <v>1354</v>
      </c>
      <c r="B645" s="70" t="s">
        <v>1355</v>
      </c>
      <c r="D645" s="42">
        <v>36660.933333333334</v>
      </c>
      <c r="E645" s="115">
        <v>18330.466666666667</v>
      </c>
    </row>
    <row r="646" spans="1:5" x14ac:dyDescent="0.3">
      <c r="A646" t="s">
        <v>1356</v>
      </c>
      <c r="B646" s="70" t="s">
        <v>1357</v>
      </c>
      <c r="D646" s="42">
        <v>38252.479999999996</v>
      </c>
      <c r="E646" s="115">
        <v>19126.239999999998</v>
      </c>
    </row>
    <row r="647" spans="1:5" x14ac:dyDescent="0.3">
      <c r="A647" t="s">
        <v>1358</v>
      </c>
      <c r="B647" s="70" t="s">
        <v>1359</v>
      </c>
      <c r="D647" s="42">
        <v>39952.906666666662</v>
      </c>
      <c r="E647" s="115">
        <v>19976.453333333331</v>
      </c>
    </row>
    <row r="648" spans="1:5" x14ac:dyDescent="0.3">
      <c r="A648" s="65"/>
      <c r="B648" s="65"/>
      <c r="C648" s="65"/>
      <c r="D648" s="81"/>
      <c r="E648" s="81"/>
    </row>
    <row r="649" spans="1:5" x14ac:dyDescent="0.3">
      <c r="A649" t="s">
        <v>1360</v>
      </c>
      <c r="B649" s="70" t="s">
        <v>1361</v>
      </c>
      <c r="D649" s="42">
        <v>45711.893333333333</v>
      </c>
      <c r="E649" s="115">
        <v>22855.946666666667</v>
      </c>
    </row>
    <row r="650" spans="1:5" x14ac:dyDescent="0.3">
      <c r="A650" t="s">
        <v>1362</v>
      </c>
      <c r="B650" s="70" t="s">
        <v>1363</v>
      </c>
      <c r="D650" s="42">
        <v>45711.893333333333</v>
      </c>
      <c r="E650" s="115">
        <v>22855.946666666667</v>
      </c>
    </row>
    <row r="651" spans="1:5" x14ac:dyDescent="0.3">
      <c r="A651" t="s">
        <v>1364</v>
      </c>
      <c r="B651" s="70" t="s">
        <v>1365</v>
      </c>
      <c r="D651" s="42">
        <v>45711.893333333333</v>
      </c>
      <c r="E651" s="115">
        <v>22855.946666666667</v>
      </c>
    </row>
    <row r="652" spans="1:5" x14ac:dyDescent="0.3">
      <c r="A652" t="s">
        <v>1366</v>
      </c>
      <c r="B652" s="70" t="s">
        <v>1367</v>
      </c>
      <c r="D652" s="42">
        <v>45711.893333333333</v>
      </c>
      <c r="E652" s="115">
        <v>22855.946666666667</v>
      </c>
    </row>
    <row r="653" spans="1:5" x14ac:dyDescent="0.3">
      <c r="A653" s="65"/>
      <c r="B653" s="65"/>
      <c r="C653" s="65"/>
      <c r="D653" s="81"/>
      <c r="E653" s="81"/>
    </row>
    <row r="654" spans="1:5" x14ac:dyDescent="0.3">
      <c r="A654" t="s">
        <v>1368</v>
      </c>
      <c r="B654" s="70" t="s">
        <v>1369</v>
      </c>
      <c r="D654" s="42">
        <v>50677.333333333336</v>
      </c>
      <c r="E654" s="115">
        <v>25338.666666666668</v>
      </c>
    </row>
    <row r="655" spans="1:5" x14ac:dyDescent="0.3">
      <c r="A655" t="s">
        <v>1370</v>
      </c>
      <c r="B655" s="70" t="s">
        <v>1371</v>
      </c>
      <c r="D655" s="42">
        <v>50677.333333333336</v>
      </c>
      <c r="E655" s="115">
        <v>25338.666666666668</v>
      </c>
    </row>
    <row r="656" spans="1:5" x14ac:dyDescent="0.3">
      <c r="A656" t="s">
        <v>1372</v>
      </c>
      <c r="B656" s="70" t="s">
        <v>1373</v>
      </c>
      <c r="D656" s="42">
        <v>50677.333333333336</v>
      </c>
      <c r="E656" s="115">
        <v>25338.666666666668</v>
      </c>
    </row>
    <row r="657" spans="1:7" x14ac:dyDescent="0.3">
      <c r="A657" t="s">
        <v>1374</v>
      </c>
      <c r="B657" s="70" t="s">
        <v>1375</v>
      </c>
      <c r="D657" s="42">
        <v>52268.880000000005</v>
      </c>
      <c r="E657" s="115">
        <v>26134.440000000002</v>
      </c>
    </row>
    <row r="658" spans="1:7" x14ac:dyDescent="0.3">
      <c r="A658" t="s">
        <v>1376</v>
      </c>
      <c r="B658" s="70" t="s">
        <v>1377</v>
      </c>
      <c r="D658" s="42">
        <v>53969.306666666671</v>
      </c>
      <c r="E658" s="115">
        <v>26984.653333333335</v>
      </c>
    </row>
    <row r="659" spans="1:7" x14ac:dyDescent="0.3">
      <c r="A659" t="s">
        <v>1378</v>
      </c>
      <c r="B659" s="70" t="s">
        <v>1379</v>
      </c>
      <c r="D659" s="42">
        <v>50677.333333333336</v>
      </c>
      <c r="E659" s="115">
        <v>25338.666666666668</v>
      </c>
    </row>
    <row r="660" spans="1:7" x14ac:dyDescent="0.3">
      <c r="A660" s="64" t="s">
        <v>1380</v>
      </c>
      <c r="B660" s="65"/>
      <c r="C660" s="65"/>
      <c r="D660" s="81"/>
      <c r="E660" s="81"/>
    </row>
    <row r="661" spans="1:7" x14ac:dyDescent="0.3">
      <c r="A661" s="32" t="s">
        <v>1381</v>
      </c>
      <c r="E661" s="115"/>
      <c r="F661" s="74"/>
      <c r="G661" s="139"/>
    </row>
    <row r="662" spans="1:7" x14ac:dyDescent="0.3">
      <c r="A662" t="s">
        <v>1382</v>
      </c>
      <c r="B662" t="s">
        <v>1383</v>
      </c>
      <c r="D662" s="42">
        <v>4097.9733333333334</v>
      </c>
      <c r="E662" s="115">
        <v>2048.9866666666667</v>
      </c>
      <c r="F662" s="66"/>
      <c r="G662" s="140"/>
    </row>
    <row r="663" spans="1:7" x14ac:dyDescent="0.3">
      <c r="A663" t="s">
        <v>1384</v>
      </c>
      <c r="B663" t="s">
        <v>1385</v>
      </c>
      <c r="D663" s="42">
        <v>4097.9733333333334</v>
      </c>
      <c r="E663" s="115">
        <v>2048.9866666666667</v>
      </c>
      <c r="F663" s="66"/>
      <c r="G663" s="141"/>
    </row>
    <row r="664" spans="1:7" x14ac:dyDescent="0.3">
      <c r="A664" t="s">
        <v>1386</v>
      </c>
      <c r="B664" t="s">
        <v>1387</v>
      </c>
      <c r="D664" s="42">
        <v>0</v>
      </c>
      <c r="E664" s="115">
        <v>0</v>
      </c>
      <c r="F664" s="66"/>
      <c r="G664" s="141"/>
    </row>
    <row r="665" spans="1:7" x14ac:dyDescent="0.3">
      <c r="A665" s="32" t="s">
        <v>1388</v>
      </c>
      <c r="B665" s="120"/>
      <c r="E665" s="115"/>
      <c r="F665" s="66"/>
      <c r="G665" s="141"/>
    </row>
    <row r="666" spans="1:7" x14ac:dyDescent="0.3">
      <c r="A666" t="s">
        <v>1389</v>
      </c>
      <c r="B666" s="70" t="s">
        <v>1390</v>
      </c>
      <c r="D666" s="42">
        <v>0</v>
      </c>
      <c r="E666" s="115">
        <v>0</v>
      </c>
      <c r="F666" s="66"/>
      <c r="G666" s="141"/>
    </row>
    <row r="667" spans="1:7" x14ac:dyDescent="0.3">
      <c r="A667" t="s">
        <v>1391</v>
      </c>
      <c r="B667" s="70" t="s">
        <v>1392</v>
      </c>
      <c r="D667" s="42">
        <v>251.81333333333413</v>
      </c>
      <c r="E667" s="115">
        <v>125.90666666666706</v>
      </c>
    </row>
    <row r="668" spans="1:7" x14ac:dyDescent="0.3">
      <c r="A668" t="s">
        <v>1393</v>
      </c>
      <c r="B668" s="70" t="s">
        <v>1394</v>
      </c>
      <c r="D668" s="42">
        <v>493.73333333333244</v>
      </c>
      <c r="E668" s="115">
        <v>246.86666666666622</v>
      </c>
    </row>
    <row r="669" spans="1:7" x14ac:dyDescent="0.3">
      <c r="A669" s="32" t="s">
        <v>1395</v>
      </c>
      <c r="B669" s="120"/>
      <c r="E669" s="115"/>
    </row>
    <row r="670" spans="1:7" x14ac:dyDescent="0.3">
      <c r="A670" t="s">
        <v>1396</v>
      </c>
      <c r="B670" s="70" t="s">
        <v>1390</v>
      </c>
      <c r="D670" s="42">
        <v>0</v>
      </c>
      <c r="E670" s="115">
        <v>0</v>
      </c>
    </row>
    <row r="671" spans="1:7" x14ac:dyDescent="0.3">
      <c r="A671" t="s">
        <v>1397</v>
      </c>
      <c r="B671" s="70" t="s">
        <v>1392</v>
      </c>
      <c r="D671" s="42">
        <v>508.5333333333304</v>
      </c>
      <c r="E671" s="115">
        <v>254.2666666666652</v>
      </c>
    </row>
    <row r="672" spans="1:7" x14ac:dyDescent="0.3">
      <c r="A672" t="s">
        <v>1398</v>
      </c>
      <c r="B672" s="70" t="s">
        <v>1394</v>
      </c>
      <c r="D672" s="42">
        <v>1214.5866666666652</v>
      </c>
      <c r="E672" s="115">
        <v>607.29333333333261</v>
      </c>
    </row>
    <row r="673" spans="1:5" x14ac:dyDescent="0.3">
      <c r="A673" s="76" t="s">
        <v>1399</v>
      </c>
      <c r="B673" s="76"/>
      <c r="E673" s="115"/>
    </row>
    <row r="674" spans="1:5" x14ac:dyDescent="0.3">
      <c r="A674" t="s">
        <v>1400</v>
      </c>
      <c r="B674" s="70" t="s">
        <v>81</v>
      </c>
      <c r="D674" s="42">
        <v>790</v>
      </c>
      <c r="E674" s="115">
        <v>395</v>
      </c>
    </row>
    <row r="675" spans="1:5" x14ac:dyDescent="0.3">
      <c r="A675" t="s">
        <v>1401</v>
      </c>
      <c r="B675" t="s">
        <v>86</v>
      </c>
      <c r="D675" s="42">
        <v>543.12000000000023</v>
      </c>
      <c r="E675" s="115">
        <v>271.56000000000012</v>
      </c>
    </row>
    <row r="676" spans="1:5" x14ac:dyDescent="0.3">
      <c r="A676" t="s">
        <v>1402</v>
      </c>
      <c r="B676" t="s">
        <v>91</v>
      </c>
      <c r="D676" s="42">
        <v>997.33333333333337</v>
      </c>
      <c r="E676" s="115">
        <v>498.66666666666669</v>
      </c>
    </row>
    <row r="677" spans="1:5" x14ac:dyDescent="0.3">
      <c r="A677" t="s">
        <v>1403</v>
      </c>
      <c r="B677" t="s">
        <v>94</v>
      </c>
      <c r="D677" s="42">
        <v>0</v>
      </c>
      <c r="E677" s="115">
        <v>0</v>
      </c>
    </row>
    <row r="678" spans="1:5" x14ac:dyDescent="0.3">
      <c r="A678" s="76" t="s">
        <v>72</v>
      </c>
      <c r="B678" s="76"/>
      <c r="E678" s="115"/>
    </row>
    <row r="679" spans="1:5" x14ac:dyDescent="0.3">
      <c r="A679" t="s">
        <v>1404</v>
      </c>
      <c r="B679" t="s">
        <v>98</v>
      </c>
      <c r="D679" s="42">
        <v>2105.9199999999983</v>
      </c>
      <c r="E679" s="115">
        <v>1052.9599999999991</v>
      </c>
    </row>
    <row r="680" spans="1:5" x14ac:dyDescent="0.3">
      <c r="A680" t="s">
        <v>1405</v>
      </c>
      <c r="B680" t="s">
        <v>1406</v>
      </c>
      <c r="D680" s="42">
        <v>770.21333333333325</v>
      </c>
      <c r="E680" s="115">
        <v>385.10666666666663</v>
      </c>
    </row>
    <row r="681" spans="1:5" x14ac:dyDescent="0.3">
      <c r="A681" t="s">
        <v>1407</v>
      </c>
      <c r="B681" t="s">
        <v>1408</v>
      </c>
      <c r="D681" s="42">
        <v>0</v>
      </c>
      <c r="E681" s="115">
        <v>0</v>
      </c>
    </row>
    <row r="682" spans="1:5" x14ac:dyDescent="0.3">
      <c r="A682" t="s">
        <v>1409</v>
      </c>
      <c r="B682" t="s">
        <v>1410</v>
      </c>
      <c r="D682" s="42">
        <v>0</v>
      </c>
      <c r="E682" s="115">
        <v>0</v>
      </c>
    </row>
    <row r="683" spans="1:5" x14ac:dyDescent="0.3">
      <c r="A683" t="s">
        <v>1411</v>
      </c>
      <c r="B683" t="s">
        <v>1412</v>
      </c>
      <c r="D683" s="42">
        <v>1344.6222222222198</v>
      </c>
      <c r="E683" s="115">
        <v>672.31111111110988</v>
      </c>
    </row>
    <row r="684" spans="1:5" x14ac:dyDescent="0.3">
      <c r="A684" t="s">
        <v>1413</v>
      </c>
      <c r="B684" t="s">
        <v>1414</v>
      </c>
      <c r="D684" s="42">
        <v>2045.7155555555526</v>
      </c>
      <c r="E684" s="115">
        <v>1022.8577777777763</v>
      </c>
    </row>
    <row r="685" spans="1:5" x14ac:dyDescent="0.3">
      <c r="A685" t="s">
        <v>1415</v>
      </c>
      <c r="B685" t="s">
        <v>1416</v>
      </c>
      <c r="D685" s="42">
        <v>232.05333333333454</v>
      </c>
      <c r="E685" s="115">
        <v>116.02666666666727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16BF6-902F-4CB2-9C3F-C4FE3D10FBBE}">
  <dimension ref="A1:N100"/>
  <sheetViews>
    <sheetView topLeftCell="A24" zoomScale="86" zoomScaleNormal="86" workbookViewId="0">
      <selection activeCell="A61" sqref="A61"/>
    </sheetView>
  </sheetViews>
  <sheetFormatPr defaultRowHeight="15.6" x14ac:dyDescent="0.3"/>
  <cols>
    <col min="1" max="1" width="36" bestFit="1" customWidth="1"/>
    <col min="2" max="2" width="27.69921875" bestFit="1" customWidth="1"/>
    <col min="3" max="3" width="53.796875" style="37" bestFit="1" customWidth="1"/>
    <col min="4" max="4" width="16.09765625" style="42" bestFit="1" customWidth="1"/>
    <col min="5" max="5" width="17.69921875" style="42" customWidth="1"/>
    <col min="6" max="6" width="0.296875" customWidth="1"/>
    <col min="7" max="7" width="31.3984375" bestFit="1" customWidth="1"/>
    <col min="8" max="8" width="19.09765625" customWidth="1"/>
    <col min="9" max="14" width="16.69921875" customWidth="1"/>
  </cols>
  <sheetData>
    <row r="1" spans="1:8" s="32" customFormat="1" x14ac:dyDescent="0.3">
      <c r="A1" s="64" t="s">
        <v>0</v>
      </c>
      <c r="B1" s="64" t="s">
        <v>1</v>
      </c>
      <c r="C1" s="109" t="s">
        <v>1417</v>
      </c>
      <c r="D1" s="110" t="s">
        <v>2</v>
      </c>
      <c r="E1" s="110" t="s">
        <v>3</v>
      </c>
      <c r="F1" s="77"/>
      <c r="G1" s="106" t="s">
        <v>8</v>
      </c>
      <c r="H1" s="106" t="s">
        <v>0</v>
      </c>
    </row>
    <row r="2" spans="1:8" x14ac:dyDescent="0.3">
      <c r="A2" t="s">
        <v>1418</v>
      </c>
      <c r="B2" t="s">
        <v>1419</v>
      </c>
      <c r="C2" s="37" t="s">
        <v>1420</v>
      </c>
      <c r="D2" s="42">
        <v>37407.699999999997</v>
      </c>
      <c r="E2" s="58">
        <f t="shared" ref="E2:E33" si="0">D2*$H$11</f>
        <v>18703.849999999999</v>
      </c>
      <c r="F2" s="78"/>
      <c r="G2" s="7" t="s">
        <v>1421</v>
      </c>
      <c r="H2" s="7">
        <v>111</v>
      </c>
    </row>
    <row r="3" spans="1:8" x14ac:dyDescent="0.3">
      <c r="A3" t="s">
        <v>1422</v>
      </c>
      <c r="B3" t="s">
        <v>1423</v>
      </c>
      <c r="C3" s="37" t="s">
        <v>1424</v>
      </c>
      <c r="D3" s="42">
        <v>73942.549999999988</v>
      </c>
      <c r="E3" s="58">
        <f t="shared" si="0"/>
        <v>36971.274999999994</v>
      </c>
      <c r="F3" s="79"/>
      <c r="G3" s="7" t="s">
        <v>1425</v>
      </c>
      <c r="H3" s="7">
        <v>112</v>
      </c>
    </row>
    <row r="4" spans="1:8" x14ac:dyDescent="0.3">
      <c r="A4" t="s">
        <v>1426</v>
      </c>
      <c r="B4" t="s">
        <v>1427</v>
      </c>
      <c r="C4" s="37" t="s">
        <v>1428</v>
      </c>
      <c r="D4" s="42">
        <v>106014.51666666666</v>
      </c>
      <c r="E4" s="58">
        <f t="shared" si="0"/>
        <v>53007.258333333331</v>
      </c>
      <c r="F4" s="79"/>
      <c r="G4" s="7" t="s">
        <v>1429</v>
      </c>
      <c r="H4" s="7">
        <v>113</v>
      </c>
    </row>
    <row r="5" spans="1:8" x14ac:dyDescent="0.3">
      <c r="A5" t="s">
        <v>1430</v>
      </c>
      <c r="B5" t="s">
        <v>1431</v>
      </c>
      <c r="C5" s="37" t="s">
        <v>1432</v>
      </c>
      <c r="D5" s="42">
        <v>54751.183333333327</v>
      </c>
      <c r="E5" s="58">
        <f t="shared" si="0"/>
        <v>27375.591666666664</v>
      </c>
      <c r="F5" s="79"/>
      <c r="G5" s="7" t="s">
        <v>1433</v>
      </c>
      <c r="H5" s="7">
        <v>114</v>
      </c>
    </row>
    <row r="6" spans="1:8" x14ac:dyDescent="0.3">
      <c r="A6" t="s">
        <v>1434</v>
      </c>
      <c r="B6" t="s">
        <v>1435</v>
      </c>
      <c r="C6" s="37" t="s">
        <v>1436</v>
      </c>
      <c r="D6" s="42">
        <v>54376.533333333326</v>
      </c>
      <c r="E6" s="58">
        <f t="shared" si="0"/>
        <v>27188.266666666663</v>
      </c>
      <c r="F6" s="79"/>
      <c r="G6" s="7" t="s">
        <v>1437</v>
      </c>
      <c r="H6" s="7">
        <v>115</v>
      </c>
    </row>
    <row r="7" spans="1:8" x14ac:dyDescent="0.3">
      <c r="A7" t="s">
        <v>1438</v>
      </c>
      <c r="B7" t="s">
        <v>1439</v>
      </c>
      <c r="C7" s="37" t="s">
        <v>1440</v>
      </c>
      <c r="D7" s="42">
        <v>89254.349999999991</v>
      </c>
      <c r="E7" s="58">
        <f t="shared" si="0"/>
        <v>44627.174999999996</v>
      </c>
      <c r="F7" s="79"/>
      <c r="G7" s="7" t="s">
        <v>1441</v>
      </c>
      <c r="H7" s="7">
        <v>116</v>
      </c>
    </row>
    <row r="8" spans="1:8" x14ac:dyDescent="0.3">
      <c r="A8" t="s">
        <v>1442</v>
      </c>
      <c r="B8" t="s">
        <v>1443</v>
      </c>
      <c r="C8" s="37" t="s">
        <v>1444</v>
      </c>
      <c r="D8" s="42">
        <v>63174.183333333327</v>
      </c>
      <c r="E8" s="58">
        <f t="shared" si="0"/>
        <v>31587.091666666664</v>
      </c>
      <c r="F8" s="79"/>
      <c r="G8" s="7" t="s">
        <v>90</v>
      </c>
      <c r="H8" s="7">
        <v>117</v>
      </c>
    </row>
    <row r="9" spans="1:8" x14ac:dyDescent="0.3">
      <c r="A9" t="s">
        <v>1445</v>
      </c>
      <c r="B9" t="s">
        <v>1446</v>
      </c>
      <c r="C9" s="37" t="s">
        <v>1447</v>
      </c>
      <c r="D9" s="42">
        <v>95246.15</v>
      </c>
      <c r="E9" s="58">
        <f t="shared" si="0"/>
        <v>47623.074999999997</v>
      </c>
      <c r="F9" s="79"/>
    </row>
    <row r="10" spans="1:8" x14ac:dyDescent="0.3">
      <c r="A10" t="s">
        <v>1448</v>
      </c>
      <c r="B10" t="s">
        <v>1449</v>
      </c>
      <c r="C10" s="37" t="s">
        <v>1450</v>
      </c>
      <c r="D10" s="42">
        <v>39936.433333333334</v>
      </c>
      <c r="E10" s="58">
        <f t="shared" si="0"/>
        <v>19968.216666666667</v>
      </c>
      <c r="F10" s="79"/>
      <c r="H10" s="108" t="s">
        <v>1451</v>
      </c>
    </row>
    <row r="11" spans="1:8" x14ac:dyDescent="0.3">
      <c r="A11" t="s">
        <v>1452</v>
      </c>
      <c r="B11" t="s">
        <v>1453</v>
      </c>
      <c r="C11" s="37" t="s">
        <v>1454</v>
      </c>
      <c r="D11" s="42">
        <v>79000.016666666677</v>
      </c>
      <c r="E11" s="58">
        <f t="shared" si="0"/>
        <v>39500.008333333339</v>
      </c>
      <c r="F11" s="79"/>
      <c r="H11" s="107">
        <v>0.5</v>
      </c>
    </row>
    <row r="12" spans="1:8" x14ac:dyDescent="0.3">
      <c r="A12" t="s">
        <v>1455</v>
      </c>
      <c r="B12" t="s">
        <v>1456</v>
      </c>
      <c r="C12" s="37" t="s">
        <v>1457</v>
      </c>
      <c r="D12" s="42">
        <v>113600.71666666667</v>
      </c>
      <c r="E12" s="58">
        <f t="shared" si="0"/>
        <v>56800.358333333337</v>
      </c>
      <c r="F12" s="79"/>
    </row>
    <row r="13" spans="1:8" x14ac:dyDescent="0.3">
      <c r="A13" t="s">
        <v>1458</v>
      </c>
      <c r="B13" t="s">
        <v>1459</v>
      </c>
      <c r="C13" s="37" t="s">
        <v>1460</v>
      </c>
      <c r="D13" s="42">
        <v>57279.916666666672</v>
      </c>
      <c r="E13" s="58">
        <f t="shared" si="0"/>
        <v>28639.958333333336</v>
      </c>
      <c r="F13" s="79"/>
    </row>
    <row r="14" spans="1:8" x14ac:dyDescent="0.3">
      <c r="A14" t="s">
        <v>1461</v>
      </c>
      <c r="B14" t="s">
        <v>1462</v>
      </c>
      <c r="C14" s="37" t="s">
        <v>1463</v>
      </c>
      <c r="D14" s="42">
        <v>56905.26666666667</v>
      </c>
      <c r="E14" s="58">
        <f t="shared" si="0"/>
        <v>28452.633333333335</v>
      </c>
      <c r="F14" s="79"/>
      <c r="H14" s="42"/>
    </row>
    <row r="15" spans="1:8" x14ac:dyDescent="0.3">
      <c r="A15" t="s">
        <v>1464</v>
      </c>
      <c r="B15" t="s">
        <v>1465</v>
      </c>
      <c r="C15" s="37" t="s">
        <v>1466</v>
      </c>
      <c r="D15" s="42">
        <v>94311.81666666668</v>
      </c>
      <c r="E15" s="58">
        <f t="shared" si="0"/>
        <v>47155.90833333334</v>
      </c>
      <c r="F15" s="79"/>
    </row>
    <row r="16" spans="1:8" x14ac:dyDescent="0.3">
      <c r="A16" t="s">
        <v>1467</v>
      </c>
      <c r="B16" t="s">
        <v>1468</v>
      </c>
      <c r="C16" s="37" t="s">
        <v>1469</v>
      </c>
      <c r="D16" s="42">
        <v>65702.916666666672</v>
      </c>
      <c r="E16" s="58">
        <f t="shared" si="0"/>
        <v>32851.458333333336</v>
      </c>
      <c r="F16" s="79"/>
      <c r="H16" s="42"/>
    </row>
    <row r="17" spans="1:6" x14ac:dyDescent="0.3">
      <c r="A17" t="s">
        <v>1470</v>
      </c>
      <c r="B17" t="s">
        <v>1471</v>
      </c>
      <c r="C17" s="37" t="s">
        <v>1472</v>
      </c>
      <c r="D17" s="42">
        <v>100303.61666666667</v>
      </c>
      <c r="E17" s="58">
        <f t="shared" si="0"/>
        <v>50151.808333333334</v>
      </c>
      <c r="F17" s="79"/>
    </row>
    <row r="18" spans="1:6" x14ac:dyDescent="0.3">
      <c r="A18" t="s">
        <v>1473</v>
      </c>
      <c r="B18" t="s">
        <v>1474</v>
      </c>
      <c r="C18" s="37" t="s">
        <v>1475</v>
      </c>
      <c r="D18" s="42">
        <v>20611</v>
      </c>
      <c r="E18" s="58">
        <f t="shared" si="0"/>
        <v>10305.5</v>
      </c>
      <c r="F18" s="79"/>
    </row>
    <row r="19" spans="1:6" x14ac:dyDescent="0.3">
      <c r="A19" t="s">
        <v>1476</v>
      </c>
      <c r="B19" t="s">
        <v>1477</v>
      </c>
      <c r="C19" s="37" t="s">
        <v>1478</v>
      </c>
      <c r="D19" s="42">
        <v>26639.333333333332</v>
      </c>
      <c r="E19" s="58">
        <f t="shared" si="0"/>
        <v>13319.666666666666</v>
      </c>
      <c r="F19" s="79"/>
    </row>
    <row r="20" spans="1:6" x14ac:dyDescent="0.3">
      <c r="A20" t="s">
        <v>1479</v>
      </c>
      <c r="B20" t="s">
        <v>1480</v>
      </c>
      <c r="C20" s="37" t="s">
        <v>1481</v>
      </c>
      <c r="D20" s="42">
        <v>38481.933333333334</v>
      </c>
      <c r="E20" s="58">
        <f t="shared" si="0"/>
        <v>19240.966666666667</v>
      </c>
      <c r="F20" s="79"/>
    </row>
    <row r="21" spans="1:6" x14ac:dyDescent="0.3">
      <c r="A21" t="s">
        <v>1482</v>
      </c>
      <c r="B21" t="s">
        <v>1483</v>
      </c>
      <c r="C21" s="37" t="s">
        <v>1484</v>
      </c>
      <c r="D21" s="42">
        <v>52405.816666666666</v>
      </c>
      <c r="E21" s="58">
        <f t="shared" si="0"/>
        <v>26202.908333333333</v>
      </c>
      <c r="F21" s="79"/>
    </row>
    <row r="22" spans="1:6" x14ac:dyDescent="0.3">
      <c r="A22" t="s">
        <v>1485</v>
      </c>
      <c r="B22" t="s">
        <v>1486</v>
      </c>
      <c r="C22" s="37" t="s">
        <v>1487</v>
      </c>
      <c r="D22" s="42">
        <v>43608.166666666664</v>
      </c>
      <c r="E22" s="58">
        <f t="shared" si="0"/>
        <v>21804.083333333332</v>
      </c>
      <c r="F22" s="79"/>
    </row>
    <row r="23" spans="1:6" x14ac:dyDescent="0.3">
      <c r="A23" t="s">
        <v>1488</v>
      </c>
      <c r="B23" t="s">
        <v>1489</v>
      </c>
      <c r="C23" s="37" t="s">
        <v>1490</v>
      </c>
      <c r="D23" s="42">
        <v>43982.816666666666</v>
      </c>
      <c r="E23" s="58">
        <f t="shared" si="0"/>
        <v>21991.408333333333</v>
      </c>
      <c r="F23" s="79"/>
    </row>
    <row r="24" spans="1:6" x14ac:dyDescent="0.3">
      <c r="A24" t="s">
        <v>1491</v>
      </c>
      <c r="B24" t="s">
        <v>1492</v>
      </c>
      <c r="C24" s="37" t="s">
        <v>1493</v>
      </c>
      <c r="D24" s="42">
        <v>22500</v>
      </c>
      <c r="E24" s="58">
        <f t="shared" si="0"/>
        <v>11250</v>
      </c>
      <c r="F24" s="79"/>
    </row>
    <row r="25" spans="1:6" x14ac:dyDescent="0.3">
      <c r="A25" t="s">
        <v>1494</v>
      </c>
      <c r="B25" t="s">
        <v>1495</v>
      </c>
      <c r="C25" s="67" t="s">
        <v>1496</v>
      </c>
      <c r="D25" s="42">
        <v>41940.133333333331</v>
      </c>
      <c r="E25" s="58">
        <f t="shared" si="0"/>
        <v>20970.066666666666</v>
      </c>
      <c r="F25" s="79"/>
    </row>
    <row r="26" spans="1:6" x14ac:dyDescent="0.3">
      <c r="A26" t="s">
        <v>1497</v>
      </c>
      <c r="B26" t="s">
        <v>1498</v>
      </c>
      <c r="C26" s="67" t="s">
        <v>1499</v>
      </c>
      <c r="D26" s="42">
        <v>83007.416666666672</v>
      </c>
      <c r="E26" s="58">
        <f t="shared" si="0"/>
        <v>41503.708333333336</v>
      </c>
      <c r="F26" s="79"/>
    </row>
    <row r="27" spans="1:6" x14ac:dyDescent="0.3">
      <c r="A27" t="s">
        <v>1500</v>
      </c>
      <c r="B27" t="s">
        <v>1501</v>
      </c>
      <c r="C27" s="67" t="s">
        <v>1502</v>
      </c>
      <c r="D27" s="42">
        <v>119611.81666666667</v>
      </c>
      <c r="E27" s="58">
        <f t="shared" si="0"/>
        <v>59805.908333333333</v>
      </c>
      <c r="F27" s="79"/>
    </row>
    <row r="28" spans="1:6" x14ac:dyDescent="0.3">
      <c r="A28" t="s">
        <v>1503</v>
      </c>
      <c r="B28" t="s">
        <v>1504</v>
      </c>
      <c r="C28" s="37" t="s">
        <v>1505</v>
      </c>
      <c r="D28" s="42">
        <v>59283.616666666669</v>
      </c>
      <c r="E28" s="58">
        <f t="shared" si="0"/>
        <v>29641.808333333334</v>
      </c>
      <c r="F28" s="79"/>
    </row>
    <row r="29" spans="1:6" x14ac:dyDescent="0.3">
      <c r="A29" t="s">
        <v>1506</v>
      </c>
      <c r="B29" t="s">
        <v>1507</v>
      </c>
      <c r="C29" s="37" t="s">
        <v>1508</v>
      </c>
      <c r="D29" s="42">
        <v>58908.966666666667</v>
      </c>
      <c r="E29" s="58">
        <f t="shared" si="0"/>
        <v>29454.483333333334</v>
      </c>
      <c r="F29" s="79"/>
    </row>
    <row r="30" spans="1:6" x14ac:dyDescent="0.3">
      <c r="A30" t="s">
        <v>1509</v>
      </c>
      <c r="B30" t="s">
        <v>1510</v>
      </c>
      <c r="C30" s="37" t="s">
        <v>1511</v>
      </c>
      <c r="D30" s="42">
        <v>98319.216666666674</v>
      </c>
      <c r="E30" s="58">
        <f t="shared" si="0"/>
        <v>49159.608333333337</v>
      </c>
      <c r="F30" s="79"/>
    </row>
    <row r="31" spans="1:6" x14ac:dyDescent="0.3">
      <c r="A31" t="s">
        <v>1512</v>
      </c>
      <c r="B31" t="s">
        <v>1513</v>
      </c>
      <c r="C31" s="37" t="s">
        <v>1514</v>
      </c>
      <c r="D31" s="42">
        <v>67706.616666666669</v>
      </c>
      <c r="E31" s="58">
        <f t="shared" si="0"/>
        <v>33853.308333333334</v>
      </c>
      <c r="F31" s="79"/>
    </row>
    <row r="32" spans="1:6" x14ac:dyDescent="0.3">
      <c r="A32" t="s">
        <v>1515</v>
      </c>
      <c r="B32" t="s">
        <v>1516</v>
      </c>
      <c r="C32" s="37" t="s">
        <v>1517</v>
      </c>
      <c r="D32" s="42">
        <v>104311.01666666666</v>
      </c>
      <c r="E32" s="58">
        <f t="shared" si="0"/>
        <v>52155.508333333331</v>
      </c>
      <c r="F32" s="79"/>
    </row>
    <row r="33" spans="1:8" x14ac:dyDescent="0.3">
      <c r="A33" t="s">
        <v>1518</v>
      </c>
      <c r="B33" t="s">
        <v>1519</v>
      </c>
      <c r="C33" s="67" t="s">
        <v>1520</v>
      </c>
      <c r="D33" s="105">
        <v>41940.133333333331</v>
      </c>
      <c r="E33" s="58">
        <f t="shared" si="0"/>
        <v>20970.066666666666</v>
      </c>
      <c r="F33" s="79"/>
      <c r="H33" s="72"/>
    </row>
    <row r="34" spans="1:8" x14ac:dyDescent="0.3">
      <c r="A34" t="s">
        <v>1521</v>
      </c>
      <c r="B34" t="s">
        <v>1522</v>
      </c>
      <c r="C34" s="67" t="s">
        <v>1523</v>
      </c>
      <c r="D34" s="42">
        <v>83007.416666666672</v>
      </c>
      <c r="E34" s="58">
        <f t="shared" ref="E34:E56" si="1">D34*$H$11</f>
        <v>41503.708333333336</v>
      </c>
      <c r="F34" s="79"/>
    </row>
    <row r="35" spans="1:8" x14ac:dyDescent="0.3">
      <c r="A35" t="s">
        <v>1524</v>
      </c>
      <c r="B35" t="s">
        <v>1525</v>
      </c>
      <c r="C35" s="67" t="s">
        <v>1526</v>
      </c>
      <c r="D35" s="42">
        <v>119611.81666666667</v>
      </c>
      <c r="E35" s="58">
        <f t="shared" si="1"/>
        <v>59805.908333333333</v>
      </c>
      <c r="F35" s="79"/>
      <c r="H35" s="42"/>
    </row>
    <row r="36" spans="1:8" x14ac:dyDescent="0.3">
      <c r="A36" t="s">
        <v>1527</v>
      </c>
      <c r="B36" t="s">
        <v>1528</v>
      </c>
      <c r="C36" s="75" t="s">
        <v>1529</v>
      </c>
      <c r="D36" s="42">
        <v>59283.616666666669</v>
      </c>
      <c r="E36" s="58">
        <f t="shared" si="1"/>
        <v>29641.808333333334</v>
      </c>
      <c r="F36" s="79"/>
    </row>
    <row r="37" spans="1:8" x14ac:dyDescent="0.3">
      <c r="A37" t="s">
        <v>1530</v>
      </c>
      <c r="B37" t="s">
        <v>1531</v>
      </c>
      <c r="C37" s="75" t="s">
        <v>1532</v>
      </c>
      <c r="D37" s="42">
        <v>58908.966666666667</v>
      </c>
      <c r="E37" s="58">
        <f t="shared" si="1"/>
        <v>29454.483333333334</v>
      </c>
      <c r="F37" s="79"/>
    </row>
    <row r="38" spans="1:8" x14ac:dyDescent="0.3">
      <c r="A38" t="s">
        <v>1533</v>
      </c>
      <c r="B38" t="s">
        <v>1534</v>
      </c>
      <c r="C38" s="75" t="s">
        <v>1535</v>
      </c>
      <c r="D38" s="42">
        <v>98319.216666666674</v>
      </c>
      <c r="E38" s="58">
        <f t="shared" si="1"/>
        <v>49159.608333333337</v>
      </c>
      <c r="F38" s="79"/>
    </row>
    <row r="39" spans="1:8" x14ac:dyDescent="0.3">
      <c r="A39" t="s">
        <v>1536</v>
      </c>
      <c r="B39" t="s">
        <v>1537</v>
      </c>
      <c r="C39" s="75" t="s">
        <v>1538</v>
      </c>
      <c r="D39" s="42">
        <v>67706.616666666669</v>
      </c>
      <c r="E39" s="58">
        <f t="shared" si="1"/>
        <v>33853.308333333334</v>
      </c>
      <c r="F39" s="79"/>
    </row>
    <row r="40" spans="1:8" x14ac:dyDescent="0.3">
      <c r="A40" t="s">
        <v>1539</v>
      </c>
      <c r="B40" t="s">
        <v>1540</v>
      </c>
      <c r="C40" s="75" t="s">
        <v>1541</v>
      </c>
      <c r="D40" s="42">
        <v>104311.01666666666</v>
      </c>
      <c r="E40" s="58">
        <f t="shared" si="1"/>
        <v>52155.508333333331</v>
      </c>
      <c r="F40" s="79"/>
    </row>
    <row r="41" spans="1:8" x14ac:dyDescent="0.3">
      <c r="A41" t="s">
        <v>1494</v>
      </c>
      <c r="B41" t="s">
        <v>1542</v>
      </c>
      <c r="C41" s="67" t="s">
        <v>1543</v>
      </c>
      <c r="D41" s="42">
        <v>0</v>
      </c>
      <c r="E41" s="58">
        <f t="shared" si="1"/>
        <v>0</v>
      </c>
      <c r="F41" s="79"/>
    </row>
    <row r="42" spans="1:8" x14ac:dyDescent="0.3">
      <c r="A42" t="s">
        <v>1497</v>
      </c>
      <c r="B42" t="s">
        <v>1544</v>
      </c>
      <c r="C42" s="67" t="s">
        <v>1545</v>
      </c>
      <c r="D42" s="42">
        <v>0</v>
      </c>
      <c r="E42" s="58">
        <f t="shared" si="1"/>
        <v>0</v>
      </c>
      <c r="F42" s="79"/>
    </row>
    <row r="43" spans="1:8" x14ac:dyDescent="0.3">
      <c r="A43" t="s">
        <v>1500</v>
      </c>
      <c r="B43" t="s">
        <v>1546</v>
      </c>
      <c r="C43" s="67" t="s">
        <v>1547</v>
      </c>
      <c r="D43" s="42">
        <v>0</v>
      </c>
      <c r="E43" s="58">
        <f t="shared" si="1"/>
        <v>0</v>
      </c>
      <c r="F43" s="79"/>
    </row>
    <row r="44" spans="1:8" x14ac:dyDescent="0.3">
      <c r="A44" t="s">
        <v>1503</v>
      </c>
      <c r="B44" t="s">
        <v>1548</v>
      </c>
      <c r="C44" s="37" t="s">
        <v>1549</v>
      </c>
      <c r="D44" s="42">
        <v>0</v>
      </c>
      <c r="E44" s="58">
        <f t="shared" si="1"/>
        <v>0</v>
      </c>
      <c r="F44" s="79"/>
    </row>
    <row r="45" spans="1:8" x14ac:dyDescent="0.3">
      <c r="A45" t="s">
        <v>1506</v>
      </c>
      <c r="B45" t="s">
        <v>1550</v>
      </c>
      <c r="C45" s="37" t="s">
        <v>1551</v>
      </c>
      <c r="D45" s="42">
        <v>0</v>
      </c>
      <c r="E45" s="58">
        <f t="shared" si="1"/>
        <v>0</v>
      </c>
      <c r="F45" s="79"/>
    </row>
    <row r="46" spans="1:8" x14ac:dyDescent="0.3">
      <c r="A46" t="s">
        <v>1509</v>
      </c>
      <c r="B46" t="s">
        <v>1552</v>
      </c>
      <c r="C46" s="37" t="s">
        <v>1553</v>
      </c>
      <c r="D46" s="42">
        <v>0</v>
      </c>
      <c r="E46" s="58">
        <f t="shared" si="1"/>
        <v>0</v>
      </c>
      <c r="F46" s="79"/>
    </row>
    <row r="47" spans="1:8" x14ac:dyDescent="0.3">
      <c r="A47" t="s">
        <v>1512</v>
      </c>
      <c r="B47" t="s">
        <v>1554</v>
      </c>
      <c r="C47" s="37" t="s">
        <v>1549</v>
      </c>
      <c r="D47" s="42">
        <v>0</v>
      </c>
      <c r="E47" s="58">
        <f t="shared" si="1"/>
        <v>0</v>
      </c>
      <c r="F47" s="79"/>
    </row>
    <row r="48" spans="1:8" x14ac:dyDescent="0.3">
      <c r="A48" t="s">
        <v>1515</v>
      </c>
      <c r="B48" t="s">
        <v>1555</v>
      </c>
      <c r="C48" s="37" t="s">
        <v>1556</v>
      </c>
      <c r="D48" s="42">
        <v>0</v>
      </c>
      <c r="E48" s="58">
        <f t="shared" si="1"/>
        <v>0</v>
      </c>
      <c r="F48" s="79"/>
    </row>
    <row r="49" spans="1:7" x14ac:dyDescent="0.3">
      <c r="A49" t="s">
        <v>1518</v>
      </c>
      <c r="B49" t="s">
        <v>1557</v>
      </c>
      <c r="C49" s="67" t="s">
        <v>1558</v>
      </c>
      <c r="D49" s="42">
        <v>0</v>
      </c>
      <c r="E49" s="58">
        <f t="shared" si="1"/>
        <v>0</v>
      </c>
      <c r="F49" s="79"/>
    </row>
    <row r="50" spans="1:7" x14ac:dyDescent="0.3">
      <c r="A50" t="s">
        <v>1521</v>
      </c>
      <c r="B50" t="s">
        <v>1559</v>
      </c>
      <c r="C50" s="67" t="s">
        <v>1560</v>
      </c>
      <c r="D50" s="42">
        <v>0</v>
      </c>
      <c r="E50" s="58">
        <f t="shared" si="1"/>
        <v>0</v>
      </c>
      <c r="F50" s="79"/>
    </row>
    <row r="51" spans="1:7" x14ac:dyDescent="0.3">
      <c r="A51" t="s">
        <v>1524</v>
      </c>
      <c r="B51" t="s">
        <v>1561</v>
      </c>
      <c r="C51" s="67" t="s">
        <v>1562</v>
      </c>
      <c r="D51" s="42">
        <v>0</v>
      </c>
      <c r="E51" s="58">
        <f t="shared" si="1"/>
        <v>0</v>
      </c>
      <c r="F51" s="79"/>
    </row>
    <row r="52" spans="1:7" x14ac:dyDescent="0.3">
      <c r="A52" t="s">
        <v>1527</v>
      </c>
      <c r="B52" t="s">
        <v>1563</v>
      </c>
      <c r="C52" s="75" t="s">
        <v>1564</v>
      </c>
      <c r="D52" s="42">
        <v>0</v>
      </c>
      <c r="E52" s="58">
        <f t="shared" si="1"/>
        <v>0</v>
      </c>
      <c r="F52" s="79"/>
    </row>
    <row r="53" spans="1:7" x14ac:dyDescent="0.3">
      <c r="A53" t="s">
        <v>1530</v>
      </c>
      <c r="B53" t="s">
        <v>1565</v>
      </c>
      <c r="C53" s="75" t="s">
        <v>1566</v>
      </c>
      <c r="D53" s="42">
        <v>0</v>
      </c>
      <c r="E53" s="58">
        <f t="shared" si="1"/>
        <v>0</v>
      </c>
      <c r="F53" s="79"/>
    </row>
    <row r="54" spans="1:7" x14ac:dyDescent="0.3">
      <c r="A54" t="s">
        <v>1533</v>
      </c>
      <c r="B54" t="s">
        <v>1567</v>
      </c>
      <c r="C54" s="75" t="s">
        <v>1568</v>
      </c>
      <c r="D54" s="42">
        <v>0</v>
      </c>
      <c r="E54" s="58">
        <f t="shared" si="1"/>
        <v>0</v>
      </c>
      <c r="F54" s="79"/>
    </row>
    <row r="55" spans="1:7" x14ac:dyDescent="0.3">
      <c r="A55" t="s">
        <v>1536</v>
      </c>
      <c r="B55" t="s">
        <v>1569</v>
      </c>
      <c r="C55" s="75" t="s">
        <v>1564</v>
      </c>
      <c r="D55" s="42">
        <v>0</v>
      </c>
      <c r="E55" s="58">
        <f t="shared" si="1"/>
        <v>0</v>
      </c>
      <c r="F55" s="79"/>
    </row>
    <row r="56" spans="1:7" x14ac:dyDescent="0.3">
      <c r="A56" t="s">
        <v>1539</v>
      </c>
      <c r="B56" t="s">
        <v>1570</v>
      </c>
      <c r="C56" s="75" t="s">
        <v>1571</v>
      </c>
      <c r="D56" s="42">
        <v>0</v>
      </c>
      <c r="E56" s="58">
        <f t="shared" si="1"/>
        <v>0</v>
      </c>
      <c r="F56" s="79"/>
    </row>
    <row r="57" spans="1:7" x14ac:dyDescent="0.3">
      <c r="C57" s="75"/>
      <c r="E57" s="58"/>
      <c r="F57" s="79"/>
    </row>
    <row r="58" spans="1:7" x14ac:dyDescent="0.3">
      <c r="C58" s="75"/>
      <c r="E58" s="58"/>
      <c r="F58" s="79"/>
    </row>
    <row r="59" spans="1:7" x14ac:dyDescent="0.3">
      <c r="A59" s="142" t="s">
        <v>1572</v>
      </c>
      <c r="D59" s="59" t="s">
        <v>2</v>
      </c>
      <c r="E59" s="59" t="s">
        <v>3</v>
      </c>
      <c r="F59" s="78"/>
    </row>
    <row r="60" spans="1:7" x14ac:dyDescent="0.3">
      <c r="A60" t="s">
        <v>1573</v>
      </c>
      <c r="B60" t="s">
        <v>1574</v>
      </c>
      <c r="C60" s="37" t="s">
        <v>1575</v>
      </c>
      <c r="D60" s="58">
        <v>5833.3333333333339</v>
      </c>
      <c r="E60" s="58">
        <f>D60*$H$11</f>
        <v>2916.666666666667</v>
      </c>
      <c r="F60" s="78"/>
    </row>
    <row r="61" spans="1:7" x14ac:dyDescent="0.3">
      <c r="A61" t="s">
        <v>1576</v>
      </c>
      <c r="B61" t="s">
        <v>1577</v>
      </c>
      <c r="C61" s="37" t="s">
        <v>1578</v>
      </c>
      <c r="D61" s="58">
        <v>9166.6666666666679</v>
      </c>
      <c r="E61" s="58">
        <f>D61*$H$11</f>
        <v>4583.3333333333339</v>
      </c>
      <c r="F61" s="78"/>
    </row>
    <row r="62" spans="1:7" x14ac:dyDescent="0.3">
      <c r="A62" t="s">
        <v>1579</v>
      </c>
      <c r="B62" t="s">
        <v>1580</v>
      </c>
      <c r="C62" s="37" t="s">
        <v>1581</v>
      </c>
      <c r="D62" s="58">
        <v>12500</v>
      </c>
      <c r="E62" s="58">
        <f>D62*$H$11</f>
        <v>6250</v>
      </c>
      <c r="F62" s="78"/>
    </row>
    <row r="63" spans="1:7" x14ac:dyDescent="0.3">
      <c r="E63" s="58">
        <f>D63*$H$11</f>
        <v>0</v>
      </c>
      <c r="F63" s="78"/>
    </row>
    <row r="64" spans="1:7" x14ac:dyDescent="0.3">
      <c r="A64" s="145" t="s">
        <v>1582</v>
      </c>
      <c r="B64" s="145"/>
      <c r="C64" s="145"/>
      <c r="D64" s="145"/>
      <c r="E64" s="145"/>
      <c r="F64" s="78"/>
      <c r="G64" t="s">
        <v>1583</v>
      </c>
    </row>
    <row r="65" spans="1:14" ht="16.2" thickBot="1" x14ac:dyDescent="0.35">
      <c r="A65" s="32" t="s">
        <v>0</v>
      </c>
      <c r="B65" s="32" t="s">
        <v>1584</v>
      </c>
      <c r="C65" s="56"/>
      <c r="D65" s="59" t="s">
        <v>2</v>
      </c>
      <c r="E65" s="59" t="s">
        <v>3</v>
      </c>
      <c r="F65" s="78"/>
      <c r="G65" s="60" t="s">
        <v>1585</v>
      </c>
      <c r="H65" s="61" t="s">
        <v>1586</v>
      </c>
      <c r="I65" s="74"/>
      <c r="J65" s="74"/>
      <c r="K65" s="74"/>
      <c r="L65" s="74"/>
      <c r="M65" s="74"/>
      <c r="N65" s="74"/>
    </row>
    <row r="66" spans="1:14" x14ac:dyDescent="0.3">
      <c r="A66" s="65"/>
      <c r="B66" s="65" t="s">
        <v>1587</v>
      </c>
      <c r="C66" s="65"/>
      <c r="D66" s="81"/>
      <c r="E66" s="81"/>
      <c r="F66" s="78"/>
      <c r="G66" s="62" t="s">
        <v>1587</v>
      </c>
      <c r="H66" s="80"/>
      <c r="I66" s="74"/>
      <c r="J66" s="74"/>
      <c r="K66" s="74"/>
      <c r="L66" s="74"/>
      <c r="M66" s="74"/>
      <c r="N66" s="74"/>
    </row>
    <row r="67" spans="1:14" x14ac:dyDescent="0.3">
      <c r="A67" t="s">
        <v>1588</v>
      </c>
      <c r="B67" t="s">
        <v>1589</v>
      </c>
      <c r="C67" s="56"/>
      <c r="D67" s="42">
        <v>1563.2166666666667</v>
      </c>
      <c r="E67" s="58">
        <f>D67*$H$11</f>
        <v>781.60833333333335</v>
      </c>
      <c r="F67" s="78"/>
      <c r="G67" s="62" t="s">
        <v>1590</v>
      </c>
      <c r="H67" s="63"/>
      <c r="I67" s="74"/>
      <c r="J67" s="74"/>
      <c r="K67" s="74"/>
      <c r="L67" s="74"/>
      <c r="M67" s="74"/>
      <c r="N67" s="74"/>
    </row>
    <row r="68" spans="1:14" x14ac:dyDescent="0.3">
      <c r="A68" t="s">
        <v>1591</v>
      </c>
      <c r="B68" t="s">
        <v>1592</v>
      </c>
      <c r="C68" s="56"/>
      <c r="D68" s="42">
        <v>3398.9666666666672</v>
      </c>
      <c r="E68" s="58">
        <f>D68*$H$11</f>
        <v>1699.4833333333336</v>
      </c>
      <c r="F68" s="78"/>
      <c r="G68" s="62" t="s">
        <v>1593</v>
      </c>
      <c r="H68" s="63"/>
      <c r="I68" s="74"/>
      <c r="J68" s="74"/>
      <c r="K68" s="74"/>
      <c r="L68" s="74"/>
      <c r="M68" s="74"/>
      <c r="N68" s="74"/>
    </row>
    <row r="69" spans="1:14" x14ac:dyDescent="0.3">
      <c r="A69" t="s">
        <v>1594</v>
      </c>
      <c r="B69" t="s">
        <v>1385</v>
      </c>
      <c r="C69" s="56"/>
      <c r="D69" s="42">
        <v>5807.6533333333346</v>
      </c>
      <c r="E69" s="58">
        <f>D69*$H$11</f>
        <v>2903.8266666666673</v>
      </c>
      <c r="F69" s="78"/>
      <c r="G69" s="62" t="s">
        <v>1595</v>
      </c>
      <c r="H69" s="63"/>
      <c r="I69" s="74"/>
      <c r="J69" s="74"/>
      <c r="K69" s="74"/>
      <c r="L69" s="74"/>
      <c r="M69" s="74"/>
      <c r="N69" s="74"/>
    </row>
    <row r="70" spans="1:14" x14ac:dyDescent="0.3">
      <c r="A70" t="s">
        <v>1596</v>
      </c>
      <c r="B70" t="s">
        <v>1387</v>
      </c>
      <c r="C70" s="56"/>
      <c r="D70" s="42">
        <v>0</v>
      </c>
      <c r="E70" s="58">
        <f>D70*$H$11</f>
        <v>0</v>
      </c>
      <c r="F70" s="78"/>
      <c r="G70" s="62" t="s">
        <v>1597</v>
      </c>
      <c r="H70" s="63"/>
      <c r="I70" s="74"/>
      <c r="J70" s="74"/>
      <c r="K70" s="74"/>
      <c r="L70" s="74"/>
      <c r="M70" s="74"/>
      <c r="N70" s="74"/>
    </row>
    <row r="71" spans="1:14" x14ac:dyDescent="0.3">
      <c r="A71" s="65"/>
      <c r="B71" s="65" t="s">
        <v>1590</v>
      </c>
      <c r="C71" s="65"/>
      <c r="D71" s="65"/>
      <c r="E71" s="81"/>
      <c r="F71" s="78"/>
      <c r="I71" s="66"/>
      <c r="J71" s="66"/>
      <c r="K71" s="66"/>
      <c r="L71" s="66"/>
      <c r="M71" s="66"/>
      <c r="N71" s="66"/>
    </row>
    <row r="72" spans="1:14" x14ac:dyDescent="0.3">
      <c r="B72" t="s">
        <v>1598</v>
      </c>
      <c r="D72" s="42">
        <v>0</v>
      </c>
      <c r="E72" s="58">
        <f t="shared" ref="E72:E79" si="2">D72*$H$11</f>
        <v>0</v>
      </c>
      <c r="F72" s="78"/>
    </row>
    <row r="73" spans="1:14" x14ac:dyDescent="0.3">
      <c r="A73" t="s">
        <v>1599</v>
      </c>
      <c r="B73" t="s">
        <v>1600</v>
      </c>
      <c r="D73" s="42">
        <v>4710.416666666667</v>
      </c>
      <c r="E73" s="58">
        <f t="shared" si="2"/>
        <v>2355.2083333333335</v>
      </c>
      <c r="F73" s="78"/>
    </row>
    <row r="74" spans="1:14" x14ac:dyDescent="0.3">
      <c r="A74" t="s">
        <v>1601</v>
      </c>
      <c r="B74" t="s">
        <v>1602</v>
      </c>
      <c r="D74" s="42">
        <v>2146.85</v>
      </c>
      <c r="E74" s="58">
        <f t="shared" si="2"/>
        <v>1073.425</v>
      </c>
      <c r="F74" s="78"/>
    </row>
    <row r="75" spans="1:14" x14ac:dyDescent="0.3">
      <c r="A75" t="s">
        <v>1603</v>
      </c>
      <c r="B75" t="s">
        <v>1604</v>
      </c>
      <c r="D75" s="42">
        <v>3205.7000000000003</v>
      </c>
      <c r="E75" s="58">
        <f t="shared" si="2"/>
        <v>1602.8500000000001</v>
      </c>
      <c r="F75" s="78"/>
    </row>
    <row r="76" spans="1:14" x14ac:dyDescent="0.3">
      <c r="A76" t="s">
        <v>1605</v>
      </c>
      <c r="B76" t="s">
        <v>1606</v>
      </c>
      <c r="D76" s="42">
        <v>4854.2333333333336</v>
      </c>
      <c r="E76" s="58">
        <f t="shared" si="2"/>
        <v>2427.1166666666668</v>
      </c>
      <c r="F76" s="78"/>
    </row>
    <row r="77" spans="1:14" x14ac:dyDescent="0.3">
      <c r="A77" t="s">
        <v>1607</v>
      </c>
      <c r="B77" t="s">
        <v>1608</v>
      </c>
      <c r="D77" s="42">
        <v>3324.75</v>
      </c>
      <c r="E77" s="58">
        <f t="shared" si="2"/>
        <v>1662.375</v>
      </c>
      <c r="F77" s="78"/>
    </row>
    <row r="78" spans="1:14" x14ac:dyDescent="0.3">
      <c r="A78" t="s">
        <v>1609</v>
      </c>
      <c r="B78" t="s">
        <v>1610</v>
      </c>
      <c r="D78" s="42">
        <v>4666.9666666666662</v>
      </c>
      <c r="E78" s="58">
        <f t="shared" si="2"/>
        <v>2333.4833333333331</v>
      </c>
      <c r="F78" s="78"/>
    </row>
    <row r="79" spans="1:14" x14ac:dyDescent="0.3">
      <c r="A79" t="s">
        <v>1611</v>
      </c>
      <c r="B79" t="s">
        <v>1612</v>
      </c>
      <c r="D79" s="42">
        <v>6171.0666666666666</v>
      </c>
      <c r="E79" s="58">
        <f t="shared" si="2"/>
        <v>3085.5333333333333</v>
      </c>
      <c r="F79" s="78"/>
    </row>
    <row r="80" spans="1:14" x14ac:dyDescent="0.3">
      <c r="A80" s="65"/>
      <c r="B80" s="65" t="s">
        <v>1593</v>
      </c>
      <c r="C80" s="65"/>
      <c r="D80" s="81"/>
      <c r="E80" s="81"/>
      <c r="F80" s="78"/>
    </row>
    <row r="81" spans="1:6" x14ac:dyDescent="0.3">
      <c r="B81" t="s">
        <v>1613</v>
      </c>
      <c r="C81"/>
      <c r="D81" s="58">
        <v>0</v>
      </c>
      <c r="E81" s="58">
        <f>D81*$H$11</f>
        <v>0</v>
      </c>
      <c r="F81" s="78"/>
    </row>
    <row r="82" spans="1:6" x14ac:dyDescent="0.3">
      <c r="A82" t="s">
        <v>1614</v>
      </c>
      <c r="B82" t="s">
        <v>1615</v>
      </c>
      <c r="D82" s="58">
        <v>3082.9833333333336</v>
      </c>
      <c r="E82" s="58">
        <f>D82*$H$11</f>
        <v>1541.4916666666668</v>
      </c>
      <c r="F82" s="78"/>
    </row>
    <row r="83" spans="1:6" x14ac:dyDescent="0.3">
      <c r="A83" s="65"/>
      <c r="B83" s="65" t="s">
        <v>1595</v>
      </c>
      <c r="C83" s="65"/>
      <c r="D83" s="81"/>
      <c r="E83" s="81"/>
      <c r="F83" s="78"/>
    </row>
    <row r="84" spans="1:6" x14ac:dyDescent="0.3">
      <c r="B84" t="s">
        <v>1613</v>
      </c>
      <c r="C84"/>
      <c r="D84" s="43">
        <v>0</v>
      </c>
      <c r="E84" s="58">
        <f>D84*$H$11</f>
        <v>0</v>
      </c>
      <c r="F84" s="78"/>
    </row>
    <row r="85" spans="1:6" x14ac:dyDescent="0.3">
      <c r="A85" t="s">
        <v>1616</v>
      </c>
      <c r="B85" t="s">
        <v>1617</v>
      </c>
      <c r="D85" s="43">
        <v>5661.2</v>
      </c>
      <c r="E85" s="58">
        <f>D85*$H$11</f>
        <v>2830.6</v>
      </c>
      <c r="F85" s="78"/>
    </row>
    <row r="86" spans="1:6" x14ac:dyDescent="0.3">
      <c r="A86" t="s">
        <v>1618</v>
      </c>
      <c r="B86" t="s">
        <v>1619</v>
      </c>
      <c r="D86" s="43">
        <v>30796.98</v>
      </c>
      <c r="E86" s="58">
        <f>D86*$H$11</f>
        <v>15398.49</v>
      </c>
      <c r="F86" s="78"/>
    </row>
    <row r="87" spans="1:6" x14ac:dyDescent="0.3">
      <c r="A87" t="s">
        <v>1620</v>
      </c>
      <c r="B87" t="s">
        <v>1621</v>
      </c>
      <c r="D87" s="43">
        <v>43025.2</v>
      </c>
      <c r="E87" s="58">
        <f>D87*$H$11</f>
        <v>21512.6</v>
      </c>
      <c r="F87" s="78"/>
    </row>
    <row r="88" spans="1:6" x14ac:dyDescent="0.3">
      <c r="A88" s="65"/>
      <c r="B88" s="65" t="s">
        <v>1622</v>
      </c>
      <c r="C88" s="65"/>
      <c r="D88" s="81"/>
      <c r="E88" s="81"/>
      <c r="F88" s="78"/>
    </row>
    <row r="89" spans="1:6" x14ac:dyDescent="0.3">
      <c r="B89" t="s">
        <v>1613</v>
      </c>
      <c r="C89"/>
      <c r="D89" s="42">
        <v>0</v>
      </c>
      <c r="E89" s="58">
        <f>D89*$H$11</f>
        <v>0</v>
      </c>
      <c r="F89" s="78"/>
    </row>
    <row r="90" spans="1:6" x14ac:dyDescent="0.3">
      <c r="A90" t="s">
        <v>1623</v>
      </c>
      <c r="B90" t="s">
        <v>1624</v>
      </c>
      <c r="D90" s="42">
        <v>420</v>
      </c>
      <c r="E90" s="58">
        <f>D90*$H$11</f>
        <v>210</v>
      </c>
      <c r="F90" s="78"/>
    </row>
    <row r="91" spans="1:6" x14ac:dyDescent="0.3">
      <c r="A91" t="s">
        <v>1625</v>
      </c>
      <c r="B91" t="s">
        <v>1626</v>
      </c>
      <c r="D91" s="42">
        <v>1488.9333333333334</v>
      </c>
      <c r="E91" s="58">
        <f>D91*$H$11</f>
        <v>744.4666666666667</v>
      </c>
      <c r="F91" s="78"/>
    </row>
    <row r="92" spans="1:6" x14ac:dyDescent="0.3">
      <c r="A92" s="65"/>
      <c r="B92" s="65" t="s">
        <v>1627</v>
      </c>
      <c r="C92" s="65"/>
      <c r="D92" s="81"/>
      <c r="E92" s="81"/>
      <c r="F92" s="78"/>
    </row>
    <row r="93" spans="1:6" x14ac:dyDescent="0.3">
      <c r="B93" t="s">
        <v>1613</v>
      </c>
      <c r="C93"/>
      <c r="D93" s="42">
        <v>0</v>
      </c>
      <c r="E93" s="58">
        <f>D93*$H$11</f>
        <v>0</v>
      </c>
      <c r="F93" s="78"/>
    </row>
    <row r="94" spans="1:6" x14ac:dyDescent="0.3">
      <c r="A94" t="s">
        <v>1628</v>
      </c>
      <c r="B94" t="s">
        <v>1629</v>
      </c>
      <c r="D94" s="58">
        <v>25000</v>
      </c>
      <c r="E94" s="58">
        <f>D94*$H$11</f>
        <v>12500</v>
      </c>
      <c r="F94" s="78"/>
    </row>
    <row r="95" spans="1:6" x14ac:dyDescent="0.3">
      <c r="A95" t="s">
        <v>1630</v>
      </c>
      <c r="B95" t="s">
        <v>1631</v>
      </c>
      <c r="D95" s="43">
        <v>50000</v>
      </c>
      <c r="E95" s="58">
        <f>D95*$H$11</f>
        <v>25000</v>
      </c>
      <c r="F95" s="78"/>
    </row>
    <row r="96" spans="1:6" x14ac:dyDescent="0.3">
      <c r="A96" t="s">
        <v>1632</v>
      </c>
      <c r="B96" t="s">
        <v>1633</v>
      </c>
      <c r="D96" s="43">
        <v>75000</v>
      </c>
      <c r="E96" s="58">
        <f>D96*$H$11</f>
        <v>37500</v>
      </c>
      <c r="F96" s="78"/>
    </row>
    <row r="97" spans="1:6" x14ac:dyDescent="0.3">
      <c r="A97" s="65"/>
      <c r="B97" s="65"/>
      <c r="C97" s="65"/>
      <c r="D97" s="65"/>
      <c r="E97" s="65"/>
      <c r="F97" s="78"/>
    </row>
    <row r="98" spans="1:6" x14ac:dyDescent="0.3">
      <c r="A98" s="32" t="s">
        <v>1634</v>
      </c>
      <c r="D98" s="59" t="s">
        <v>2</v>
      </c>
      <c r="E98" s="59" t="s">
        <v>3</v>
      </c>
      <c r="F98" s="78"/>
    </row>
    <row r="99" spans="1:6" x14ac:dyDescent="0.3">
      <c r="A99" t="s">
        <v>1635</v>
      </c>
      <c r="B99" t="s">
        <v>1636</v>
      </c>
      <c r="D99" s="58">
        <v>3000</v>
      </c>
      <c r="E99" s="58">
        <f>D99*(1-0.5)</f>
        <v>1500</v>
      </c>
      <c r="F99" s="78"/>
    </row>
    <row r="100" spans="1:6" x14ac:dyDescent="0.3">
      <c r="A100" t="s">
        <v>1637</v>
      </c>
      <c r="B100" t="s">
        <v>1638</v>
      </c>
      <c r="D100" s="42">
        <v>1000</v>
      </c>
      <c r="E100" s="58">
        <f>D100*(1-0.5)</f>
        <v>500</v>
      </c>
      <c r="F100" s="78"/>
    </row>
  </sheetData>
  <mergeCells count="1">
    <mergeCell ref="A64:E64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3315F-F1CB-45C6-8988-EB2592648E92}">
  <dimension ref="A1:AO685"/>
  <sheetViews>
    <sheetView zoomScale="71" zoomScaleNormal="71" workbookViewId="0">
      <pane ySplit="1" topLeftCell="A634" activePane="bottomLeft" state="frozen"/>
      <selection pane="bottomLeft" activeCell="D670" sqref="D670"/>
    </sheetView>
  </sheetViews>
  <sheetFormatPr defaultColWidth="11" defaultRowHeight="15.6" x14ac:dyDescent="0.3"/>
  <cols>
    <col min="1" max="1" width="19.796875" customWidth="1"/>
    <col min="2" max="2" width="57.796875" customWidth="1"/>
    <col min="3" max="3" width="23.8984375" customWidth="1"/>
    <col min="4" max="4" width="18.69921875" style="42" bestFit="1" customWidth="1"/>
    <col min="5" max="5" width="20.296875" bestFit="1" customWidth="1"/>
    <col min="7" max="7" width="31.69921875" bestFit="1" customWidth="1"/>
    <col min="8" max="8" width="31.69921875" customWidth="1"/>
    <col min="9" max="9" width="11.8984375" customWidth="1"/>
    <col min="10" max="10" width="13" bestFit="1" customWidth="1"/>
    <col min="11" max="11" width="23.296875" hidden="1" customWidth="1"/>
    <col min="12" max="12" width="12.3984375" hidden="1" customWidth="1"/>
    <col min="13" max="13" width="13.09765625" hidden="1" customWidth="1"/>
    <col min="14" max="14" width="13.69921875" hidden="1" customWidth="1"/>
    <col min="15" max="16" width="13.09765625" hidden="1" customWidth="1"/>
    <col min="17" max="19" width="12.69921875" hidden="1" customWidth="1"/>
    <col min="20" max="20" width="16.8984375" hidden="1" customWidth="1"/>
    <col min="21" max="21" width="43.796875" hidden="1" customWidth="1"/>
    <col min="22" max="22" width="14.09765625" hidden="1" customWidth="1"/>
    <col min="23" max="23" width="13.3984375" hidden="1" customWidth="1"/>
    <col min="24" max="24" width="12.3984375" hidden="1" customWidth="1"/>
    <col min="25" max="25" width="24.8984375" hidden="1" customWidth="1"/>
    <col min="26" max="26" width="2.796875" hidden="1" customWidth="1"/>
    <col min="27" max="27" width="2.296875" hidden="1" customWidth="1"/>
    <col min="29" max="29" width="11.3984375" hidden="1" customWidth="1"/>
    <col min="30" max="33" width="0" hidden="1" customWidth="1"/>
    <col min="34" max="34" width="11.3984375" hidden="1" customWidth="1"/>
    <col min="35" max="35" width="12.09765625" hidden="1" customWidth="1"/>
    <col min="36" max="36" width="13.69921875" bestFit="1" customWidth="1"/>
  </cols>
  <sheetData>
    <row r="1" spans="1:41" s="32" customFormat="1" ht="23.4" x14ac:dyDescent="0.45">
      <c r="A1" s="113" t="s">
        <v>0</v>
      </c>
      <c r="B1" s="113" t="s">
        <v>1</v>
      </c>
      <c r="C1" s="114"/>
      <c r="D1" s="118" t="s">
        <v>2</v>
      </c>
      <c r="E1" s="113" t="s">
        <v>3</v>
      </c>
      <c r="K1" s="68" t="s">
        <v>4</v>
      </c>
      <c r="L1" s="68"/>
      <c r="M1" s="68"/>
      <c r="N1" s="68"/>
      <c r="O1" s="68"/>
      <c r="P1" s="68"/>
      <c r="Q1" s="68"/>
      <c r="R1" s="68"/>
      <c r="S1" s="68"/>
      <c r="T1" s="69"/>
      <c r="U1" s="126" t="s">
        <v>5</v>
      </c>
      <c r="V1" s="127"/>
      <c r="X1" s="69"/>
      <c r="Y1" s="69"/>
      <c r="Z1" s="69"/>
      <c r="AA1" s="69"/>
      <c r="AB1" s="69"/>
      <c r="AC1" s="68"/>
      <c r="AD1" s="68"/>
      <c r="AE1" s="68"/>
      <c r="AL1" s="73"/>
      <c r="AM1" s="73"/>
      <c r="AN1" s="73"/>
      <c r="AO1" s="73"/>
    </row>
    <row r="2" spans="1:41" x14ac:dyDescent="0.3">
      <c r="A2" t="s">
        <v>6</v>
      </c>
      <c r="B2" s="70" t="s">
        <v>7</v>
      </c>
      <c r="D2" s="42">
        <f>'2025_03_28 Boom Pricing'!$E$4+'2025_03_28 Boom Pricing'!$E$23+'2025_03_28 Boom Pricing'!$E$38+'2025_03_28 Boom Pricing'!$E$46</f>
        <v>32984.453333333338</v>
      </c>
      <c r="E2" s="58">
        <f>D2*(1-0.5)</f>
        <v>16492.226666666669</v>
      </c>
      <c r="G2" s="106" t="s">
        <v>8</v>
      </c>
      <c r="H2" s="106" t="s">
        <v>0</v>
      </c>
      <c r="I2" s="32"/>
      <c r="J2" s="108" t="s">
        <v>9</v>
      </c>
      <c r="L2" t="s">
        <v>10</v>
      </c>
      <c r="M2" t="s">
        <v>11</v>
      </c>
      <c r="U2" s="129" t="s">
        <v>12</v>
      </c>
      <c r="V2" s="130"/>
    </row>
    <row r="3" spans="1:41" x14ac:dyDescent="0.3">
      <c r="A3" t="s">
        <v>13</v>
      </c>
      <c r="B3" t="s">
        <v>14</v>
      </c>
      <c r="D3" s="42">
        <f>'2025_03_28 Boom Pricing'!$E$4+'2025_03_28 Boom Pricing'!$E$23+'2025_03_28 Boom Pricing'!$E$39+'2025_03_28 Boom Pricing'!$E$46</f>
        <v>32984.453333333338</v>
      </c>
      <c r="E3" s="58">
        <f t="shared" ref="E3:E66" si="0">D3*(1-0.5)</f>
        <v>16492.226666666669</v>
      </c>
      <c r="G3" s="7" t="s">
        <v>15</v>
      </c>
      <c r="H3" s="7" t="s">
        <v>16</v>
      </c>
      <c r="J3" s="107">
        <v>0.5</v>
      </c>
      <c r="K3" s="71" t="s">
        <v>17</v>
      </c>
      <c r="L3" s="11" t="s">
        <v>18</v>
      </c>
      <c r="M3" s="4"/>
      <c r="N3" s="4">
        <v>600</v>
      </c>
      <c r="O3" s="4">
        <v>800</v>
      </c>
      <c r="P3" s="4">
        <v>1000</v>
      </c>
      <c r="Q3" s="4">
        <v>1200</v>
      </c>
      <c r="R3" s="4">
        <v>1400</v>
      </c>
      <c r="S3" s="4">
        <v>1600</v>
      </c>
      <c r="U3" s="22" t="s">
        <v>19</v>
      </c>
      <c r="V3" s="20">
        <v>0</v>
      </c>
      <c r="Y3" s="128" t="s">
        <v>20</v>
      </c>
      <c r="Z3" s="128"/>
      <c r="AA3" s="128"/>
      <c r="AC3" s="4" t="s">
        <v>21</v>
      </c>
      <c r="AD3" s="4">
        <v>600</v>
      </c>
      <c r="AE3" s="4">
        <v>800</v>
      </c>
      <c r="AF3" s="4">
        <v>1000</v>
      </c>
      <c r="AG3" s="4">
        <v>1200</v>
      </c>
      <c r="AH3" s="4">
        <v>1400</v>
      </c>
      <c r="AI3" s="4">
        <v>1600</v>
      </c>
    </row>
    <row r="4" spans="1:41" x14ac:dyDescent="0.3">
      <c r="A4" t="s">
        <v>22</v>
      </c>
      <c r="B4" t="s">
        <v>23</v>
      </c>
      <c r="D4" s="42">
        <f>'2025_03_28 Boom Pricing'!$E$4+'2025_03_28 Boom Pricing'!$E$23+'2025_03_28 Boom Pricing'!$E$40+'2025_03_28 Boom Pricing'!$E$46</f>
        <v>32984.453333333338</v>
      </c>
      <c r="E4" s="58">
        <f t="shared" si="0"/>
        <v>16492.226666666669</v>
      </c>
      <c r="G4" s="7" t="s">
        <v>24</v>
      </c>
      <c r="H4" s="7" t="s">
        <v>25</v>
      </c>
      <c r="K4" t="s">
        <v>26</v>
      </c>
      <c r="L4" s="1">
        <v>35398.800000000003</v>
      </c>
      <c r="M4" s="2">
        <v>200</v>
      </c>
      <c r="N4" s="1">
        <f>SUM($L$4+AD4)</f>
        <v>35398.800000000003</v>
      </c>
      <c r="O4" s="1">
        <f t="shared" ref="O4:Q8" si="1">SUM($L$4+AE4)</f>
        <v>35398.800000000003</v>
      </c>
      <c r="P4" s="1">
        <f t="shared" si="1"/>
        <v>35398.800000000003</v>
      </c>
      <c r="Q4" s="1">
        <f t="shared" si="1"/>
        <v>35398.800000000003</v>
      </c>
      <c r="R4" s="33" t="s">
        <v>27</v>
      </c>
      <c r="S4" s="34" t="s">
        <v>27</v>
      </c>
      <c r="U4" s="22" t="s">
        <v>28</v>
      </c>
      <c r="V4" s="21">
        <v>251.81</v>
      </c>
      <c r="Y4" s="7" t="s">
        <v>29</v>
      </c>
      <c r="Z4" s="10"/>
      <c r="AA4" s="7" t="s">
        <v>30</v>
      </c>
      <c r="AC4" s="2">
        <v>200</v>
      </c>
      <c r="AH4">
        <v>1591.55</v>
      </c>
      <c r="AI4">
        <v>3291.97</v>
      </c>
    </row>
    <row r="5" spans="1:41" x14ac:dyDescent="0.3">
      <c r="A5" s="48" t="s">
        <v>31</v>
      </c>
      <c r="B5" s="48" t="s">
        <v>32</v>
      </c>
      <c r="C5" s="48"/>
      <c r="D5" s="119">
        <f>'2025_03_28 Boom Pricing'!$E$4+'2025_03_28 Boom Pricing'!$E$23+'2025_03_28 Boom Pricing'!$E$41+'2025_03_28 Boom Pricing'!$E$46</f>
        <v>32984.453333333338</v>
      </c>
      <c r="E5" s="117">
        <f t="shared" si="0"/>
        <v>16492.226666666669</v>
      </c>
      <c r="G5" s="7" t="s">
        <v>33</v>
      </c>
      <c r="H5" s="7" t="s">
        <v>34</v>
      </c>
      <c r="K5" s="6" t="s">
        <v>35</v>
      </c>
      <c r="M5" s="2">
        <v>400</v>
      </c>
      <c r="N5" s="1">
        <f>SUM($L$4+AD5)</f>
        <v>37373.710000000006</v>
      </c>
      <c r="O5" s="1">
        <f t="shared" si="1"/>
        <v>37373.710000000006</v>
      </c>
      <c r="P5" s="1">
        <f t="shared" si="1"/>
        <v>37373.710000000006</v>
      </c>
      <c r="Q5" s="1">
        <f t="shared" si="1"/>
        <v>37373.710000000006</v>
      </c>
      <c r="R5" s="35" t="s">
        <v>27</v>
      </c>
      <c r="S5" s="35" t="s">
        <v>27</v>
      </c>
      <c r="U5" s="23" t="s">
        <v>36</v>
      </c>
      <c r="V5" s="18">
        <v>493.73</v>
      </c>
      <c r="Y5" s="7" t="s">
        <v>37</v>
      </c>
      <c r="Z5" s="8"/>
      <c r="AA5" s="131" t="s">
        <v>38</v>
      </c>
      <c r="AC5" s="2">
        <v>400</v>
      </c>
      <c r="AD5" s="3">
        <v>1974.91</v>
      </c>
      <c r="AE5" s="3">
        <v>1974.91</v>
      </c>
      <c r="AF5" s="3">
        <v>1974.91</v>
      </c>
      <c r="AG5" s="1">
        <v>1974.91</v>
      </c>
      <c r="AH5" s="5">
        <f>SUM(1974.91+1591.95)</f>
        <v>3566.86</v>
      </c>
      <c r="AI5" s="5">
        <f>SUM(3291.97+1974.91)</f>
        <v>5266.88</v>
      </c>
    </row>
    <row r="6" spans="1:41" x14ac:dyDescent="0.3">
      <c r="A6" t="s">
        <v>39</v>
      </c>
      <c r="B6" s="70" t="s">
        <v>40</v>
      </c>
      <c r="D6" s="42">
        <f>'2025_03_28 Boom Pricing'!$E$4+'2025_03_28 Boom Pricing'!$E$24+'2025_03_28 Boom Pricing'!$E$38+'2025_03_28 Boom Pricing'!$E$46</f>
        <v>34959.360000000001</v>
      </c>
      <c r="E6" s="58">
        <f t="shared" si="0"/>
        <v>17479.68</v>
      </c>
      <c r="G6" s="7" t="s">
        <v>1639</v>
      </c>
      <c r="H6" s="7" t="s">
        <v>1640</v>
      </c>
      <c r="M6" s="2">
        <v>600</v>
      </c>
      <c r="N6" s="1">
        <f>SUM($L$4+AD6)</f>
        <v>39353.550000000003</v>
      </c>
      <c r="O6" s="1">
        <f t="shared" si="1"/>
        <v>39353.550000000003</v>
      </c>
      <c r="P6" s="1">
        <f t="shared" si="1"/>
        <v>39353.550000000003</v>
      </c>
      <c r="Q6" s="1">
        <f t="shared" si="1"/>
        <v>39353.550000000003</v>
      </c>
      <c r="R6" s="35" t="s">
        <v>27</v>
      </c>
      <c r="S6" s="35" t="s">
        <v>27</v>
      </c>
      <c r="U6" s="129" t="s">
        <v>43</v>
      </c>
      <c r="V6" s="130"/>
      <c r="Y6" s="7" t="s">
        <v>44</v>
      </c>
      <c r="Z6" s="9"/>
      <c r="AA6" s="132"/>
      <c r="AC6" s="2">
        <v>600</v>
      </c>
      <c r="AD6" s="3">
        <v>3954.75</v>
      </c>
      <c r="AE6" s="3">
        <v>3954.75</v>
      </c>
      <c r="AF6" s="3">
        <v>3954.75</v>
      </c>
      <c r="AG6" s="3">
        <v>3954.75</v>
      </c>
      <c r="AH6" s="5">
        <f>SUM(3954.75+1591.55)</f>
        <v>5546.3</v>
      </c>
      <c r="AI6" s="5">
        <f>SUM(3291.97+3954.75)</f>
        <v>7246.7199999999993</v>
      </c>
    </row>
    <row r="7" spans="1:41" x14ac:dyDescent="0.3">
      <c r="A7" t="s">
        <v>45</v>
      </c>
      <c r="B7" t="s">
        <v>46</v>
      </c>
      <c r="D7" s="42">
        <f>'2025_03_28 Boom Pricing'!$E$4+'2025_03_28 Boom Pricing'!$E$24+'2025_03_28 Boom Pricing'!$E$39+'2025_03_28 Boom Pricing'!$E$46</f>
        <v>34959.360000000001</v>
      </c>
      <c r="E7" s="58">
        <f t="shared" si="0"/>
        <v>17479.68</v>
      </c>
      <c r="G7" s="7" t="s">
        <v>1641</v>
      </c>
      <c r="H7" s="7" t="s">
        <v>1642</v>
      </c>
      <c r="M7" s="2">
        <v>800</v>
      </c>
      <c r="N7" s="1">
        <f>SUM($L$4+AD7)</f>
        <v>41392.670000000006</v>
      </c>
      <c r="O7" s="1">
        <f t="shared" si="1"/>
        <v>41392.670000000006</v>
      </c>
      <c r="P7" s="1">
        <f t="shared" si="1"/>
        <v>41392.670000000006</v>
      </c>
      <c r="Q7" s="1">
        <f t="shared" si="1"/>
        <v>41392.670000000006</v>
      </c>
      <c r="R7" s="35" t="s">
        <v>27</v>
      </c>
      <c r="S7" s="35" t="s">
        <v>27</v>
      </c>
      <c r="U7" s="22" t="s">
        <v>19</v>
      </c>
      <c r="V7" s="20">
        <v>0</v>
      </c>
      <c r="Y7" s="7" t="s">
        <v>49</v>
      </c>
      <c r="Z7" s="13"/>
      <c r="AA7" s="7" t="s">
        <v>50</v>
      </c>
      <c r="AC7" s="2">
        <v>800</v>
      </c>
      <c r="AD7" s="3">
        <v>5993.87</v>
      </c>
      <c r="AE7" s="1">
        <v>5993.87</v>
      </c>
      <c r="AF7" s="1">
        <v>5993.87</v>
      </c>
      <c r="AG7" s="1">
        <v>5993.87</v>
      </c>
      <c r="AH7" s="5">
        <f>SUM(5993.87+1591.55)</f>
        <v>7585.42</v>
      </c>
      <c r="AI7" s="5">
        <f>SUM(5993.87+3291.97)</f>
        <v>9285.84</v>
      </c>
    </row>
    <row r="8" spans="1:41" x14ac:dyDescent="0.3">
      <c r="A8" t="s">
        <v>51</v>
      </c>
      <c r="B8" t="s">
        <v>52</v>
      </c>
      <c r="D8" s="42">
        <f>'2025_03_28 Boom Pricing'!$E$4+'2025_03_28 Boom Pricing'!$E$24+'2025_03_28 Boom Pricing'!$E$40+'2025_03_28 Boom Pricing'!$E$46</f>
        <v>34959.360000000001</v>
      </c>
      <c r="E8" s="58">
        <f t="shared" si="0"/>
        <v>17479.68</v>
      </c>
      <c r="G8" s="7" t="s">
        <v>47</v>
      </c>
      <c r="H8" s="7" t="s">
        <v>48</v>
      </c>
      <c r="M8" s="2">
        <v>1000</v>
      </c>
      <c r="N8" s="1">
        <f>SUM($L$4+AD8)</f>
        <v>43426.83</v>
      </c>
      <c r="O8" s="1">
        <f t="shared" si="1"/>
        <v>43426.83</v>
      </c>
      <c r="P8" s="1">
        <f t="shared" si="1"/>
        <v>43426.83</v>
      </c>
      <c r="Q8" s="1">
        <f t="shared" si="1"/>
        <v>43426.83</v>
      </c>
      <c r="R8" s="35" t="s">
        <v>27</v>
      </c>
      <c r="S8" s="35" t="s">
        <v>27</v>
      </c>
      <c r="U8" s="22" t="s">
        <v>28</v>
      </c>
      <c r="V8" s="21">
        <v>508.53</v>
      </c>
      <c r="Y8" s="7" t="s">
        <v>55</v>
      </c>
      <c r="Z8" s="14"/>
      <c r="AA8" s="7" t="s">
        <v>56</v>
      </c>
      <c r="AC8" s="2">
        <v>1000</v>
      </c>
      <c r="AD8" s="3">
        <v>8028.03</v>
      </c>
      <c r="AE8" s="1">
        <v>8028.03</v>
      </c>
      <c r="AF8" s="1">
        <v>8028.03</v>
      </c>
      <c r="AG8" s="1">
        <v>8028.03</v>
      </c>
      <c r="AH8" s="5">
        <v>9619.58</v>
      </c>
      <c r="AI8" s="5">
        <v>11320</v>
      </c>
    </row>
    <row r="9" spans="1:41" x14ac:dyDescent="0.3">
      <c r="A9" s="48" t="s">
        <v>57</v>
      </c>
      <c r="B9" s="48" t="s">
        <v>58</v>
      </c>
      <c r="C9" s="48"/>
      <c r="D9" s="119">
        <f>'2025_03_28 Boom Pricing'!$E$4+'2025_03_28 Boom Pricing'!$E$24+'2025_03_28 Boom Pricing'!$E$41+'2025_03_28 Boom Pricing'!$E$46</f>
        <v>34959.360000000001</v>
      </c>
      <c r="E9" s="117">
        <f t="shared" si="0"/>
        <v>17479.68</v>
      </c>
      <c r="G9" s="7" t="s">
        <v>53</v>
      </c>
      <c r="H9" s="7" t="s">
        <v>54</v>
      </c>
      <c r="S9" s="1"/>
      <c r="U9" s="23" t="s">
        <v>36</v>
      </c>
      <c r="V9" s="19">
        <v>1214.5899999999999</v>
      </c>
      <c r="Y9" s="7" t="s">
        <v>61</v>
      </c>
      <c r="Z9" s="15"/>
      <c r="AA9" s="7" t="s">
        <v>62</v>
      </c>
    </row>
    <row r="10" spans="1:41" x14ac:dyDescent="0.3">
      <c r="A10" t="s">
        <v>63</v>
      </c>
      <c r="B10" s="70" t="s">
        <v>64</v>
      </c>
      <c r="D10" s="42">
        <f>'2025_03_28 Boom Pricing'!$E$4+'2025_03_28 Boom Pricing'!$E$25+'2025_03_28 Boom Pricing'!$E$38+'2025_03_28 Boom Pricing'!$E$46</f>
        <v>36939.200000000004</v>
      </c>
      <c r="E10" s="58">
        <f t="shared" si="0"/>
        <v>18469.600000000002</v>
      </c>
      <c r="G10" s="7" t="s">
        <v>59</v>
      </c>
      <c r="H10" s="7" t="s">
        <v>60</v>
      </c>
      <c r="K10" s="4" t="s">
        <v>53</v>
      </c>
      <c r="L10" s="11" t="s">
        <v>67</v>
      </c>
      <c r="M10" s="4"/>
      <c r="N10" s="4">
        <v>600</v>
      </c>
      <c r="O10" s="4">
        <v>800</v>
      </c>
      <c r="P10" s="4">
        <v>1000</v>
      </c>
      <c r="Q10" s="4">
        <v>1200</v>
      </c>
      <c r="R10" s="4">
        <v>1400</v>
      </c>
      <c r="S10" s="4">
        <v>1600</v>
      </c>
      <c r="Y10" s="7" t="s">
        <v>68</v>
      </c>
      <c r="Z10" s="17"/>
      <c r="AA10" s="7" t="s">
        <v>69</v>
      </c>
    </row>
    <row r="11" spans="1:41" x14ac:dyDescent="0.3">
      <c r="A11" t="s">
        <v>70</v>
      </c>
      <c r="B11" t="s">
        <v>71</v>
      </c>
      <c r="D11" s="42">
        <f>'2025_03_28 Boom Pricing'!$E$4+'2025_03_28 Boom Pricing'!$E$25+'2025_03_28 Boom Pricing'!$E$39+'2025_03_28 Boom Pricing'!$E$46</f>
        <v>36939.200000000004</v>
      </c>
      <c r="E11" s="58">
        <f t="shared" si="0"/>
        <v>18469.600000000002</v>
      </c>
      <c r="G11" s="7" t="s">
        <v>65</v>
      </c>
      <c r="H11" s="7" t="s">
        <v>66</v>
      </c>
      <c r="K11" t="s">
        <v>26</v>
      </c>
      <c r="L11" s="5">
        <v>39326.43</v>
      </c>
      <c r="M11" s="2">
        <v>200</v>
      </c>
      <c r="N11" s="5">
        <f>SUM($L$11+AD4)</f>
        <v>39326.43</v>
      </c>
      <c r="O11" s="5">
        <f t="shared" ref="O11:S15" si="2">SUM($L$11+AE4)</f>
        <v>39326.43</v>
      </c>
      <c r="P11" s="5">
        <f t="shared" si="2"/>
        <v>39326.43</v>
      </c>
      <c r="Q11" s="5">
        <f t="shared" si="2"/>
        <v>39326.43</v>
      </c>
      <c r="R11" s="5">
        <f t="shared" si="2"/>
        <v>40917.980000000003</v>
      </c>
      <c r="S11" s="5">
        <f t="shared" si="2"/>
        <v>42618.400000000001</v>
      </c>
      <c r="Y11" s="121" t="s">
        <v>74</v>
      </c>
      <c r="Z11" s="122"/>
      <c r="AA11" s="123"/>
    </row>
    <row r="12" spans="1:41" x14ac:dyDescent="0.3">
      <c r="A12" t="s">
        <v>75</v>
      </c>
      <c r="B12" t="s">
        <v>76</v>
      </c>
      <c r="D12" s="42">
        <f>'2025_03_28 Boom Pricing'!$E$4+'2025_03_28 Boom Pricing'!$E$25+'2025_03_28 Boom Pricing'!$E$40+'2025_03_28 Boom Pricing'!$E$46</f>
        <v>36939.200000000004</v>
      </c>
      <c r="E12" s="58">
        <f t="shared" si="0"/>
        <v>18469.600000000002</v>
      </c>
      <c r="G12" s="7"/>
      <c r="H12" s="7"/>
      <c r="K12" s="6" t="s">
        <v>35</v>
      </c>
      <c r="M12" s="2">
        <v>400</v>
      </c>
      <c r="N12" s="5">
        <f>SUM($L$11+AD5)</f>
        <v>41301.340000000004</v>
      </c>
      <c r="O12" s="5">
        <f t="shared" si="2"/>
        <v>41301.340000000004</v>
      </c>
      <c r="P12" s="5">
        <f t="shared" si="2"/>
        <v>41301.340000000004</v>
      </c>
      <c r="Q12" s="5">
        <f t="shared" si="2"/>
        <v>41301.340000000004</v>
      </c>
      <c r="R12" s="5">
        <f t="shared" si="2"/>
        <v>42893.29</v>
      </c>
      <c r="S12" s="5">
        <f t="shared" si="2"/>
        <v>44593.31</v>
      </c>
      <c r="U12" s="124" t="s">
        <v>77</v>
      </c>
      <c r="V12" s="125"/>
      <c r="W12" s="28" t="s">
        <v>78</v>
      </c>
    </row>
    <row r="13" spans="1:41" x14ac:dyDescent="0.3">
      <c r="A13" s="48" t="s">
        <v>79</v>
      </c>
      <c r="B13" s="48" t="s">
        <v>80</v>
      </c>
      <c r="C13" s="48"/>
      <c r="D13" s="119">
        <f>'2025_03_28 Boom Pricing'!$E$4+'2025_03_28 Boom Pricing'!$E$25+'2025_03_28 Boom Pricing'!$E$41+'2025_03_28 Boom Pricing'!$E$46</f>
        <v>36939.200000000004</v>
      </c>
      <c r="E13" s="117">
        <f t="shared" si="0"/>
        <v>18469.600000000002</v>
      </c>
      <c r="G13" s="7"/>
      <c r="H13" s="7"/>
      <c r="M13" s="2">
        <v>600</v>
      </c>
      <c r="N13" s="5">
        <f>SUM($L$11+AD6)</f>
        <v>43281.18</v>
      </c>
      <c r="O13" s="5">
        <f t="shared" si="2"/>
        <v>43281.18</v>
      </c>
      <c r="P13" s="5">
        <f t="shared" si="2"/>
        <v>43281.18</v>
      </c>
      <c r="Q13" s="5">
        <f t="shared" si="2"/>
        <v>43281.18</v>
      </c>
      <c r="R13" s="5">
        <f t="shared" si="2"/>
        <v>44872.73</v>
      </c>
      <c r="S13" s="5">
        <f t="shared" si="2"/>
        <v>46573.15</v>
      </c>
      <c r="U13" s="25" t="s">
        <v>81</v>
      </c>
      <c r="V13" s="26">
        <v>790</v>
      </c>
      <c r="W13" s="29" t="s">
        <v>82</v>
      </c>
      <c r="Y13" s="12" t="s">
        <v>83</v>
      </c>
    </row>
    <row r="14" spans="1:41" x14ac:dyDescent="0.3">
      <c r="A14" t="s">
        <v>84</v>
      </c>
      <c r="B14" s="70" t="s">
        <v>85</v>
      </c>
      <c r="D14" s="42">
        <f>'2025_03_28 Boom Pricing'!$E$4+'2025_03_28 Boom Pricing'!$E$26+'2025_03_28 Boom Pricing'!$E$38+'2025_03_28 Boom Pricing'!$E$46</f>
        <v>38978.32</v>
      </c>
      <c r="E14" s="58">
        <f t="shared" si="0"/>
        <v>19489.16</v>
      </c>
      <c r="G14" s="7"/>
      <c r="H14" s="7"/>
      <c r="M14" s="2">
        <v>800</v>
      </c>
      <c r="N14" s="5">
        <f>SUM($L$11+AD7)</f>
        <v>45320.3</v>
      </c>
      <c r="O14" s="5">
        <f t="shared" si="2"/>
        <v>45320.3</v>
      </c>
      <c r="P14" s="5">
        <f t="shared" si="2"/>
        <v>45320.3</v>
      </c>
      <c r="Q14" s="5">
        <f t="shared" si="2"/>
        <v>45320.3</v>
      </c>
      <c r="R14" s="5">
        <f t="shared" si="2"/>
        <v>46911.85</v>
      </c>
      <c r="S14" s="5">
        <f t="shared" si="2"/>
        <v>48612.270000000004</v>
      </c>
      <c r="U14" s="29" t="s">
        <v>86</v>
      </c>
      <c r="V14" s="30">
        <v>543.12</v>
      </c>
      <c r="W14" s="29" t="s">
        <v>87</v>
      </c>
    </row>
    <row r="15" spans="1:41" x14ac:dyDescent="0.3">
      <c r="A15" t="s">
        <v>88</v>
      </c>
      <c r="B15" t="s">
        <v>89</v>
      </c>
      <c r="D15" s="42">
        <f>'2025_03_28 Boom Pricing'!$E$4+'2025_03_28 Boom Pricing'!$E$26+'2025_03_28 Boom Pricing'!$E$39+'2025_03_28 Boom Pricing'!$E$46</f>
        <v>38978.32</v>
      </c>
      <c r="E15" s="58">
        <f t="shared" si="0"/>
        <v>19489.16</v>
      </c>
      <c r="G15" s="7" t="s">
        <v>90</v>
      </c>
      <c r="H15" s="7"/>
      <c r="M15" s="2">
        <v>1000</v>
      </c>
      <c r="N15" s="5">
        <f>SUM($L$11+AD8)</f>
        <v>47354.46</v>
      </c>
      <c r="O15" s="5">
        <f t="shared" si="2"/>
        <v>47354.46</v>
      </c>
      <c r="P15" s="5">
        <f t="shared" si="2"/>
        <v>47354.46</v>
      </c>
      <c r="Q15" s="5">
        <f t="shared" si="2"/>
        <v>47354.46</v>
      </c>
      <c r="R15" s="5">
        <f t="shared" si="2"/>
        <v>48946.01</v>
      </c>
      <c r="S15" s="5">
        <f t="shared" si="2"/>
        <v>50646.43</v>
      </c>
      <c r="U15" s="29" t="s">
        <v>91</v>
      </c>
      <c r="V15" s="27">
        <v>997.33</v>
      </c>
      <c r="W15" s="29" t="s">
        <v>87</v>
      </c>
    </row>
    <row r="16" spans="1:41" ht="15.75" customHeight="1" x14ac:dyDescent="0.3">
      <c r="A16" t="s">
        <v>92</v>
      </c>
      <c r="B16" t="s">
        <v>93</v>
      </c>
      <c r="D16" s="42">
        <f>'2025_03_28 Boom Pricing'!$E$4+'2025_03_28 Boom Pricing'!$E$26+'2025_03_28 Boom Pricing'!$E$40+'2025_03_28 Boom Pricing'!$E$46</f>
        <v>38978.32</v>
      </c>
      <c r="E16" s="58">
        <f t="shared" si="0"/>
        <v>19489.16</v>
      </c>
      <c r="P16" s="5"/>
      <c r="U16" s="25" t="s">
        <v>94</v>
      </c>
      <c r="V16" s="27">
        <v>0</v>
      </c>
      <c r="W16" s="24"/>
    </row>
    <row r="17" spans="1:29" x14ac:dyDescent="0.3">
      <c r="A17" s="48" t="s">
        <v>95</v>
      </c>
      <c r="B17" s="48" t="s">
        <v>96</v>
      </c>
      <c r="C17" s="48"/>
      <c r="D17" s="119">
        <f>'2025_03_28 Boom Pricing'!$E$4+'2025_03_28 Boom Pricing'!$E$26+'2025_03_28 Boom Pricing'!$E$41+'2025_03_28 Boom Pricing'!$E$46</f>
        <v>38978.32</v>
      </c>
      <c r="E17" s="117">
        <f t="shared" si="0"/>
        <v>19489.16</v>
      </c>
      <c r="K17" s="71" t="s">
        <v>17</v>
      </c>
      <c r="L17" s="11" t="s">
        <v>97</v>
      </c>
      <c r="M17" s="4"/>
      <c r="N17" s="4">
        <v>600</v>
      </c>
      <c r="O17" s="4">
        <v>800</v>
      </c>
      <c r="P17" s="4">
        <v>1000</v>
      </c>
      <c r="Q17" s="4">
        <v>1200</v>
      </c>
      <c r="R17" s="4">
        <v>1400</v>
      </c>
      <c r="S17" s="4">
        <v>1600</v>
      </c>
      <c r="U17" s="25" t="s">
        <v>98</v>
      </c>
      <c r="V17" s="27">
        <v>2105.9199999999983</v>
      </c>
      <c r="W17" s="24" t="s">
        <v>99</v>
      </c>
    </row>
    <row r="18" spans="1:29" x14ac:dyDescent="0.3">
      <c r="A18" t="s">
        <v>100</v>
      </c>
      <c r="B18" s="70" t="s">
        <v>101</v>
      </c>
      <c r="D18" s="42">
        <f>'2025_03_28 Boom Pricing'!$E$4+'2025_03_28 Boom Pricing'!$E$27+'2025_03_28 Boom Pricing'!$E$38+'2025_03_28 Boom Pricing'!$E$46</f>
        <v>41012.479999999996</v>
      </c>
      <c r="E18" s="58">
        <f t="shared" si="0"/>
        <v>20506.239999999998</v>
      </c>
      <c r="K18" t="s">
        <v>102</v>
      </c>
      <c r="L18" s="5">
        <v>33594.720000000001</v>
      </c>
      <c r="M18" s="2">
        <v>200</v>
      </c>
      <c r="N18" s="1">
        <f t="shared" ref="N18:Q22" si="3">SUM($L$18+AD4)</f>
        <v>33594.720000000001</v>
      </c>
      <c r="O18" s="1">
        <f t="shared" si="3"/>
        <v>33594.720000000001</v>
      </c>
      <c r="P18" s="1">
        <f t="shared" si="3"/>
        <v>33594.720000000001</v>
      </c>
      <c r="Q18" s="1">
        <f t="shared" si="3"/>
        <v>33594.720000000001</v>
      </c>
      <c r="R18" s="33" t="s">
        <v>27</v>
      </c>
      <c r="S18" s="34" t="s">
        <v>27</v>
      </c>
      <c r="U18" s="25" t="s">
        <v>103</v>
      </c>
      <c r="V18" s="27">
        <v>770.21333333333325</v>
      </c>
      <c r="W18" s="24" t="s">
        <v>99</v>
      </c>
    </row>
    <row r="19" spans="1:29" x14ac:dyDescent="0.3">
      <c r="A19" t="s">
        <v>104</v>
      </c>
      <c r="B19" t="s">
        <v>105</v>
      </c>
      <c r="D19" s="42">
        <f>'2025_03_28 Boom Pricing'!$E$4+'2025_03_28 Boom Pricing'!$E$27+'2025_03_28 Boom Pricing'!$E$39+'2025_03_28 Boom Pricing'!$E$46</f>
        <v>41012.479999999996</v>
      </c>
      <c r="E19" s="58">
        <f t="shared" si="0"/>
        <v>20506.239999999998</v>
      </c>
      <c r="K19" s="6" t="s">
        <v>35</v>
      </c>
      <c r="M19" s="2">
        <v>400</v>
      </c>
      <c r="N19" s="1">
        <f t="shared" si="3"/>
        <v>35569.630000000005</v>
      </c>
      <c r="O19" s="1">
        <f t="shared" si="3"/>
        <v>35569.630000000005</v>
      </c>
      <c r="P19" s="1">
        <f t="shared" si="3"/>
        <v>35569.630000000005</v>
      </c>
      <c r="Q19" s="1">
        <f t="shared" si="3"/>
        <v>35569.630000000005</v>
      </c>
      <c r="R19" s="35" t="s">
        <v>27</v>
      </c>
      <c r="S19" s="35" t="s">
        <v>27</v>
      </c>
      <c r="U19" s="25" t="s">
        <v>106</v>
      </c>
      <c r="V19" s="27">
        <v>3393.2066666666669</v>
      </c>
      <c r="W19" s="24" t="s">
        <v>107</v>
      </c>
    </row>
    <row r="20" spans="1:29" x14ac:dyDescent="0.3">
      <c r="A20" t="s">
        <v>108</v>
      </c>
      <c r="B20" t="s">
        <v>109</v>
      </c>
      <c r="D20" s="42">
        <f>'2025_03_28 Boom Pricing'!$E$4+'2025_03_28 Boom Pricing'!$E$27+'2025_03_28 Boom Pricing'!$E$40+'2025_03_28 Boom Pricing'!$E$46</f>
        <v>41012.479999999996</v>
      </c>
      <c r="E20" s="58">
        <f t="shared" si="0"/>
        <v>20506.239999999998</v>
      </c>
      <c r="M20" s="2">
        <v>600</v>
      </c>
      <c r="N20" s="1">
        <f t="shared" si="3"/>
        <v>37549.47</v>
      </c>
      <c r="O20" s="1">
        <f t="shared" si="3"/>
        <v>37549.47</v>
      </c>
      <c r="P20" s="1">
        <f t="shared" si="3"/>
        <v>37549.47</v>
      </c>
      <c r="Q20" s="1">
        <f t="shared" si="3"/>
        <v>37549.47</v>
      </c>
      <c r="R20" s="35" t="s">
        <v>27</v>
      </c>
      <c r="S20" s="35" t="s">
        <v>27</v>
      </c>
      <c r="U20" s="25" t="s">
        <v>110</v>
      </c>
      <c r="V20" s="39"/>
      <c r="W20" s="40"/>
    </row>
    <row r="21" spans="1:29" x14ac:dyDescent="0.3">
      <c r="A21" t="s">
        <v>111</v>
      </c>
      <c r="B21" t="s">
        <v>112</v>
      </c>
      <c r="D21" s="42">
        <f>'2025_03_28 Boom Pricing'!$E$4+'2025_03_28 Boom Pricing'!$E$27+'2025_03_28 Boom Pricing'!$E$41+'2025_03_28 Boom Pricing'!$E$46</f>
        <v>41012.479999999996</v>
      </c>
      <c r="E21" s="58">
        <f t="shared" si="0"/>
        <v>20506.239999999998</v>
      </c>
      <c r="M21" s="2">
        <v>800</v>
      </c>
      <c r="N21" s="1">
        <f t="shared" si="3"/>
        <v>39588.590000000004</v>
      </c>
      <c r="O21" s="1">
        <f t="shared" si="3"/>
        <v>39588.590000000004</v>
      </c>
      <c r="P21" s="1">
        <f t="shared" si="3"/>
        <v>39588.590000000004</v>
      </c>
      <c r="Q21" s="1">
        <f t="shared" si="3"/>
        <v>39588.590000000004</v>
      </c>
      <c r="R21" s="35" t="s">
        <v>27</v>
      </c>
      <c r="S21" s="35" t="s">
        <v>27</v>
      </c>
      <c r="U21" s="25" t="s">
        <v>113</v>
      </c>
      <c r="V21" s="27">
        <v>1344.62222222222</v>
      </c>
      <c r="W21" s="24" t="s">
        <v>114</v>
      </c>
      <c r="X21" s="3"/>
      <c r="Y21" s="1"/>
      <c r="AB21" s="5"/>
      <c r="AC21" s="5"/>
    </row>
    <row r="22" spans="1:29" x14ac:dyDescent="0.3">
      <c r="A22" s="65"/>
      <c r="B22" s="65"/>
      <c r="C22" s="65"/>
      <c r="D22" s="81"/>
      <c r="E22" s="65"/>
      <c r="M22" s="2">
        <v>1000</v>
      </c>
      <c r="N22" s="1">
        <f t="shared" si="3"/>
        <v>41622.75</v>
      </c>
      <c r="O22" s="1">
        <f t="shared" si="3"/>
        <v>41622.75</v>
      </c>
      <c r="P22" s="1">
        <f t="shared" si="3"/>
        <v>41622.75</v>
      </c>
      <c r="Q22" s="1">
        <f t="shared" si="3"/>
        <v>41622.75</v>
      </c>
      <c r="R22" s="35" t="s">
        <v>27</v>
      </c>
      <c r="S22" s="35" t="s">
        <v>27</v>
      </c>
      <c r="X22" s="3"/>
      <c r="Y22" s="3"/>
      <c r="AB22" s="5"/>
      <c r="AC22" s="5"/>
    </row>
    <row r="23" spans="1:29" x14ac:dyDescent="0.3">
      <c r="A23" t="s">
        <v>115</v>
      </c>
      <c r="B23" s="70" t="s">
        <v>116</v>
      </c>
      <c r="D23" s="42">
        <f>'2025_03_28 Boom Pricing'!$E$5+'2025_03_28 Boom Pricing'!$E$23+'2025_03_28 Boom Pricing'!$E$38+'2025_03_28 Boom Pricing'!$E$46</f>
        <v>36912.080000000009</v>
      </c>
      <c r="E23" s="58">
        <f t="shared" si="0"/>
        <v>18456.040000000005</v>
      </c>
      <c r="Q23" s="1"/>
      <c r="X23" s="3"/>
      <c r="Y23" s="3"/>
      <c r="AB23" s="5"/>
      <c r="AC23" s="5"/>
    </row>
    <row r="24" spans="1:29" ht="15.75" customHeight="1" x14ac:dyDescent="0.3">
      <c r="A24" t="s">
        <v>117</v>
      </c>
      <c r="B24" s="70" t="s">
        <v>118</v>
      </c>
      <c r="D24" s="42">
        <f>'2025_03_28 Boom Pricing'!$E$5+'2025_03_28 Boom Pricing'!$E$23+'2025_03_28 Boom Pricing'!$E$39+'2025_03_28 Boom Pricing'!$E$46</f>
        <v>36912.080000000009</v>
      </c>
      <c r="E24" s="58">
        <f t="shared" si="0"/>
        <v>18456.040000000005</v>
      </c>
      <c r="J24" s="5"/>
      <c r="K24" s="4" t="s">
        <v>53</v>
      </c>
      <c r="L24" s="11" t="s">
        <v>119</v>
      </c>
      <c r="M24" s="4"/>
      <c r="N24" s="4">
        <v>600</v>
      </c>
      <c r="O24" s="4">
        <v>800</v>
      </c>
      <c r="P24" s="4">
        <v>1000</v>
      </c>
      <c r="Q24" s="4">
        <v>1200</v>
      </c>
      <c r="R24" s="4">
        <v>1400</v>
      </c>
      <c r="S24" s="4">
        <v>1600</v>
      </c>
    </row>
    <row r="25" spans="1:29" x14ac:dyDescent="0.3">
      <c r="A25" t="s">
        <v>120</v>
      </c>
      <c r="B25" s="70" t="s">
        <v>121</v>
      </c>
      <c r="D25" s="42">
        <f>'2025_03_28 Boom Pricing'!$E$5+'2025_03_28 Boom Pricing'!$E$23+'2025_03_28 Boom Pricing'!$E$40+'2025_03_28 Boom Pricing'!$E$46</f>
        <v>36912.080000000009</v>
      </c>
      <c r="E25" s="58">
        <f t="shared" si="0"/>
        <v>18456.040000000005</v>
      </c>
      <c r="K25" t="s">
        <v>102</v>
      </c>
      <c r="L25" s="5">
        <v>38315.519999999997</v>
      </c>
      <c r="M25" s="2">
        <v>200</v>
      </c>
      <c r="N25" s="1">
        <f t="shared" ref="N25:S29" si="4">SUM($L$25+AD4)</f>
        <v>38315.519999999997</v>
      </c>
      <c r="O25" s="1">
        <f t="shared" si="4"/>
        <v>38315.519999999997</v>
      </c>
      <c r="P25" s="1">
        <f t="shared" si="4"/>
        <v>38315.519999999997</v>
      </c>
      <c r="Q25" s="1">
        <f t="shared" si="4"/>
        <v>38315.519999999997</v>
      </c>
      <c r="R25" s="1">
        <f t="shared" si="4"/>
        <v>39907.07</v>
      </c>
      <c r="S25" s="1">
        <f t="shared" si="4"/>
        <v>41607.49</v>
      </c>
      <c r="V25" s="38"/>
    </row>
    <row r="26" spans="1:29" x14ac:dyDescent="0.3">
      <c r="A26" t="s">
        <v>122</v>
      </c>
      <c r="B26" s="70" t="s">
        <v>123</v>
      </c>
      <c r="D26" s="42">
        <f>'2025_03_28 Boom Pricing'!$E$5+'2025_03_28 Boom Pricing'!$E$23+'2025_03_28 Boom Pricing'!$E$41+'2025_03_28 Boom Pricing'!$E$46</f>
        <v>36912.080000000009</v>
      </c>
      <c r="E26" s="58">
        <f t="shared" si="0"/>
        <v>18456.040000000005</v>
      </c>
      <c r="G26" s="42"/>
      <c r="K26" s="6" t="s">
        <v>35</v>
      </c>
      <c r="M26" s="2">
        <v>400</v>
      </c>
      <c r="N26" s="1">
        <f t="shared" si="4"/>
        <v>40290.43</v>
      </c>
      <c r="O26" s="1">
        <f t="shared" si="4"/>
        <v>40290.43</v>
      </c>
      <c r="P26" s="1">
        <f t="shared" si="4"/>
        <v>40290.43</v>
      </c>
      <c r="Q26" s="1">
        <f t="shared" si="4"/>
        <v>40290.43</v>
      </c>
      <c r="R26" s="1">
        <f t="shared" si="4"/>
        <v>41882.379999999997</v>
      </c>
      <c r="S26" s="1">
        <f t="shared" si="4"/>
        <v>43582.399999999994</v>
      </c>
    </row>
    <row r="27" spans="1:29" x14ac:dyDescent="0.3">
      <c r="A27" t="s">
        <v>124</v>
      </c>
      <c r="B27" s="70" t="s">
        <v>125</v>
      </c>
      <c r="D27" s="42">
        <f>'2025_03_28 Boom Pricing'!$E$5+'2025_03_28 Boom Pricing'!$E$23+'2025_03_28 Boom Pricing'!$E$42+'2025_03_28 Boom Pricing'!$E$46</f>
        <v>38503.626666666678</v>
      </c>
      <c r="E27" s="58">
        <f t="shared" si="0"/>
        <v>19251.813333333339</v>
      </c>
      <c r="M27" s="2">
        <v>600</v>
      </c>
      <c r="N27" s="1">
        <f t="shared" si="4"/>
        <v>42270.27</v>
      </c>
      <c r="O27" s="1">
        <f t="shared" si="4"/>
        <v>42270.27</v>
      </c>
      <c r="P27" s="1">
        <f t="shared" si="4"/>
        <v>42270.27</v>
      </c>
      <c r="Q27" s="1">
        <f t="shared" si="4"/>
        <v>42270.27</v>
      </c>
      <c r="R27" s="1">
        <f t="shared" si="4"/>
        <v>43861.82</v>
      </c>
      <c r="S27" s="1">
        <f t="shared" si="4"/>
        <v>45562.239999999998</v>
      </c>
    </row>
    <row r="28" spans="1:29" x14ac:dyDescent="0.3">
      <c r="A28" s="48" t="s">
        <v>126</v>
      </c>
      <c r="B28" s="116" t="s">
        <v>127</v>
      </c>
      <c r="C28" s="48"/>
      <c r="D28" s="119">
        <f>'2025_03_28 Boom Pricing'!$E$5+'2025_03_28 Boom Pricing'!$E$23+'2025_03_28 Boom Pricing'!$E$43+'2025_03_28 Boom Pricing'!$E$46</f>
        <v>40204.053333333344</v>
      </c>
      <c r="E28" s="117">
        <f t="shared" si="0"/>
        <v>20102.026666666672</v>
      </c>
      <c r="M28" s="2">
        <v>800</v>
      </c>
      <c r="N28" s="1">
        <f t="shared" si="4"/>
        <v>44309.39</v>
      </c>
      <c r="O28" s="1">
        <f t="shared" si="4"/>
        <v>44309.39</v>
      </c>
      <c r="P28" s="1">
        <f t="shared" si="4"/>
        <v>44309.39</v>
      </c>
      <c r="Q28" s="1">
        <f t="shared" si="4"/>
        <v>44309.39</v>
      </c>
      <c r="R28" s="1">
        <f t="shared" si="4"/>
        <v>45900.939999999995</v>
      </c>
      <c r="S28" s="1">
        <f t="shared" si="4"/>
        <v>47601.36</v>
      </c>
    </row>
    <row r="29" spans="1:29" x14ac:dyDescent="0.3">
      <c r="A29" t="s">
        <v>128</v>
      </c>
      <c r="B29" s="70" t="s">
        <v>129</v>
      </c>
      <c r="D29" s="42">
        <f>'2025_03_28 Boom Pricing'!$E$5+'2025_03_28 Boom Pricing'!$E$24+'2025_03_28 Boom Pricing'!$E$38+'2025_03_28 Boom Pricing'!$E$46</f>
        <v>38886.986666666671</v>
      </c>
      <c r="E29" s="58">
        <f t="shared" si="0"/>
        <v>19443.493333333336</v>
      </c>
      <c r="M29" s="2">
        <v>1000</v>
      </c>
      <c r="N29" s="1">
        <f t="shared" si="4"/>
        <v>46343.549999999996</v>
      </c>
      <c r="O29" s="1">
        <f t="shared" si="4"/>
        <v>46343.549999999996</v>
      </c>
      <c r="P29" s="1">
        <f t="shared" si="4"/>
        <v>46343.549999999996</v>
      </c>
      <c r="Q29" s="1">
        <f t="shared" si="4"/>
        <v>46343.549999999996</v>
      </c>
      <c r="R29" s="1">
        <f t="shared" si="4"/>
        <v>47935.1</v>
      </c>
      <c r="S29" s="1">
        <f t="shared" si="4"/>
        <v>49635.519999999997</v>
      </c>
    </row>
    <row r="30" spans="1:29" x14ac:dyDescent="0.3">
      <c r="A30" t="s">
        <v>130</v>
      </c>
      <c r="B30" s="70" t="s">
        <v>131</v>
      </c>
      <c r="D30" s="42">
        <f>'2025_03_28 Boom Pricing'!$E$5+'2025_03_28 Boom Pricing'!$E$24+'2025_03_28 Boom Pricing'!$E$39+'2025_03_28 Boom Pricing'!$E$46</f>
        <v>38886.986666666671</v>
      </c>
      <c r="E30" s="58">
        <f t="shared" si="0"/>
        <v>19443.493333333336</v>
      </c>
      <c r="N30" s="3"/>
      <c r="O30" s="3"/>
      <c r="P30" s="3"/>
      <c r="Q30" s="3"/>
      <c r="R30" s="36"/>
      <c r="S30" s="36"/>
    </row>
    <row r="31" spans="1:29" ht="15.75" customHeight="1" x14ac:dyDescent="0.3">
      <c r="A31" t="s">
        <v>132</v>
      </c>
      <c r="B31" s="70" t="s">
        <v>133</v>
      </c>
      <c r="D31" s="42">
        <f>'2025_03_28 Boom Pricing'!$E$5+'2025_03_28 Boom Pricing'!$E$24+'2025_03_28 Boom Pricing'!$E$40+'2025_03_28 Boom Pricing'!$E$46</f>
        <v>38886.986666666671</v>
      </c>
      <c r="E31" s="58">
        <f t="shared" si="0"/>
        <v>19443.493333333336</v>
      </c>
      <c r="K31" s="71" t="s">
        <v>17</v>
      </c>
      <c r="L31" s="11" t="s">
        <v>134</v>
      </c>
      <c r="M31" s="4"/>
      <c r="N31" s="4">
        <v>600</v>
      </c>
      <c r="O31" s="4">
        <v>800</v>
      </c>
      <c r="P31" s="4">
        <v>1000</v>
      </c>
      <c r="Q31" s="4">
        <v>1200</v>
      </c>
      <c r="R31" s="4">
        <v>1400</v>
      </c>
      <c r="S31" s="4">
        <v>1600</v>
      </c>
      <c r="U31" t="s">
        <v>135</v>
      </c>
    </row>
    <row r="32" spans="1:29" ht="15.75" customHeight="1" x14ac:dyDescent="0.3">
      <c r="A32" t="s">
        <v>136</v>
      </c>
      <c r="B32" s="70" t="s">
        <v>137</v>
      </c>
      <c r="D32" s="42">
        <f>'2025_03_28 Boom Pricing'!$E$5+'2025_03_28 Boom Pricing'!$E$24+'2025_03_28 Boom Pricing'!$E$41+'2025_03_28 Boom Pricing'!$E$46</f>
        <v>38886.986666666671</v>
      </c>
      <c r="E32" s="58">
        <f t="shared" si="0"/>
        <v>19443.493333333336</v>
      </c>
      <c r="K32" s="70" t="s">
        <v>138</v>
      </c>
      <c r="L32" s="5">
        <v>23781.02</v>
      </c>
      <c r="M32" s="2">
        <v>200</v>
      </c>
      <c r="N32" s="1">
        <f t="shared" ref="N32:Q36" si="5">SUM($L$32+AD4)</f>
        <v>23781.02</v>
      </c>
      <c r="O32" s="1">
        <f t="shared" si="5"/>
        <v>23781.02</v>
      </c>
      <c r="P32" s="1">
        <f t="shared" si="5"/>
        <v>23781.02</v>
      </c>
      <c r="Q32" s="1">
        <f t="shared" si="5"/>
        <v>23781.02</v>
      </c>
      <c r="R32" s="33" t="s">
        <v>27</v>
      </c>
      <c r="S32" s="34" t="s">
        <v>27</v>
      </c>
    </row>
    <row r="33" spans="1:29" x14ac:dyDescent="0.3">
      <c r="A33" t="s">
        <v>139</v>
      </c>
      <c r="B33" s="70" t="s">
        <v>140</v>
      </c>
      <c r="D33" s="42">
        <f>'2025_03_28 Boom Pricing'!$E$5+'2025_03_28 Boom Pricing'!$E$24+'2025_03_28 Boom Pricing'!$E$42+'2025_03_28 Boom Pricing'!$E$46</f>
        <v>40478.53333333334</v>
      </c>
      <c r="E33" s="58">
        <f t="shared" si="0"/>
        <v>20239.26666666667</v>
      </c>
      <c r="K33" s="70"/>
      <c r="M33" s="2">
        <v>400</v>
      </c>
      <c r="N33" s="1">
        <f t="shared" si="5"/>
        <v>25755.93</v>
      </c>
      <c r="O33" s="1">
        <f t="shared" si="5"/>
        <v>25755.93</v>
      </c>
      <c r="P33" s="1">
        <f t="shared" si="5"/>
        <v>25755.93</v>
      </c>
      <c r="Q33" s="1">
        <f t="shared" si="5"/>
        <v>25755.93</v>
      </c>
      <c r="R33" s="35" t="s">
        <v>27</v>
      </c>
      <c r="S33" s="35" t="s">
        <v>27</v>
      </c>
      <c r="T33" s="5"/>
    </row>
    <row r="34" spans="1:29" x14ac:dyDescent="0.3">
      <c r="A34" s="48" t="s">
        <v>141</v>
      </c>
      <c r="B34" s="116" t="s">
        <v>142</v>
      </c>
      <c r="C34" s="48"/>
      <c r="D34" s="119">
        <f>'2025_03_28 Boom Pricing'!$E$5+'2025_03_28 Boom Pricing'!$E$24+'2025_03_28 Boom Pricing'!$E$43+'2025_03_28 Boom Pricing'!$E$46</f>
        <v>42178.960000000006</v>
      </c>
      <c r="E34" s="117">
        <f t="shared" si="0"/>
        <v>21089.480000000003</v>
      </c>
      <c r="M34" s="2">
        <v>600</v>
      </c>
      <c r="N34" s="1">
        <f t="shared" si="5"/>
        <v>27735.77</v>
      </c>
      <c r="O34" s="1">
        <f t="shared" si="5"/>
        <v>27735.77</v>
      </c>
      <c r="P34" s="1">
        <f t="shared" si="5"/>
        <v>27735.77</v>
      </c>
      <c r="Q34" s="1">
        <f t="shared" si="5"/>
        <v>27735.77</v>
      </c>
      <c r="R34" s="35" t="s">
        <v>27</v>
      </c>
      <c r="S34" s="35" t="s">
        <v>27</v>
      </c>
    </row>
    <row r="35" spans="1:29" x14ac:dyDescent="0.3">
      <c r="A35" t="s">
        <v>143</v>
      </c>
      <c r="B35" s="70" t="s">
        <v>144</v>
      </c>
      <c r="D35" s="42">
        <f>'2025_03_28 Boom Pricing'!$E$5+'2025_03_28 Boom Pricing'!$E$25+'2025_03_28 Boom Pricing'!$E$38+'2025_03_28 Boom Pricing'!$E$46</f>
        <v>40866.826666666675</v>
      </c>
      <c r="E35" s="58">
        <f t="shared" si="0"/>
        <v>20433.413333333338</v>
      </c>
      <c r="M35" s="2">
        <v>800</v>
      </c>
      <c r="N35" s="1">
        <f t="shared" si="5"/>
        <v>29774.89</v>
      </c>
      <c r="O35" s="1">
        <f t="shared" si="5"/>
        <v>29774.89</v>
      </c>
      <c r="P35" s="1">
        <f t="shared" si="5"/>
        <v>29774.89</v>
      </c>
      <c r="Q35" s="1">
        <f t="shared" si="5"/>
        <v>29774.89</v>
      </c>
      <c r="R35" s="35" t="s">
        <v>27</v>
      </c>
      <c r="S35" s="35" t="s">
        <v>27</v>
      </c>
    </row>
    <row r="36" spans="1:29" x14ac:dyDescent="0.3">
      <c r="A36" t="s">
        <v>145</v>
      </c>
      <c r="B36" s="70" t="s">
        <v>146</v>
      </c>
      <c r="D36" s="42">
        <f>'2025_03_28 Boom Pricing'!$E$5+'2025_03_28 Boom Pricing'!$E$25+'2025_03_28 Boom Pricing'!$E$39+'2025_03_28 Boom Pricing'!$E$46</f>
        <v>40866.826666666675</v>
      </c>
      <c r="E36" s="58">
        <f t="shared" si="0"/>
        <v>20433.413333333338</v>
      </c>
      <c r="M36" s="2">
        <v>1000</v>
      </c>
      <c r="N36" s="1">
        <f t="shared" si="5"/>
        <v>31809.05</v>
      </c>
      <c r="O36" s="1">
        <f t="shared" si="5"/>
        <v>31809.05</v>
      </c>
      <c r="P36" s="1">
        <f t="shared" si="5"/>
        <v>31809.05</v>
      </c>
      <c r="Q36" s="1">
        <f t="shared" si="5"/>
        <v>31809.05</v>
      </c>
      <c r="R36" s="35" t="s">
        <v>27</v>
      </c>
      <c r="S36" s="35" t="s">
        <v>27</v>
      </c>
    </row>
    <row r="37" spans="1:29" x14ac:dyDescent="0.3">
      <c r="A37" t="s">
        <v>147</v>
      </c>
      <c r="B37" s="70" t="s">
        <v>148</v>
      </c>
      <c r="D37" s="42">
        <f>'2025_03_28 Boom Pricing'!$E$5+'2025_03_28 Boom Pricing'!$E$25+'2025_03_28 Boom Pricing'!$E$40+'2025_03_28 Boom Pricing'!$E$46</f>
        <v>40866.826666666675</v>
      </c>
      <c r="E37" s="58">
        <f t="shared" si="0"/>
        <v>20433.413333333338</v>
      </c>
    </row>
    <row r="38" spans="1:29" x14ac:dyDescent="0.3">
      <c r="A38" t="s">
        <v>149</v>
      </c>
      <c r="B38" s="70" t="s">
        <v>150</v>
      </c>
      <c r="D38" s="42">
        <f>'2025_03_28 Boom Pricing'!$E$5+'2025_03_28 Boom Pricing'!$E$25+'2025_03_28 Boom Pricing'!$E$41+'2025_03_28 Boom Pricing'!$E$46</f>
        <v>40866.826666666675</v>
      </c>
      <c r="E38" s="58">
        <f t="shared" si="0"/>
        <v>20433.413333333338</v>
      </c>
      <c r="K38" s="4" t="s">
        <v>53</v>
      </c>
      <c r="L38" s="11" t="s">
        <v>151</v>
      </c>
      <c r="M38" s="4"/>
      <c r="N38" s="4">
        <v>600</v>
      </c>
      <c r="O38" s="4">
        <v>800</v>
      </c>
      <c r="P38" s="4">
        <v>1000</v>
      </c>
      <c r="Q38" s="4">
        <v>1200</v>
      </c>
      <c r="R38" s="4">
        <v>1400</v>
      </c>
      <c r="S38" s="4">
        <v>1600</v>
      </c>
    </row>
    <row r="39" spans="1:29" ht="15.75" customHeight="1" x14ac:dyDescent="0.3">
      <c r="A39" t="s">
        <v>152</v>
      </c>
      <c r="B39" s="70" t="s">
        <v>153</v>
      </c>
      <c r="D39" s="42">
        <f>'2025_03_28 Boom Pricing'!$E$5+'2025_03_28 Boom Pricing'!$E$25+'2025_03_28 Boom Pricing'!$E$42+'2025_03_28 Boom Pricing'!$E$46</f>
        <v>42458.373333333344</v>
      </c>
      <c r="E39" s="58">
        <f t="shared" si="0"/>
        <v>21229.186666666672</v>
      </c>
      <c r="K39" s="70" t="s">
        <v>138</v>
      </c>
      <c r="L39" s="5">
        <v>27382.03</v>
      </c>
      <c r="M39" s="2">
        <v>200</v>
      </c>
      <c r="N39" s="1">
        <f t="shared" ref="N39:S43" si="6">SUM($L$39+AD4)</f>
        <v>27382.03</v>
      </c>
      <c r="O39" s="1">
        <f t="shared" si="6"/>
        <v>27382.03</v>
      </c>
      <c r="P39" s="1">
        <f t="shared" si="6"/>
        <v>27382.03</v>
      </c>
      <c r="Q39" s="1">
        <f t="shared" si="6"/>
        <v>27382.03</v>
      </c>
      <c r="R39" s="1">
        <f t="shared" si="6"/>
        <v>28973.579999999998</v>
      </c>
      <c r="S39" s="1">
        <f t="shared" si="6"/>
        <v>30674</v>
      </c>
    </row>
    <row r="40" spans="1:29" x14ac:dyDescent="0.3">
      <c r="A40" s="48" t="s">
        <v>154</v>
      </c>
      <c r="B40" s="116" t="s">
        <v>155</v>
      </c>
      <c r="C40" s="48"/>
      <c r="D40" s="119">
        <f>'2025_03_28 Boom Pricing'!$E$5+'2025_03_28 Boom Pricing'!$E$25+'2025_03_28 Boom Pricing'!$E$43+'2025_03_28 Boom Pricing'!$E$46</f>
        <v>44158.80000000001</v>
      </c>
      <c r="E40" s="117">
        <f t="shared" si="0"/>
        <v>22079.400000000005</v>
      </c>
      <c r="K40" s="70"/>
      <c r="M40" s="2">
        <v>400</v>
      </c>
      <c r="N40" s="1">
        <f t="shared" si="6"/>
        <v>29356.94</v>
      </c>
      <c r="O40" s="1">
        <f t="shared" si="6"/>
        <v>29356.94</v>
      </c>
      <c r="P40" s="1">
        <f t="shared" si="6"/>
        <v>29356.94</v>
      </c>
      <c r="Q40" s="1">
        <f t="shared" si="6"/>
        <v>29356.94</v>
      </c>
      <c r="R40" s="1">
        <f t="shared" si="6"/>
        <v>30948.89</v>
      </c>
      <c r="S40" s="1">
        <f t="shared" si="6"/>
        <v>32648.91</v>
      </c>
      <c r="X40" s="1"/>
      <c r="Y40" s="1"/>
      <c r="AB40" s="5"/>
      <c r="AC40" s="5"/>
    </row>
    <row r="41" spans="1:29" x14ac:dyDescent="0.3">
      <c r="A41" t="s">
        <v>156</v>
      </c>
      <c r="B41" s="70" t="s">
        <v>157</v>
      </c>
      <c r="D41" s="42">
        <f>'2025_03_28 Boom Pricing'!$E$5+'2025_03_28 Boom Pricing'!$E$26+'2025_03_28 Boom Pricing'!$E$38+'2025_03_28 Boom Pricing'!$E$46</f>
        <v>42905.94666666667</v>
      </c>
      <c r="E41" s="58">
        <f t="shared" si="0"/>
        <v>21452.973333333335</v>
      </c>
      <c r="M41" s="2">
        <v>600</v>
      </c>
      <c r="N41" s="1">
        <f t="shared" si="6"/>
        <v>31336.78</v>
      </c>
      <c r="O41" s="1">
        <f t="shared" si="6"/>
        <v>31336.78</v>
      </c>
      <c r="P41" s="1">
        <f t="shared" si="6"/>
        <v>31336.78</v>
      </c>
      <c r="Q41" s="1">
        <f t="shared" si="6"/>
        <v>31336.78</v>
      </c>
      <c r="R41" s="1">
        <f t="shared" si="6"/>
        <v>32928.33</v>
      </c>
      <c r="S41" s="1">
        <f t="shared" si="6"/>
        <v>34628.75</v>
      </c>
      <c r="X41" s="1"/>
      <c r="Y41" s="1"/>
      <c r="AB41" s="5"/>
      <c r="AC41" s="5"/>
    </row>
    <row r="42" spans="1:29" x14ac:dyDescent="0.3">
      <c r="A42" t="s">
        <v>158</v>
      </c>
      <c r="B42" s="70" t="s">
        <v>159</v>
      </c>
      <c r="D42" s="42">
        <f>'2025_03_28 Boom Pricing'!$E$5+'2025_03_28 Boom Pricing'!$E$26+'2025_03_28 Boom Pricing'!$E$39+'2025_03_28 Boom Pricing'!$E$46</f>
        <v>42905.94666666667</v>
      </c>
      <c r="E42" s="58">
        <f t="shared" si="0"/>
        <v>21452.973333333335</v>
      </c>
      <c r="M42" s="2">
        <v>800</v>
      </c>
      <c r="N42" s="1">
        <f t="shared" si="6"/>
        <v>33375.9</v>
      </c>
      <c r="O42" s="1">
        <f t="shared" si="6"/>
        <v>33375.9</v>
      </c>
      <c r="P42" s="1">
        <f t="shared" si="6"/>
        <v>33375.9</v>
      </c>
      <c r="Q42" s="1">
        <f t="shared" si="6"/>
        <v>33375.9</v>
      </c>
      <c r="R42" s="1">
        <f t="shared" si="6"/>
        <v>34967.449999999997</v>
      </c>
      <c r="S42" s="1">
        <f t="shared" si="6"/>
        <v>36667.869999999995</v>
      </c>
    </row>
    <row r="43" spans="1:29" x14ac:dyDescent="0.3">
      <c r="A43" t="s">
        <v>160</v>
      </c>
      <c r="B43" s="70" t="s">
        <v>161</v>
      </c>
      <c r="D43" s="42">
        <f>'2025_03_28 Boom Pricing'!$E$5+'2025_03_28 Boom Pricing'!$E$26+'2025_03_28 Boom Pricing'!$E$40+'2025_03_28 Boom Pricing'!$E$46</f>
        <v>42905.94666666667</v>
      </c>
      <c r="E43" s="58">
        <f t="shared" si="0"/>
        <v>21452.973333333335</v>
      </c>
      <c r="M43" s="2">
        <v>1000</v>
      </c>
      <c r="N43" s="1">
        <f t="shared" si="6"/>
        <v>35410.06</v>
      </c>
      <c r="O43" s="1">
        <f t="shared" si="6"/>
        <v>35410.06</v>
      </c>
      <c r="P43" s="1">
        <f t="shared" si="6"/>
        <v>35410.06</v>
      </c>
      <c r="Q43" s="1">
        <f t="shared" si="6"/>
        <v>35410.06</v>
      </c>
      <c r="R43" s="1">
        <f t="shared" si="6"/>
        <v>37001.61</v>
      </c>
      <c r="S43" s="1">
        <f t="shared" si="6"/>
        <v>38702.03</v>
      </c>
      <c r="V43" s="3"/>
      <c r="W43" s="3"/>
    </row>
    <row r="44" spans="1:29" x14ac:dyDescent="0.3">
      <c r="A44" t="s">
        <v>162</v>
      </c>
      <c r="B44" s="70" t="s">
        <v>163</v>
      </c>
      <c r="D44" s="42">
        <f>'2025_03_28 Boom Pricing'!$E$5+'2025_03_28 Boom Pricing'!$E$26+'2025_03_28 Boom Pricing'!$E$41+'2025_03_28 Boom Pricing'!$E$46</f>
        <v>42905.94666666667</v>
      </c>
      <c r="E44" s="58">
        <f t="shared" si="0"/>
        <v>21452.973333333335</v>
      </c>
      <c r="N44" s="36"/>
      <c r="O44" s="36"/>
      <c r="P44" s="36"/>
      <c r="Q44" s="36"/>
      <c r="R44" s="36"/>
      <c r="S44" s="36"/>
      <c r="V44" s="3"/>
      <c r="W44" s="3"/>
    </row>
    <row r="45" spans="1:29" x14ac:dyDescent="0.3">
      <c r="A45" t="s">
        <v>164</v>
      </c>
      <c r="B45" s="70" t="s">
        <v>165</v>
      </c>
      <c r="D45" s="42">
        <f>'2025_03_28 Boom Pricing'!$E$5+'2025_03_28 Boom Pricing'!$E$26+'2025_03_28 Boom Pricing'!$E$42+'2025_03_28 Boom Pricing'!$E$46</f>
        <v>44497.493333333339</v>
      </c>
      <c r="E45" s="58">
        <f t="shared" si="0"/>
        <v>22248.74666666667</v>
      </c>
      <c r="K45" s="4" t="s">
        <v>166</v>
      </c>
      <c r="L45" s="16" t="s">
        <v>167</v>
      </c>
      <c r="M45" s="4"/>
      <c r="N45" s="4">
        <v>600</v>
      </c>
      <c r="O45" s="4">
        <v>800</v>
      </c>
      <c r="P45" s="4">
        <v>1000</v>
      </c>
      <c r="Q45" s="4">
        <v>1200</v>
      </c>
      <c r="R45" s="4">
        <v>1400</v>
      </c>
      <c r="S45" s="4">
        <v>1600</v>
      </c>
      <c r="V45" s="3"/>
      <c r="W45" s="3"/>
    </row>
    <row r="46" spans="1:29" ht="15.75" customHeight="1" x14ac:dyDescent="0.3">
      <c r="A46" s="48" t="s">
        <v>168</v>
      </c>
      <c r="B46" s="116" t="s">
        <v>169</v>
      </c>
      <c r="C46" s="48"/>
      <c r="D46" s="119">
        <f>'2025_03_28 Boom Pricing'!$E$5+'2025_03_28 Boom Pricing'!$E$26+'2025_03_28 Boom Pricing'!$E$43+'2025_03_28 Boom Pricing'!$E$46</f>
        <v>46197.920000000006</v>
      </c>
      <c r="E46" s="117">
        <f t="shared" si="0"/>
        <v>23098.960000000003</v>
      </c>
      <c r="K46" s="70" t="s">
        <v>138</v>
      </c>
      <c r="L46" s="5">
        <v>31047.26</v>
      </c>
      <c r="M46" s="2">
        <v>200</v>
      </c>
      <c r="N46" s="1">
        <f t="shared" ref="N46:S50" si="7">SUM($L$46+AD4)</f>
        <v>31047.26</v>
      </c>
      <c r="O46" s="1">
        <f t="shared" si="7"/>
        <v>31047.26</v>
      </c>
      <c r="P46" s="1">
        <f t="shared" si="7"/>
        <v>31047.26</v>
      </c>
      <c r="Q46" s="1">
        <f t="shared" si="7"/>
        <v>31047.26</v>
      </c>
      <c r="R46" s="1">
        <f t="shared" si="7"/>
        <v>32638.809999999998</v>
      </c>
      <c r="S46" s="1">
        <f t="shared" si="7"/>
        <v>34339.229999999996</v>
      </c>
    </row>
    <row r="47" spans="1:29" x14ac:dyDescent="0.3">
      <c r="A47" t="s">
        <v>170</v>
      </c>
      <c r="B47" s="70" t="s">
        <v>171</v>
      </c>
      <c r="D47" s="42">
        <f>'2025_03_28 Boom Pricing'!$E$5+'2025_03_28 Boom Pricing'!$E$27+'2025_03_28 Boom Pricing'!$E$38+'2025_03_28 Boom Pricing'!$E$46</f>
        <v>44940.106666666667</v>
      </c>
      <c r="E47" s="58">
        <f t="shared" si="0"/>
        <v>22470.053333333333</v>
      </c>
      <c r="K47" s="70"/>
      <c r="M47" s="2">
        <v>400</v>
      </c>
      <c r="N47" s="1">
        <f t="shared" si="7"/>
        <v>33022.17</v>
      </c>
      <c r="O47" s="1">
        <f t="shared" si="7"/>
        <v>33022.17</v>
      </c>
      <c r="P47" s="1">
        <f t="shared" si="7"/>
        <v>33022.17</v>
      </c>
      <c r="Q47" s="1">
        <f t="shared" si="7"/>
        <v>33022.17</v>
      </c>
      <c r="R47" s="1">
        <f t="shared" si="7"/>
        <v>34614.119999999995</v>
      </c>
      <c r="S47" s="1">
        <f t="shared" si="7"/>
        <v>36314.14</v>
      </c>
    </row>
    <row r="48" spans="1:29" x14ac:dyDescent="0.3">
      <c r="A48" t="s">
        <v>172</v>
      </c>
      <c r="B48" s="70" t="s">
        <v>173</v>
      </c>
      <c r="D48" s="42">
        <f>'2025_03_28 Boom Pricing'!$E$5+'2025_03_28 Boom Pricing'!$E$27+'2025_03_28 Boom Pricing'!$E$39+'2025_03_28 Boom Pricing'!$E$46</f>
        <v>44940.106666666667</v>
      </c>
      <c r="E48" s="58">
        <f t="shared" si="0"/>
        <v>22470.053333333333</v>
      </c>
      <c r="M48" s="2">
        <v>600</v>
      </c>
      <c r="N48" s="1">
        <f t="shared" si="7"/>
        <v>35002.009999999995</v>
      </c>
      <c r="O48" s="1">
        <f t="shared" si="7"/>
        <v>35002.009999999995</v>
      </c>
      <c r="P48" s="1">
        <f t="shared" si="7"/>
        <v>35002.009999999995</v>
      </c>
      <c r="Q48" s="1">
        <f t="shared" si="7"/>
        <v>35002.009999999995</v>
      </c>
      <c r="R48" s="1">
        <f t="shared" si="7"/>
        <v>36593.56</v>
      </c>
      <c r="S48" s="1">
        <f t="shared" si="7"/>
        <v>38293.979999999996</v>
      </c>
    </row>
    <row r="49" spans="1:19" x14ac:dyDescent="0.3">
      <c r="A49" t="s">
        <v>174</v>
      </c>
      <c r="B49" s="70" t="s">
        <v>175</v>
      </c>
      <c r="D49" s="42">
        <f>'2025_03_28 Boom Pricing'!$E$5+'2025_03_28 Boom Pricing'!$E$27+'2025_03_28 Boom Pricing'!$E$40+'2025_03_28 Boom Pricing'!$E$46</f>
        <v>44940.106666666667</v>
      </c>
      <c r="E49" s="58">
        <f t="shared" si="0"/>
        <v>22470.053333333333</v>
      </c>
      <c r="M49" s="2">
        <v>800</v>
      </c>
      <c r="N49" s="1">
        <f t="shared" si="7"/>
        <v>37041.129999999997</v>
      </c>
      <c r="O49" s="1">
        <f t="shared" si="7"/>
        <v>37041.129999999997</v>
      </c>
      <c r="P49" s="1">
        <f t="shared" si="7"/>
        <v>37041.129999999997</v>
      </c>
      <c r="Q49" s="1">
        <f t="shared" si="7"/>
        <v>37041.129999999997</v>
      </c>
      <c r="R49" s="1">
        <f t="shared" si="7"/>
        <v>38632.68</v>
      </c>
      <c r="S49" s="1">
        <f t="shared" si="7"/>
        <v>40333.1</v>
      </c>
    </row>
    <row r="50" spans="1:19" x14ac:dyDescent="0.3">
      <c r="A50" t="s">
        <v>176</v>
      </c>
      <c r="B50" s="70" t="s">
        <v>177</v>
      </c>
      <c r="D50" s="42">
        <f>'2025_03_28 Boom Pricing'!$E$5+'2025_03_28 Boom Pricing'!$E$27+'2025_03_28 Boom Pricing'!$E$41+'2025_03_28 Boom Pricing'!$E$46</f>
        <v>44940.106666666667</v>
      </c>
      <c r="E50" s="58">
        <f t="shared" si="0"/>
        <v>22470.053333333333</v>
      </c>
      <c r="M50" s="2">
        <v>1000</v>
      </c>
      <c r="N50" s="1">
        <f t="shared" si="7"/>
        <v>39075.29</v>
      </c>
      <c r="O50" s="1">
        <f t="shared" si="7"/>
        <v>39075.29</v>
      </c>
      <c r="P50" s="1">
        <f t="shared" si="7"/>
        <v>39075.29</v>
      </c>
      <c r="Q50" s="1">
        <f t="shared" si="7"/>
        <v>39075.29</v>
      </c>
      <c r="R50" s="1">
        <f t="shared" si="7"/>
        <v>40666.839999999997</v>
      </c>
      <c r="S50" s="1">
        <f t="shared" si="7"/>
        <v>42367.259999999995</v>
      </c>
    </row>
    <row r="51" spans="1:19" x14ac:dyDescent="0.3">
      <c r="A51" t="s">
        <v>178</v>
      </c>
      <c r="B51" s="70" t="s">
        <v>179</v>
      </c>
      <c r="D51" s="42">
        <f>'2025_03_28 Boom Pricing'!$E$5+'2025_03_28 Boom Pricing'!$E$27+'2025_03_28 Boom Pricing'!$E$42+'2025_03_28 Boom Pricing'!$E$46</f>
        <v>46531.653333333335</v>
      </c>
      <c r="E51" s="58">
        <f t="shared" si="0"/>
        <v>23265.826666666668</v>
      </c>
    </row>
    <row r="52" spans="1:19" x14ac:dyDescent="0.3">
      <c r="A52" t="s">
        <v>180</v>
      </c>
      <c r="B52" s="70" t="s">
        <v>181</v>
      </c>
      <c r="D52" s="42">
        <f>'2025_03_28 Boom Pricing'!$E$5+'2025_03_28 Boom Pricing'!$E$27+'2025_03_28 Boom Pricing'!$E$43+'2025_03_28 Boom Pricing'!$E$46</f>
        <v>48232.08</v>
      </c>
      <c r="E52" s="58">
        <f t="shared" si="0"/>
        <v>24116.04</v>
      </c>
      <c r="K52" s="4" t="s">
        <v>53</v>
      </c>
      <c r="L52" s="11" t="s">
        <v>182</v>
      </c>
      <c r="M52" s="4"/>
      <c r="N52" s="4">
        <v>600</v>
      </c>
      <c r="O52" s="4">
        <v>800</v>
      </c>
      <c r="P52" s="4">
        <v>1000</v>
      </c>
      <c r="Q52" s="4">
        <v>1200</v>
      </c>
      <c r="R52" s="4">
        <v>1400</v>
      </c>
      <c r="S52" s="4">
        <v>1600</v>
      </c>
    </row>
    <row r="53" spans="1:19" ht="15.75" customHeight="1" x14ac:dyDescent="0.3">
      <c r="A53" s="65"/>
      <c r="B53" s="65"/>
      <c r="C53" s="65"/>
      <c r="D53" s="81"/>
      <c r="E53" s="65"/>
      <c r="K53" t="s">
        <v>102</v>
      </c>
      <c r="L53" s="1">
        <v>48126.239999999998</v>
      </c>
      <c r="M53" s="2"/>
      <c r="N53" s="1">
        <f t="shared" ref="N53:S53" si="8">SUM($L$53+AD4)</f>
        <v>48126.239999999998</v>
      </c>
      <c r="O53" s="1">
        <f t="shared" si="8"/>
        <v>48126.239999999998</v>
      </c>
      <c r="P53" s="1">
        <f t="shared" si="8"/>
        <v>48126.239999999998</v>
      </c>
      <c r="Q53" s="1">
        <f t="shared" si="8"/>
        <v>48126.239999999998</v>
      </c>
      <c r="R53" s="1">
        <f t="shared" si="8"/>
        <v>49717.79</v>
      </c>
      <c r="S53" s="1">
        <f t="shared" si="8"/>
        <v>51418.21</v>
      </c>
    </row>
    <row r="54" spans="1:19" x14ac:dyDescent="0.3">
      <c r="A54" t="s">
        <v>183</v>
      </c>
      <c r="B54" s="70" t="s">
        <v>184</v>
      </c>
      <c r="D54" s="42">
        <f>'2025_03_28 Boom Pricing'!$E$6+'2025_03_28 Boom Pricing'!$E$23+'2025_03_28 Boom Pricing'!$E$38+'2025_03_28 Boom Pricing'!$E$46</f>
        <v>31180.373333333333</v>
      </c>
      <c r="E54" s="58">
        <f t="shared" si="0"/>
        <v>15590.186666666666</v>
      </c>
      <c r="K54" s="6" t="s">
        <v>35</v>
      </c>
    </row>
    <row r="55" spans="1:19" x14ac:dyDescent="0.3">
      <c r="A55" t="s">
        <v>185</v>
      </c>
      <c r="B55" t="s">
        <v>186</v>
      </c>
      <c r="D55" s="42">
        <f>'2025_03_28 Boom Pricing'!$E$6+'2025_03_28 Boom Pricing'!$E$23+'2025_03_28 Boom Pricing'!$E$39+'2025_03_28 Boom Pricing'!$E$46</f>
        <v>31180.373333333333</v>
      </c>
      <c r="E55" s="58">
        <f t="shared" si="0"/>
        <v>15590.186666666666</v>
      </c>
    </row>
    <row r="56" spans="1:19" ht="15.75" customHeight="1" x14ac:dyDescent="0.3">
      <c r="A56" t="s">
        <v>187</v>
      </c>
      <c r="B56" t="s">
        <v>188</v>
      </c>
      <c r="D56" s="42">
        <f>'2025_03_28 Boom Pricing'!$E$6+'2025_03_28 Boom Pricing'!$E$23+'2025_03_28 Boom Pricing'!$E$40+'2025_03_28 Boom Pricing'!$E$46</f>
        <v>31180.373333333333</v>
      </c>
      <c r="E56" s="58">
        <f t="shared" si="0"/>
        <v>15590.186666666666</v>
      </c>
    </row>
    <row r="57" spans="1:19" x14ac:dyDescent="0.3">
      <c r="A57" s="48" t="s">
        <v>189</v>
      </c>
      <c r="B57" s="48" t="s">
        <v>190</v>
      </c>
      <c r="C57" s="48"/>
      <c r="D57" s="119">
        <f>'2025_03_28 Boom Pricing'!$E$6+'2025_03_28 Boom Pricing'!$E$23+'2025_03_28 Boom Pricing'!$E$41+'2025_03_28 Boom Pricing'!$E$46</f>
        <v>31180.373333333333</v>
      </c>
      <c r="E57" s="117">
        <f t="shared" si="0"/>
        <v>15590.186666666666</v>
      </c>
      <c r="L57" s="5"/>
      <c r="N57" s="36"/>
      <c r="O57" s="36"/>
      <c r="P57" s="36"/>
      <c r="Q57" s="36"/>
      <c r="R57" s="5"/>
      <c r="S57" s="5"/>
    </row>
    <row r="58" spans="1:19" ht="15.75" customHeight="1" x14ac:dyDescent="0.3">
      <c r="A58" t="s">
        <v>191</v>
      </c>
      <c r="B58" s="70" t="s">
        <v>192</v>
      </c>
      <c r="D58" s="42">
        <f>'2025_03_28 Boom Pricing'!$E$6+'2025_03_28 Boom Pricing'!$E$24+'2025_03_28 Boom Pricing'!$E$38+'2025_03_28 Boom Pricing'!$E$46</f>
        <v>33155.279999999999</v>
      </c>
      <c r="E58" s="58">
        <f t="shared" si="0"/>
        <v>16577.64</v>
      </c>
      <c r="N58" s="36"/>
      <c r="O58" s="36"/>
      <c r="P58" s="36"/>
      <c r="Q58" s="36"/>
      <c r="R58" s="5"/>
      <c r="S58" s="5"/>
    </row>
    <row r="59" spans="1:19" x14ac:dyDescent="0.3">
      <c r="A59" t="s">
        <v>193</v>
      </c>
      <c r="B59" t="s">
        <v>194</v>
      </c>
      <c r="D59" s="42">
        <f>'2025_03_28 Boom Pricing'!$E$6+'2025_03_28 Boom Pricing'!$E$24+'2025_03_28 Boom Pricing'!$E$39+'2025_03_28 Boom Pricing'!$E$46</f>
        <v>33155.279999999999</v>
      </c>
      <c r="E59" s="58">
        <f t="shared" si="0"/>
        <v>16577.64</v>
      </c>
    </row>
    <row r="60" spans="1:19" ht="15.75" customHeight="1" x14ac:dyDescent="0.3">
      <c r="A60" t="s">
        <v>195</v>
      </c>
      <c r="B60" t="s">
        <v>196</v>
      </c>
      <c r="D60" s="42">
        <f>'2025_03_28 Boom Pricing'!$E$6+'2025_03_28 Boom Pricing'!$E$24+'2025_03_28 Boom Pricing'!$E$40+'2025_03_28 Boom Pricing'!$E$46</f>
        <v>33155.279999999999</v>
      </c>
      <c r="E60" s="58">
        <f t="shared" si="0"/>
        <v>16577.64</v>
      </c>
    </row>
    <row r="61" spans="1:19" ht="15.75" customHeight="1" x14ac:dyDescent="0.3">
      <c r="A61" s="48" t="s">
        <v>197</v>
      </c>
      <c r="B61" s="48" t="s">
        <v>198</v>
      </c>
      <c r="C61" s="48"/>
      <c r="D61" s="119">
        <f>'2025_03_28 Boom Pricing'!$E$6+'2025_03_28 Boom Pricing'!$E$24+'2025_03_28 Boom Pricing'!$E$41+'2025_03_28 Boom Pricing'!$E$46</f>
        <v>33155.279999999999</v>
      </c>
      <c r="E61" s="117">
        <f t="shared" si="0"/>
        <v>16577.64</v>
      </c>
    </row>
    <row r="62" spans="1:19" ht="15.75" customHeight="1" x14ac:dyDescent="0.3">
      <c r="A62" t="s">
        <v>199</v>
      </c>
      <c r="B62" s="70" t="s">
        <v>200</v>
      </c>
      <c r="D62" s="42">
        <f>'2025_03_28 Boom Pricing'!$E$6+'2025_03_28 Boom Pricing'!$E$25+'2025_03_28 Boom Pricing'!$E$38+'2025_03_28 Boom Pricing'!$E$46</f>
        <v>35135.119999999995</v>
      </c>
      <c r="E62" s="58">
        <f t="shared" si="0"/>
        <v>17567.559999999998</v>
      </c>
    </row>
    <row r="63" spans="1:19" ht="15.75" customHeight="1" x14ac:dyDescent="0.3">
      <c r="A63" t="s">
        <v>201</v>
      </c>
      <c r="B63" t="s">
        <v>202</v>
      </c>
      <c r="D63" s="42">
        <f>'2025_03_28 Boom Pricing'!$E$6+'2025_03_28 Boom Pricing'!$E$25+'2025_03_28 Boom Pricing'!$E$39+'2025_03_28 Boom Pricing'!$E$46</f>
        <v>35135.119999999995</v>
      </c>
      <c r="E63" s="58">
        <f t="shared" si="0"/>
        <v>17567.559999999998</v>
      </c>
    </row>
    <row r="64" spans="1:19" ht="15.75" customHeight="1" x14ac:dyDescent="0.3">
      <c r="A64" t="s">
        <v>203</v>
      </c>
      <c r="B64" t="s">
        <v>204</v>
      </c>
      <c r="D64" s="42">
        <f>'2025_03_28 Boom Pricing'!$E$6+'2025_03_28 Boom Pricing'!$E$25+'2025_03_28 Boom Pricing'!$E$40+'2025_03_28 Boom Pricing'!$E$46</f>
        <v>35135.119999999995</v>
      </c>
      <c r="E64" s="58">
        <f t="shared" si="0"/>
        <v>17567.559999999998</v>
      </c>
    </row>
    <row r="65" spans="1:24" ht="15.75" customHeight="1" x14ac:dyDescent="0.3">
      <c r="A65" s="48" t="s">
        <v>205</v>
      </c>
      <c r="B65" s="48" t="s">
        <v>206</v>
      </c>
      <c r="C65" s="48"/>
      <c r="D65" s="119">
        <f>'2025_03_28 Boom Pricing'!$E$6+'2025_03_28 Boom Pricing'!$E$25+'2025_03_28 Boom Pricing'!$E$41+'2025_03_28 Boom Pricing'!$E$46</f>
        <v>35135.119999999995</v>
      </c>
      <c r="E65" s="117">
        <f t="shared" si="0"/>
        <v>17567.559999999998</v>
      </c>
    </row>
    <row r="66" spans="1:24" ht="15.75" customHeight="1" x14ac:dyDescent="0.3">
      <c r="A66" t="s">
        <v>207</v>
      </c>
      <c r="B66" s="70" t="s">
        <v>208</v>
      </c>
      <c r="D66" s="42">
        <f>'2025_03_28 Boom Pricing'!$E$6+'2025_03_28 Boom Pricing'!$E$26+'2025_03_28 Boom Pricing'!$E$38+'2025_03_28 Boom Pricing'!$E$46</f>
        <v>37174.239999999991</v>
      </c>
      <c r="E66" s="58">
        <f t="shared" si="0"/>
        <v>18587.119999999995</v>
      </c>
      <c r="X66" s="5"/>
    </row>
    <row r="67" spans="1:24" ht="15.75" customHeight="1" x14ac:dyDescent="0.3">
      <c r="A67" t="s">
        <v>209</v>
      </c>
      <c r="B67" t="s">
        <v>210</v>
      </c>
      <c r="D67" s="42">
        <f>'2025_03_28 Boom Pricing'!$E$6+'2025_03_28 Boom Pricing'!$E$26+'2025_03_28 Boom Pricing'!$E$39+'2025_03_28 Boom Pricing'!$E$46</f>
        <v>37174.239999999991</v>
      </c>
      <c r="E67" s="58">
        <f t="shared" ref="E67:E73" si="9">D67*(1-0.5)</f>
        <v>18587.119999999995</v>
      </c>
    </row>
    <row r="68" spans="1:24" ht="15.75" customHeight="1" x14ac:dyDescent="0.3">
      <c r="A68" t="s">
        <v>211</v>
      </c>
      <c r="B68" t="s">
        <v>212</v>
      </c>
      <c r="D68" s="42">
        <f>'2025_03_28 Boom Pricing'!$E$6+'2025_03_28 Boom Pricing'!$E$26+'2025_03_28 Boom Pricing'!$E$40+'2025_03_28 Boom Pricing'!$E$46</f>
        <v>37174.239999999991</v>
      </c>
      <c r="E68" s="58">
        <f t="shared" si="9"/>
        <v>18587.119999999995</v>
      </c>
    </row>
    <row r="69" spans="1:24" ht="15.75" customHeight="1" x14ac:dyDescent="0.3">
      <c r="A69" s="48" t="s">
        <v>213</v>
      </c>
      <c r="B69" s="48" t="s">
        <v>214</v>
      </c>
      <c r="C69" s="48"/>
      <c r="D69" s="119">
        <f>'2025_03_28 Boom Pricing'!$E$6+'2025_03_28 Boom Pricing'!$E$26+'2025_03_28 Boom Pricing'!$E$41+'2025_03_28 Boom Pricing'!$E$46</f>
        <v>37174.239999999991</v>
      </c>
      <c r="E69" s="117">
        <f t="shared" si="9"/>
        <v>18587.119999999995</v>
      </c>
    </row>
    <row r="70" spans="1:24" ht="15.75" customHeight="1" x14ac:dyDescent="0.3">
      <c r="A70" t="s">
        <v>215</v>
      </c>
      <c r="B70" s="70" t="s">
        <v>216</v>
      </c>
      <c r="D70" s="42">
        <f>'2025_03_28 Boom Pricing'!$E$6+'2025_03_28 Boom Pricing'!$E$27+'2025_03_28 Boom Pricing'!$E$38+'2025_03_28 Boom Pricing'!$E$46</f>
        <v>39208.399999999994</v>
      </c>
      <c r="E70" s="58">
        <f t="shared" si="9"/>
        <v>19604.199999999997</v>
      </c>
    </row>
    <row r="71" spans="1:24" ht="15.75" customHeight="1" x14ac:dyDescent="0.3">
      <c r="A71" t="s">
        <v>217</v>
      </c>
      <c r="B71" t="s">
        <v>218</v>
      </c>
      <c r="D71" s="42">
        <f>'2025_03_28 Boom Pricing'!$E$6+'2025_03_28 Boom Pricing'!$E$27+'2025_03_28 Boom Pricing'!$E$39+'2025_03_28 Boom Pricing'!$E$46</f>
        <v>39208.399999999994</v>
      </c>
      <c r="E71" s="58">
        <f t="shared" si="9"/>
        <v>19604.199999999997</v>
      </c>
    </row>
    <row r="72" spans="1:24" ht="15.75" customHeight="1" x14ac:dyDescent="0.3">
      <c r="A72" t="s">
        <v>219</v>
      </c>
      <c r="B72" t="s">
        <v>220</v>
      </c>
      <c r="D72" s="42">
        <f>'2025_03_28 Boom Pricing'!$E$6+'2025_03_28 Boom Pricing'!$E$27+'2025_03_28 Boom Pricing'!$E$40+'2025_03_28 Boom Pricing'!$E$46</f>
        <v>39208.399999999994</v>
      </c>
      <c r="E72" s="58">
        <f t="shared" si="9"/>
        <v>19604.199999999997</v>
      </c>
    </row>
    <row r="73" spans="1:24" ht="15.75" customHeight="1" x14ac:dyDescent="0.3">
      <c r="A73" t="s">
        <v>221</v>
      </c>
      <c r="B73" t="s">
        <v>222</v>
      </c>
      <c r="D73" s="42">
        <f>'2025_03_28 Boom Pricing'!$E$6+'2025_03_28 Boom Pricing'!$E$27+'2025_03_28 Boom Pricing'!$E$41+'2025_03_28 Boom Pricing'!$E$46</f>
        <v>39208.399999999994</v>
      </c>
      <c r="E73" s="58">
        <f t="shared" si="9"/>
        <v>19604.199999999997</v>
      </c>
    </row>
    <row r="74" spans="1:24" ht="15.75" customHeight="1" x14ac:dyDescent="0.3">
      <c r="A74" s="65"/>
      <c r="B74" s="65"/>
      <c r="C74" s="65"/>
      <c r="D74" s="81"/>
      <c r="E74" s="65"/>
    </row>
    <row r="75" spans="1:24" ht="15.75" customHeight="1" x14ac:dyDescent="0.3">
      <c r="A75" t="s">
        <v>223</v>
      </c>
      <c r="B75" s="70" t="s">
        <v>224</v>
      </c>
      <c r="D75" s="42">
        <f>'2025_03_28 Boom Pricing'!$E$7+'2025_03_28 Boom Pricing'!$E$23+'2025_03_28 Boom Pricing'!$E$38+'2025_03_28 Boom Pricing'!$E$46</f>
        <v>35901.17333333334</v>
      </c>
      <c r="E75" s="58">
        <f>D75*(1-0.5)</f>
        <v>17950.58666666667</v>
      </c>
    </row>
    <row r="76" spans="1:24" ht="15.75" customHeight="1" x14ac:dyDescent="0.3">
      <c r="A76" t="s">
        <v>225</v>
      </c>
      <c r="B76" s="70" t="s">
        <v>226</v>
      </c>
      <c r="D76" s="42">
        <f>'2025_03_28 Boom Pricing'!$E$7+'2025_03_28 Boom Pricing'!$E$23+'2025_03_28 Boom Pricing'!$E$39+'2025_03_28 Boom Pricing'!$E$46</f>
        <v>35901.17333333334</v>
      </c>
      <c r="E76" s="58">
        <f t="shared" ref="E76:E139" si="10">D76*(1-0.5)</f>
        <v>17950.58666666667</v>
      </c>
    </row>
    <row r="77" spans="1:24" ht="15.75" customHeight="1" x14ac:dyDescent="0.3">
      <c r="A77" t="s">
        <v>227</v>
      </c>
      <c r="B77" s="70" t="s">
        <v>228</v>
      </c>
      <c r="D77" s="42">
        <f>'2025_03_28 Boom Pricing'!$E$7+'2025_03_28 Boom Pricing'!$E$23+'2025_03_28 Boom Pricing'!$E$40+'2025_03_28 Boom Pricing'!$E$46</f>
        <v>35901.17333333334</v>
      </c>
      <c r="E77" s="58">
        <f t="shared" si="10"/>
        <v>17950.58666666667</v>
      </c>
    </row>
    <row r="78" spans="1:24" ht="15.75" customHeight="1" x14ac:dyDescent="0.3">
      <c r="A78" t="s">
        <v>229</v>
      </c>
      <c r="B78" s="70" t="s">
        <v>230</v>
      </c>
      <c r="D78" s="42">
        <f>'2025_03_28 Boom Pricing'!$E$7+'2025_03_28 Boom Pricing'!$E$23+'2025_03_28 Boom Pricing'!$E$41+'2025_03_28 Boom Pricing'!$E$46</f>
        <v>35901.17333333334</v>
      </c>
      <c r="E78" s="58">
        <f t="shared" si="10"/>
        <v>17950.58666666667</v>
      </c>
    </row>
    <row r="79" spans="1:24" ht="15.75" customHeight="1" x14ac:dyDescent="0.3">
      <c r="A79" t="s">
        <v>231</v>
      </c>
      <c r="B79" s="70" t="s">
        <v>232</v>
      </c>
      <c r="D79" s="42">
        <f>'2025_03_28 Boom Pricing'!$E$7+'2025_03_28 Boom Pricing'!$E$23+'2025_03_28 Boom Pricing'!$E$42+'2025_03_28 Boom Pricing'!$E$46</f>
        <v>37492.720000000008</v>
      </c>
      <c r="E79" s="58">
        <f t="shared" si="10"/>
        <v>18746.360000000004</v>
      </c>
    </row>
    <row r="80" spans="1:24" ht="15.75" customHeight="1" x14ac:dyDescent="0.3">
      <c r="A80" s="48" t="s">
        <v>233</v>
      </c>
      <c r="B80" s="116" t="s">
        <v>234</v>
      </c>
      <c r="C80" s="48"/>
      <c r="D80" s="119">
        <f>'2025_03_28 Boom Pricing'!$E$7+'2025_03_28 Boom Pricing'!$E$23+'2025_03_28 Boom Pricing'!$E$43+'2025_03_28 Boom Pricing'!$E$46</f>
        <v>39193.146666666675</v>
      </c>
      <c r="E80" s="117">
        <f t="shared" si="10"/>
        <v>19596.573333333337</v>
      </c>
    </row>
    <row r="81" spans="1:5" ht="15.75" customHeight="1" x14ac:dyDescent="0.3">
      <c r="A81" t="s">
        <v>235</v>
      </c>
      <c r="B81" s="70" t="s">
        <v>236</v>
      </c>
      <c r="D81" s="42">
        <f>'2025_03_28 Boom Pricing'!$E$7+'2025_03_28 Boom Pricing'!$E$24+'2025_03_28 Boom Pricing'!$E$38+'2025_03_28 Boom Pricing'!$E$46</f>
        <v>37876.080000000002</v>
      </c>
      <c r="E81" s="58">
        <f t="shared" si="10"/>
        <v>18938.04</v>
      </c>
    </row>
    <row r="82" spans="1:5" x14ac:dyDescent="0.3">
      <c r="A82" t="s">
        <v>237</v>
      </c>
      <c r="B82" s="70" t="s">
        <v>238</v>
      </c>
      <c r="D82" s="42">
        <f>'2025_03_28 Boom Pricing'!$E$7+'2025_03_28 Boom Pricing'!$E$24+'2025_03_28 Boom Pricing'!$E$39+'2025_03_28 Boom Pricing'!$E$46</f>
        <v>37876.080000000002</v>
      </c>
      <c r="E82" s="58">
        <f t="shared" si="10"/>
        <v>18938.04</v>
      </c>
    </row>
    <row r="83" spans="1:5" x14ac:dyDescent="0.3">
      <c r="A83" t="s">
        <v>239</v>
      </c>
      <c r="B83" s="70" t="s">
        <v>240</v>
      </c>
      <c r="D83" s="42">
        <f>'2025_03_28 Boom Pricing'!$E$7+'2025_03_28 Boom Pricing'!$E$24+'2025_03_28 Boom Pricing'!$E$40+'2025_03_28 Boom Pricing'!$E$46</f>
        <v>37876.080000000002</v>
      </c>
      <c r="E83" s="58">
        <f t="shared" si="10"/>
        <v>18938.04</v>
      </c>
    </row>
    <row r="84" spans="1:5" x14ac:dyDescent="0.3">
      <c r="A84" t="s">
        <v>241</v>
      </c>
      <c r="B84" s="70" t="s">
        <v>242</v>
      </c>
      <c r="D84" s="42">
        <f>'2025_03_28 Boom Pricing'!$E$7+'2025_03_28 Boom Pricing'!$E$24+'2025_03_28 Boom Pricing'!$E$41+'2025_03_28 Boom Pricing'!$E$46</f>
        <v>37876.080000000002</v>
      </c>
      <c r="E84" s="58">
        <f t="shared" si="10"/>
        <v>18938.04</v>
      </c>
    </row>
    <row r="85" spans="1:5" x14ac:dyDescent="0.3">
      <c r="A85" t="s">
        <v>243</v>
      </c>
      <c r="B85" s="70" t="s">
        <v>244</v>
      </c>
      <c r="D85" s="42">
        <f>'2025_03_28 Boom Pricing'!$E$7+'2025_03_28 Boom Pricing'!$E$24+'2025_03_28 Boom Pricing'!$E$42+'2025_03_28 Boom Pricing'!$E$46</f>
        <v>39467.626666666671</v>
      </c>
      <c r="E85" s="58">
        <f t="shared" si="10"/>
        <v>19733.813333333335</v>
      </c>
    </row>
    <row r="86" spans="1:5" x14ac:dyDescent="0.3">
      <c r="A86" s="48" t="s">
        <v>245</v>
      </c>
      <c r="B86" s="116" t="s">
        <v>246</v>
      </c>
      <c r="C86" s="48"/>
      <c r="D86" s="119">
        <f>'2025_03_28 Boom Pricing'!$E$7+'2025_03_28 Boom Pricing'!$E$24+'2025_03_28 Boom Pricing'!$E$43+'2025_03_28 Boom Pricing'!$E$46</f>
        <v>41168.053333333337</v>
      </c>
      <c r="E86" s="117">
        <f t="shared" si="10"/>
        <v>20584.026666666668</v>
      </c>
    </row>
    <row r="87" spans="1:5" x14ac:dyDescent="0.3">
      <c r="A87" t="s">
        <v>247</v>
      </c>
      <c r="B87" s="70" t="s">
        <v>248</v>
      </c>
      <c r="D87" s="42">
        <f>'2025_03_28 Boom Pricing'!$E$7+'2025_03_28 Boom Pricing'!$E$25+'2025_03_28 Boom Pricing'!$E$38+'2025_03_28 Boom Pricing'!$E$46</f>
        <v>39855.920000000006</v>
      </c>
      <c r="E87" s="58">
        <f t="shared" si="10"/>
        <v>19927.960000000003</v>
      </c>
    </row>
    <row r="88" spans="1:5" x14ac:dyDescent="0.3">
      <c r="A88" t="s">
        <v>249</v>
      </c>
      <c r="B88" s="70" t="s">
        <v>250</v>
      </c>
      <c r="D88" s="42">
        <f>'2025_03_28 Boom Pricing'!$E$7+'2025_03_28 Boom Pricing'!$E$25+'2025_03_28 Boom Pricing'!$E$39+'2025_03_28 Boom Pricing'!$E$46</f>
        <v>39855.920000000006</v>
      </c>
      <c r="E88" s="58">
        <f t="shared" si="10"/>
        <v>19927.960000000003</v>
      </c>
    </row>
    <row r="89" spans="1:5" x14ac:dyDescent="0.3">
      <c r="A89" t="s">
        <v>251</v>
      </c>
      <c r="B89" s="70" t="s">
        <v>252</v>
      </c>
      <c r="D89" s="42">
        <f>'2025_03_28 Boom Pricing'!$E$7+'2025_03_28 Boom Pricing'!$E$25+'2025_03_28 Boom Pricing'!$E$40+'2025_03_28 Boom Pricing'!$E$46</f>
        <v>39855.920000000006</v>
      </c>
      <c r="E89" s="58">
        <f t="shared" si="10"/>
        <v>19927.960000000003</v>
      </c>
    </row>
    <row r="90" spans="1:5" x14ac:dyDescent="0.3">
      <c r="A90" t="s">
        <v>253</v>
      </c>
      <c r="B90" s="70" t="s">
        <v>254</v>
      </c>
      <c r="D90" s="42">
        <f>'2025_03_28 Boom Pricing'!$E$7+'2025_03_28 Boom Pricing'!$E$25+'2025_03_28 Boom Pricing'!$E$41+'2025_03_28 Boom Pricing'!$E$46</f>
        <v>39855.920000000006</v>
      </c>
      <c r="E90" s="58">
        <f t="shared" si="10"/>
        <v>19927.960000000003</v>
      </c>
    </row>
    <row r="91" spans="1:5" x14ac:dyDescent="0.3">
      <c r="A91" t="s">
        <v>255</v>
      </c>
      <c r="B91" s="70" t="s">
        <v>256</v>
      </c>
      <c r="D91" s="42">
        <f>'2025_03_28 Boom Pricing'!$E$7+'2025_03_28 Boom Pricing'!$E$25+'2025_03_28 Boom Pricing'!$E$42+'2025_03_28 Boom Pricing'!$E$46</f>
        <v>41447.466666666674</v>
      </c>
      <c r="E91" s="58">
        <f t="shared" si="10"/>
        <v>20723.733333333337</v>
      </c>
    </row>
    <row r="92" spans="1:5" x14ac:dyDescent="0.3">
      <c r="A92" s="48" t="s">
        <v>257</v>
      </c>
      <c r="B92" s="116" t="s">
        <v>258</v>
      </c>
      <c r="C92" s="48"/>
      <c r="D92" s="119">
        <f>'2025_03_28 Boom Pricing'!$E$7+'2025_03_28 Boom Pricing'!$E$25+'2025_03_28 Boom Pricing'!$E$43+'2025_03_28 Boom Pricing'!$E$46</f>
        <v>43147.893333333341</v>
      </c>
      <c r="E92" s="117">
        <f t="shared" si="10"/>
        <v>21573.94666666667</v>
      </c>
    </row>
    <row r="93" spans="1:5" x14ac:dyDescent="0.3">
      <c r="A93" t="s">
        <v>259</v>
      </c>
      <c r="B93" s="70" t="s">
        <v>260</v>
      </c>
      <c r="D93" s="42">
        <f>'2025_03_28 Boom Pricing'!$E$7+'2025_03_28 Boom Pricing'!$E$26+'2025_03_28 Boom Pricing'!$E$38+'2025_03_28 Boom Pricing'!$E$46</f>
        <v>41895.040000000001</v>
      </c>
      <c r="E93" s="58">
        <f t="shared" si="10"/>
        <v>20947.52</v>
      </c>
    </row>
    <row r="94" spans="1:5" x14ac:dyDescent="0.3">
      <c r="A94" t="s">
        <v>261</v>
      </c>
      <c r="B94" s="70" t="s">
        <v>262</v>
      </c>
      <c r="D94" s="42">
        <f>'2025_03_28 Boom Pricing'!$E$7+'2025_03_28 Boom Pricing'!$E$26+'2025_03_28 Boom Pricing'!$E$39+'2025_03_28 Boom Pricing'!$E$46</f>
        <v>41895.040000000001</v>
      </c>
      <c r="E94" s="58">
        <f t="shared" si="10"/>
        <v>20947.52</v>
      </c>
    </row>
    <row r="95" spans="1:5" x14ac:dyDescent="0.3">
      <c r="A95" t="s">
        <v>263</v>
      </c>
      <c r="B95" s="70" t="s">
        <v>264</v>
      </c>
      <c r="D95" s="42">
        <f>'2025_03_28 Boom Pricing'!$E$7+'2025_03_28 Boom Pricing'!$E$26+'2025_03_28 Boom Pricing'!$E$40+'2025_03_28 Boom Pricing'!$E$46</f>
        <v>41895.040000000001</v>
      </c>
      <c r="E95" s="58">
        <f t="shared" si="10"/>
        <v>20947.52</v>
      </c>
    </row>
    <row r="96" spans="1:5" x14ac:dyDescent="0.3">
      <c r="A96" t="s">
        <v>265</v>
      </c>
      <c r="B96" s="70" t="s">
        <v>266</v>
      </c>
      <c r="D96" s="42">
        <f>'2025_03_28 Boom Pricing'!$E$7+'2025_03_28 Boom Pricing'!$E$26+'2025_03_28 Boom Pricing'!$E$41+'2025_03_28 Boom Pricing'!$E$46</f>
        <v>41895.040000000001</v>
      </c>
      <c r="E96" s="58">
        <f t="shared" si="10"/>
        <v>20947.52</v>
      </c>
    </row>
    <row r="97" spans="1:5" x14ac:dyDescent="0.3">
      <c r="A97" t="s">
        <v>267</v>
      </c>
      <c r="B97" s="70" t="s">
        <v>268</v>
      </c>
      <c r="D97" s="42">
        <f>'2025_03_28 Boom Pricing'!$E$7+'2025_03_28 Boom Pricing'!$E$26+'2025_03_28 Boom Pricing'!$E$42+'2025_03_28 Boom Pricing'!$E$46</f>
        <v>43486.58666666667</v>
      </c>
      <c r="E97" s="58">
        <f t="shared" si="10"/>
        <v>21743.293333333335</v>
      </c>
    </row>
    <row r="98" spans="1:5" x14ac:dyDescent="0.3">
      <c r="A98" s="48" t="s">
        <v>269</v>
      </c>
      <c r="B98" s="116" t="s">
        <v>270</v>
      </c>
      <c r="C98" s="48"/>
      <c r="D98" s="119">
        <f>'2025_03_28 Boom Pricing'!$E$7+'2025_03_28 Boom Pricing'!$E$26+'2025_03_28 Boom Pricing'!$E$43+'2025_03_28 Boom Pricing'!$E$46</f>
        <v>45187.013333333336</v>
      </c>
      <c r="E98" s="117">
        <f t="shared" si="10"/>
        <v>22593.506666666668</v>
      </c>
    </row>
    <row r="99" spans="1:5" x14ac:dyDescent="0.3">
      <c r="A99" t="s">
        <v>271</v>
      </c>
      <c r="B99" s="70" t="s">
        <v>272</v>
      </c>
      <c r="D99" s="42">
        <f>'2025_03_28 Boom Pricing'!$E$7+'2025_03_28 Boom Pricing'!$E$27+'2025_03_28 Boom Pricing'!$E$38+'2025_03_28 Boom Pricing'!$E$46</f>
        <v>43929.2</v>
      </c>
      <c r="E99" s="58">
        <f t="shared" si="10"/>
        <v>21964.6</v>
      </c>
    </row>
    <row r="100" spans="1:5" x14ac:dyDescent="0.3">
      <c r="A100" t="s">
        <v>273</v>
      </c>
      <c r="B100" s="70" t="s">
        <v>274</v>
      </c>
      <c r="D100" s="42">
        <f>'2025_03_28 Boom Pricing'!$E$7+'2025_03_28 Boom Pricing'!$E$27+'2025_03_28 Boom Pricing'!$E$39+'2025_03_28 Boom Pricing'!$E$46</f>
        <v>43929.2</v>
      </c>
      <c r="E100" s="58">
        <f t="shared" si="10"/>
        <v>21964.6</v>
      </c>
    </row>
    <row r="101" spans="1:5" x14ac:dyDescent="0.3">
      <c r="A101" t="s">
        <v>275</v>
      </c>
      <c r="B101" s="70" t="s">
        <v>276</v>
      </c>
      <c r="D101" s="42">
        <f>'2025_03_28 Boom Pricing'!$E$7+'2025_03_28 Boom Pricing'!$E$27+'2025_03_28 Boom Pricing'!$E$40+'2025_03_28 Boom Pricing'!$E$46</f>
        <v>43929.2</v>
      </c>
      <c r="E101" s="58">
        <f t="shared" si="10"/>
        <v>21964.6</v>
      </c>
    </row>
    <row r="102" spans="1:5" x14ac:dyDescent="0.3">
      <c r="A102" t="s">
        <v>277</v>
      </c>
      <c r="B102" s="70" t="s">
        <v>278</v>
      </c>
      <c r="D102" s="42">
        <f>'2025_03_28 Boom Pricing'!$E$7+'2025_03_28 Boom Pricing'!$E$27+'2025_03_28 Boom Pricing'!$E$41+'2025_03_28 Boom Pricing'!$E$46</f>
        <v>43929.2</v>
      </c>
      <c r="E102" s="58">
        <f t="shared" si="10"/>
        <v>21964.6</v>
      </c>
    </row>
    <row r="103" spans="1:5" x14ac:dyDescent="0.3">
      <c r="A103" t="s">
        <v>279</v>
      </c>
      <c r="B103" s="70" t="s">
        <v>280</v>
      </c>
      <c r="D103" s="42">
        <f>'2025_03_28 Boom Pricing'!$E$7+'2025_03_28 Boom Pricing'!$E$27+'2025_03_28 Boom Pricing'!$E$42+'2025_03_28 Boom Pricing'!$E$46</f>
        <v>45520.746666666666</v>
      </c>
      <c r="E103" s="58">
        <f t="shared" si="10"/>
        <v>22760.373333333333</v>
      </c>
    </row>
    <row r="104" spans="1:5" x14ac:dyDescent="0.3">
      <c r="A104" t="s">
        <v>281</v>
      </c>
      <c r="B104" s="70" t="s">
        <v>282</v>
      </c>
      <c r="D104" s="42">
        <f>'2025_03_28 Boom Pricing'!$E$7+'2025_03_28 Boom Pricing'!$E$27+'2025_03_28 Boom Pricing'!$E$43+'2025_03_28 Boom Pricing'!$E$46</f>
        <v>47221.173333333332</v>
      </c>
      <c r="E104" s="58">
        <f t="shared" si="10"/>
        <v>23610.586666666666</v>
      </c>
    </row>
    <row r="105" spans="1:5" x14ac:dyDescent="0.3">
      <c r="A105" s="65"/>
      <c r="B105" s="65"/>
      <c r="C105" s="65"/>
      <c r="D105" s="81"/>
      <c r="E105" s="65"/>
    </row>
    <row r="106" spans="1:5" x14ac:dyDescent="0.3">
      <c r="A106" t="s">
        <v>283</v>
      </c>
      <c r="B106" s="70" t="s">
        <v>284</v>
      </c>
      <c r="D106" s="42">
        <f>'2025_03_28 Boom Pricing'!$E$8+'2025_03_28 Boom Pricing'!$E$38+'2025_03_28 Boom Pricing'!$E$47+'2025_03_28 Boom Pricing'!$E$23</f>
        <v>21369.333333333336</v>
      </c>
      <c r="E106" s="58">
        <f t="shared" si="10"/>
        <v>10684.666666666668</v>
      </c>
    </row>
    <row r="107" spans="1:5" x14ac:dyDescent="0.3">
      <c r="B107" s="70" t="s">
        <v>286</v>
      </c>
      <c r="D107" s="42">
        <f>'2025_03_28 Boom Pricing'!$E$8+'2025_03_28 Boom Pricing'!$E$39+'2025_03_28 Boom Pricing'!$E$47+'2025_03_28 Boom Pricing'!$E$23</f>
        <v>21369.333333333336</v>
      </c>
      <c r="E107" s="58">
        <f t="shared" si="10"/>
        <v>10684.666666666668</v>
      </c>
    </row>
    <row r="108" spans="1:5" x14ac:dyDescent="0.3">
      <c r="B108" s="70" t="s">
        <v>288</v>
      </c>
      <c r="D108" s="42">
        <f>'2025_03_28 Boom Pricing'!$E$8+'2025_03_28 Boom Pricing'!$E$40+'2025_03_28 Boom Pricing'!$E$47+'2025_03_28 Boom Pricing'!$E$23</f>
        <v>21369.333333333336</v>
      </c>
      <c r="E108" s="58">
        <f t="shared" si="10"/>
        <v>10684.666666666668</v>
      </c>
    </row>
    <row r="109" spans="1:5" x14ac:dyDescent="0.3">
      <c r="B109" s="70" t="s">
        <v>290</v>
      </c>
      <c r="D109" s="42">
        <f>'2025_03_28 Boom Pricing'!$E$8+'2025_03_28 Boom Pricing'!$E$41+'2025_03_28 Boom Pricing'!$E$47+'2025_03_28 Boom Pricing'!$E$23</f>
        <v>21369.333333333336</v>
      </c>
      <c r="E109" s="58">
        <f t="shared" si="10"/>
        <v>10684.666666666668</v>
      </c>
    </row>
    <row r="110" spans="1:5" x14ac:dyDescent="0.3">
      <c r="B110" s="70" t="s">
        <v>292</v>
      </c>
      <c r="D110" s="42">
        <f>'2025_03_28 Boom Pricing'!$E$8+'2025_03_28 Boom Pricing'!$E$42+'2025_03_28 Boom Pricing'!$E$47+'2025_03_28 Boom Pricing'!$E$23</f>
        <v>22960.880000000001</v>
      </c>
      <c r="E110" s="58">
        <f t="shared" si="10"/>
        <v>11480.44</v>
      </c>
    </row>
    <row r="111" spans="1:5" x14ac:dyDescent="0.3">
      <c r="A111" s="48"/>
      <c r="B111" s="116" t="s">
        <v>294</v>
      </c>
      <c r="C111" s="48"/>
      <c r="D111" s="119">
        <f>'2025_03_28 Boom Pricing'!$E$8+'2025_03_28 Boom Pricing'!$E$43+'2025_03_28 Boom Pricing'!$E$47+'2025_03_28 Boom Pricing'!$E$23</f>
        <v>24661.306666666667</v>
      </c>
      <c r="E111" s="117">
        <f t="shared" si="10"/>
        <v>12330.653333333334</v>
      </c>
    </row>
    <row r="112" spans="1:5" x14ac:dyDescent="0.3">
      <c r="B112" s="70" t="s">
        <v>296</v>
      </c>
      <c r="D112" s="42">
        <f>'2025_03_28 Boom Pricing'!$E$8+'2025_03_28 Boom Pricing'!$E$38+'2025_03_28 Boom Pricing'!$E$47+'2025_03_28 Boom Pricing'!$E$24</f>
        <v>23344.239999999998</v>
      </c>
      <c r="E112" s="58">
        <f t="shared" si="10"/>
        <v>11672.119999999999</v>
      </c>
    </row>
    <row r="113" spans="1:5" x14ac:dyDescent="0.3">
      <c r="B113" s="70" t="s">
        <v>298</v>
      </c>
      <c r="D113" s="42">
        <f>'2025_03_28 Boom Pricing'!$E$8+'2025_03_28 Boom Pricing'!$E$39+'2025_03_28 Boom Pricing'!$E$47+'2025_03_28 Boom Pricing'!$E$24</f>
        <v>23344.239999999998</v>
      </c>
      <c r="E113" s="58">
        <f t="shared" si="10"/>
        <v>11672.119999999999</v>
      </c>
    </row>
    <row r="114" spans="1:5" x14ac:dyDescent="0.3">
      <c r="B114" s="70" t="s">
        <v>300</v>
      </c>
      <c r="D114" s="42">
        <f>'2025_03_28 Boom Pricing'!$E$8+'2025_03_28 Boom Pricing'!$E$40+'2025_03_28 Boom Pricing'!$E$47+'2025_03_28 Boom Pricing'!$E$24</f>
        <v>23344.239999999998</v>
      </c>
      <c r="E114" s="58">
        <f t="shared" si="10"/>
        <v>11672.119999999999</v>
      </c>
    </row>
    <row r="115" spans="1:5" x14ac:dyDescent="0.3">
      <c r="B115" s="70" t="s">
        <v>302</v>
      </c>
      <c r="D115" s="42">
        <f>'2025_03_28 Boom Pricing'!$E$8+'2025_03_28 Boom Pricing'!$E$41+'2025_03_28 Boom Pricing'!$E$47+'2025_03_28 Boom Pricing'!$E$24</f>
        <v>23344.239999999998</v>
      </c>
      <c r="E115" s="58">
        <f t="shared" si="10"/>
        <v>11672.119999999999</v>
      </c>
    </row>
    <row r="116" spans="1:5" x14ac:dyDescent="0.3">
      <c r="B116" s="70" t="s">
        <v>304</v>
      </c>
      <c r="D116" s="42">
        <f>'2025_03_28 Boom Pricing'!$E$8+'2025_03_28 Boom Pricing'!$E$42+'2025_03_28 Boom Pricing'!$E$47+'2025_03_28 Boom Pricing'!$E$24</f>
        <v>24935.786666666663</v>
      </c>
      <c r="E116" s="115">
        <f t="shared" si="10"/>
        <v>12467.893333333332</v>
      </c>
    </row>
    <row r="117" spans="1:5" x14ac:dyDescent="0.3">
      <c r="A117" s="48"/>
      <c r="B117" s="116" t="s">
        <v>306</v>
      </c>
      <c r="C117" s="48"/>
      <c r="D117" s="119">
        <f>'2025_03_28 Boom Pricing'!$E$8+'2025_03_28 Boom Pricing'!$E$43+'2025_03_28 Boom Pricing'!$E$47+'2025_03_28 Boom Pricing'!$E$24</f>
        <v>26636.21333333333</v>
      </c>
      <c r="E117" s="117">
        <f t="shared" si="10"/>
        <v>13318.106666666665</v>
      </c>
    </row>
    <row r="118" spans="1:5" x14ac:dyDescent="0.3">
      <c r="B118" s="70" t="s">
        <v>308</v>
      </c>
      <c r="D118" s="42">
        <f>'2025_03_28 Boom Pricing'!$E$8+'2025_03_28 Boom Pricing'!$E$38+'2025_03_28 Boom Pricing'!$E$47+'2025_03_28 Boom Pricing'!$E$25</f>
        <v>25324.079999999998</v>
      </c>
      <c r="E118" s="115">
        <f t="shared" si="10"/>
        <v>12662.039999999999</v>
      </c>
    </row>
    <row r="119" spans="1:5" x14ac:dyDescent="0.3">
      <c r="B119" s="70" t="s">
        <v>310</v>
      </c>
      <c r="D119" s="42">
        <f>'2025_03_28 Boom Pricing'!$E$8+'2025_03_28 Boom Pricing'!$E$39+'2025_03_28 Boom Pricing'!$E$47+'2025_03_28 Boom Pricing'!$E$25</f>
        <v>25324.079999999998</v>
      </c>
      <c r="E119" s="115">
        <f t="shared" si="10"/>
        <v>12662.039999999999</v>
      </c>
    </row>
    <row r="120" spans="1:5" x14ac:dyDescent="0.3">
      <c r="B120" s="70" t="s">
        <v>312</v>
      </c>
      <c r="D120" s="42">
        <f>'2025_03_28 Boom Pricing'!$E$8+'2025_03_28 Boom Pricing'!$E$40+'2025_03_28 Boom Pricing'!$E$47+'2025_03_28 Boom Pricing'!$E$25</f>
        <v>25324.079999999998</v>
      </c>
      <c r="E120" s="115">
        <f t="shared" si="10"/>
        <v>12662.039999999999</v>
      </c>
    </row>
    <row r="121" spans="1:5" x14ac:dyDescent="0.3">
      <c r="B121" s="70" t="s">
        <v>314</v>
      </c>
      <c r="D121" s="42">
        <f>'2025_03_28 Boom Pricing'!$E$8+'2025_03_28 Boom Pricing'!$E$41+'2025_03_28 Boom Pricing'!$E$47+'2025_03_28 Boom Pricing'!$E$25</f>
        <v>25324.079999999998</v>
      </c>
      <c r="E121" s="115">
        <f t="shared" si="10"/>
        <v>12662.039999999999</v>
      </c>
    </row>
    <row r="122" spans="1:5" x14ac:dyDescent="0.3">
      <c r="B122" s="70" t="s">
        <v>316</v>
      </c>
      <c r="D122" s="42">
        <f>'2025_03_28 Boom Pricing'!$E$8+'2025_03_28 Boom Pricing'!$E$42+'2025_03_28 Boom Pricing'!$E$47+'2025_03_28 Boom Pricing'!$E$25</f>
        <v>26915.626666666663</v>
      </c>
      <c r="E122" s="115">
        <f t="shared" si="10"/>
        <v>13457.813333333332</v>
      </c>
    </row>
    <row r="123" spans="1:5" x14ac:dyDescent="0.3">
      <c r="A123" s="48"/>
      <c r="B123" s="116" t="s">
        <v>316</v>
      </c>
      <c r="C123" s="48"/>
      <c r="D123" s="119">
        <f>'2025_03_28 Boom Pricing'!$E$8+'2025_03_28 Boom Pricing'!$E$43+'2025_03_28 Boom Pricing'!$E$47+'2025_03_28 Boom Pricing'!$E$25</f>
        <v>28616.05333333333</v>
      </c>
      <c r="E123" s="117">
        <f t="shared" si="10"/>
        <v>14308.026666666665</v>
      </c>
    </row>
    <row r="124" spans="1:5" x14ac:dyDescent="0.3">
      <c r="B124" s="70" t="s">
        <v>319</v>
      </c>
      <c r="D124" s="42">
        <f>'2025_03_28 Boom Pricing'!$E$8+'2025_03_28 Boom Pricing'!$E$38+'2025_03_28 Boom Pricing'!$E$47+'2025_03_28 Boom Pricing'!$E$26</f>
        <v>27363.199999999997</v>
      </c>
      <c r="E124" s="115">
        <f t="shared" si="10"/>
        <v>13681.599999999999</v>
      </c>
    </row>
    <row r="125" spans="1:5" x14ac:dyDescent="0.3">
      <c r="B125" s="70" t="s">
        <v>321</v>
      </c>
      <c r="D125" s="42">
        <f>'2025_03_28 Boom Pricing'!$E$8+'2025_03_28 Boom Pricing'!$E$39+'2025_03_28 Boom Pricing'!$E$47+'2025_03_28 Boom Pricing'!$E$26</f>
        <v>27363.199999999997</v>
      </c>
      <c r="E125" s="115">
        <f t="shared" si="10"/>
        <v>13681.599999999999</v>
      </c>
    </row>
    <row r="126" spans="1:5" x14ac:dyDescent="0.3">
      <c r="B126" s="70" t="s">
        <v>323</v>
      </c>
      <c r="D126" s="42">
        <f>'2025_03_28 Boom Pricing'!$E$8+'2025_03_28 Boom Pricing'!$E$40+'2025_03_28 Boom Pricing'!$E$47+'2025_03_28 Boom Pricing'!$E$26</f>
        <v>27363.199999999997</v>
      </c>
      <c r="E126" s="115">
        <f t="shared" si="10"/>
        <v>13681.599999999999</v>
      </c>
    </row>
    <row r="127" spans="1:5" x14ac:dyDescent="0.3">
      <c r="B127" s="70" t="s">
        <v>325</v>
      </c>
      <c r="D127" s="42">
        <f>'2025_03_28 Boom Pricing'!$E$8+'2025_03_28 Boom Pricing'!$E$41+'2025_03_28 Boom Pricing'!$E$47+'2025_03_28 Boom Pricing'!$E$26</f>
        <v>27363.199999999997</v>
      </c>
      <c r="E127" s="115">
        <f t="shared" si="10"/>
        <v>13681.599999999999</v>
      </c>
    </row>
    <row r="128" spans="1:5" x14ac:dyDescent="0.3">
      <c r="B128" s="70" t="s">
        <v>327</v>
      </c>
      <c r="D128" s="42">
        <f>'2025_03_28 Boom Pricing'!$E$8+'2025_03_28 Boom Pricing'!$E$42+'2025_03_28 Boom Pricing'!$E$47+'2025_03_28 Boom Pricing'!$E$26</f>
        <v>28954.746666666659</v>
      </c>
      <c r="E128" s="115">
        <f t="shared" si="10"/>
        <v>14477.373333333329</v>
      </c>
    </row>
    <row r="129" spans="1:5" x14ac:dyDescent="0.3">
      <c r="A129" s="48"/>
      <c r="B129" s="116" t="s">
        <v>329</v>
      </c>
      <c r="C129" s="48"/>
      <c r="D129" s="119">
        <f>'2025_03_28 Boom Pricing'!$E$8+'2025_03_28 Boom Pricing'!$E$43+'2025_03_28 Boom Pricing'!$E$47+'2025_03_28 Boom Pricing'!$E$26</f>
        <v>30655.173333333325</v>
      </c>
      <c r="E129" s="117">
        <f t="shared" si="10"/>
        <v>15327.586666666662</v>
      </c>
    </row>
    <row r="130" spans="1:5" x14ac:dyDescent="0.3">
      <c r="B130" s="70" t="s">
        <v>331</v>
      </c>
      <c r="D130" s="42">
        <f>'2025_03_28 Boom Pricing'!$E$8+'2025_03_28 Boom Pricing'!$E$38+'2025_03_28 Boom Pricing'!$E$47+'2025_03_28 Boom Pricing'!$E$27</f>
        <v>29397.359999999993</v>
      </c>
      <c r="E130" s="115">
        <f t="shared" si="10"/>
        <v>14698.679999999997</v>
      </c>
    </row>
    <row r="131" spans="1:5" x14ac:dyDescent="0.3">
      <c r="B131" s="70" t="s">
        <v>333</v>
      </c>
      <c r="D131" s="42">
        <f>'2025_03_28 Boom Pricing'!$E$8+'2025_03_28 Boom Pricing'!$E$39+'2025_03_28 Boom Pricing'!$E$47+'2025_03_28 Boom Pricing'!$E$27</f>
        <v>29397.359999999993</v>
      </c>
      <c r="E131" s="115">
        <f t="shared" si="10"/>
        <v>14698.679999999997</v>
      </c>
    </row>
    <row r="132" spans="1:5" x14ac:dyDescent="0.3">
      <c r="B132" s="70" t="s">
        <v>335</v>
      </c>
      <c r="D132" s="42">
        <f>'2025_03_28 Boom Pricing'!$E$8+'2025_03_28 Boom Pricing'!$E$40+'2025_03_28 Boom Pricing'!$E$47+'2025_03_28 Boom Pricing'!$E$27</f>
        <v>29397.359999999993</v>
      </c>
      <c r="E132" s="115">
        <f t="shared" si="10"/>
        <v>14698.679999999997</v>
      </c>
    </row>
    <row r="133" spans="1:5" x14ac:dyDescent="0.3">
      <c r="B133" s="70" t="s">
        <v>337</v>
      </c>
      <c r="D133" s="42">
        <f>'2025_03_28 Boom Pricing'!$E$8+'2025_03_28 Boom Pricing'!$E$41+'2025_03_28 Boom Pricing'!$E$47+'2025_03_28 Boom Pricing'!$E$27</f>
        <v>29397.359999999993</v>
      </c>
      <c r="E133" s="115">
        <f t="shared" si="10"/>
        <v>14698.679999999997</v>
      </c>
    </row>
    <row r="134" spans="1:5" x14ac:dyDescent="0.3">
      <c r="B134" s="70" t="s">
        <v>339</v>
      </c>
      <c r="D134" s="42">
        <f>'2025_03_28 Boom Pricing'!$E$8+'2025_03_28 Boom Pricing'!$E$42+'2025_03_28 Boom Pricing'!$E$47+'2025_03_28 Boom Pricing'!$E$27</f>
        <v>30988.906666666659</v>
      </c>
      <c r="E134" s="115">
        <f t="shared" si="10"/>
        <v>15494.453333333329</v>
      </c>
    </row>
    <row r="135" spans="1:5" ht="16.2" thickBot="1" x14ac:dyDescent="0.35">
      <c r="A135" s="133"/>
      <c r="B135" s="134" t="s">
        <v>341</v>
      </c>
      <c r="C135" s="133"/>
      <c r="D135" s="135">
        <f>'2025_03_28 Boom Pricing'!$E$8+'2025_03_28 Boom Pricing'!$E$43+'2025_03_28 Boom Pricing'!$E$47+'2025_03_28 Boom Pricing'!$E$27</f>
        <v>32689.333333333325</v>
      </c>
      <c r="E135" s="136">
        <f t="shared" si="10"/>
        <v>16344.666666666662</v>
      </c>
    </row>
    <row r="136" spans="1:5" x14ac:dyDescent="0.3">
      <c r="B136" s="70" t="s">
        <v>343</v>
      </c>
      <c r="D136" s="42">
        <f>'2025_03_28 Boom Pricing'!$E$8+'2025_03_28 Boom Pricing'!$E$38+'2025_03_28 Boom Pricing'!$E$48+'2025_03_28 Boom Pricing'!$E$23</f>
        <v>21366.666666666668</v>
      </c>
      <c r="E136" s="115">
        <f t="shared" si="10"/>
        <v>10683.333333333334</v>
      </c>
    </row>
    <row r="137" spans="1:5" x14ac:dyDescent="0.3">
      <c r="B137" s="70" t="s">
        <v>345</v>
      </c>
      <c r="D137" s="42">
        <f>'2025_03_28 Boom Pricing'!$E$8+'2025_03_28 Boom Pricing'!$E$39+'2025_03_28 Boom Pricing'!$E$48+'2025_03_28 Boom Pricing'!$E$23</f>
        <v>21366.666666666668</v>
      </c>
      <c r="E137" s="115">
        <f t="shared" si="10"/>
        <v>10683.333333333334</v>
      </c>
    </row>
    <row r="138" spans="1:5" x14ac:dyDescent="0.3">
      <c r="B138" s="70" t="s">
        <v>347</v>
      </c>
      <c r="D138" s="42">
        <f>'2025_03_28 Boom Pricing'!$E$8+'2025_03_28 Boom Pricing'!$E$40+'2025_03_28 Boom Pricing'!$E$48+'2025_03_28 Boom Pricing'!$E$23</f>
        <v>21366.666666666668</v>
      </c>
      <c r="E138" s="115">
        <f t="shared" si="10"/>
        <v>10683.333333333334</v>
      </c>
    </row>
    <row r="139" spans="1:5" x14ac:dyDescent="0.3">
      <c r="B139" s="70" t="s">
        <v>349</v>
      </c>
      <c r="D139" s="42">
        <f>'2025_03_28 Boom Pricing'!$E$8+'2025_03_28 Boom Pricing'!$E$41+'2025_03_28 Boom Pricing'!$E$48+'2025_03_28 Boom Pricing'!$E$23</f>
        <v>21366.666666666668</v>
      </c>
      <c r="E139" s="115">
        <f t="shared" si="10"/>
        <v>10683.333333333334</v>
      </c>
    </row>
    <row r="140" spans="1:5" x14ac:dyDescent="0.3">
      <c r="B140" s="70" t="s">
        <v>351</v>
      </c>
      <c r="D140" s="42">
        <f>'2025_03_28 Boom Pricing'!$E$8+'2025_03_28 Boom Pricing'!$E$42+'2025_03_28 Boom Pricing'!$E$48+'2025_03_28 Boom Pricing'!$E$23</f>
        <v>22958.213333333333</v>
      </c>
      <c r="E140" s="115">
        <f t="shared" ref="E140:E203" si="11">D140*(1-0.5)</f>
        <v>11479.106666666667</v>
      </c>
    </row>
    <row r="141" spans="1:5" x14ac:dyDescent="0.3">
      <c r="A141" s="48"/>
      <c r="B141" s="116" t="s">
        <v>353</v>
      </c>
      <c r="C141" s="48"/>
      <c r="D141" s="119">
        <f>'2025_03_28 Boom Pricing'!$E$8+'2025_03_28 Boom Pricing'!$E$43+'2025_03_28 Boom Pricing'!$E$48+'2025_03_28 Boom Pricing'!$E$23</f>
        <v>24658.639999999999</v>
      </c>
      <c r="E141" s="117">
        <f t="shared" si="11"/>
        <v>12329.32</v>
      </c>
    </row>
    <row r="142" spans="1:5" x14ac:dyDescent="0.3">
      <c r="B142" s="70" t="s">
        <v>355</v>
      </c>
      <c r="D142" s="42">
        <f>'2025_03_28 Boom Pricing'!$E$8+'2025_03_28 Boom Pricing'!$E$38+'2025_03_28 Boom Pricing'!$E$48+'2025_03_28 Boom Pricing'!$E$24</f>
        <v>23341.57333333333</v>
      </c>
      <c r="E142" s="115">
        <f t="shared" si="11"/>
        <v>11670.786666666665</v>
      </c>
    </row>
    <row r="143" spans="1:5" x14ac:dyDescent="0.3">
      <c r="B143" s="70" t="s">
        <v>357</v>
      </c>
      <c r="D143" s="42">
        <f>'2025_03_28 Boom Pricing'!$E$8+'2025_03_28 Boom Pricing'!$E$39+'2025_03_28 Boom Pricing'!$E$48+'2025_03_28 Boom Pricing'!$E$24</f>
        <v>23341.57333333333</v>
      </c>
      <c r="E143" s="115">
        <f t="shared" si="11"/>
        <v>11670.786666666665</v>
      </c>
    </row>
    <row r="144" spans="1:5" x14ac:dyDescent="0.3">
      <c r="B144" s="70" t="s">
        <v>359</v>
      </c>
      <c r="D144" s="42">
        <f>'2025_03_28 Boom Pricing'!$E$8+'2025_03_28 Boom Pricing'!$E$40+'2025_03_28 Boom Pricing'!$E$48+'2025_03_28 Boom Pricing'!$E$24</f>
        <v>23341.57333333333</v>
      </c>
      <c r="E144" s="115">
        <f t="shared" si="11"/>
        <v>11670.786666666665</v>
      </c>
    </row>
    <row r="145" spans="1:5" x14ac:dyDescent="0.3">
      <c r="B145" s="70" t="s">
        <v>361</v>
      </c>
      <c r="D145" s="42">
        <f>'2025_03_28 Boom Pricing'!$E$8+'2025_03_28 Boom Pricing'!$E$41+'2025_03_28 Boom Pricing'!$E$48+'2025_03_28 Boom Pricing'!$E$24</f>
        <v>23341.57333333333</v>
      </c>
      <c r="E145" s="115">
        <f t="shared" si="11"/>
        <v>11670.786666666665</v>
      </c>
    </row>
    <row r="146" spans="1:5" x14ac:dyDescent="0.3">
      <c r="B146" s="70" t="s">
        <v>363</v>
      </c>
      <c r="D146" s="42">
        <f>'2025_03_28 Boom Pricing'!$E$8+'2025_03_28 Boom Pricing'!$E$42+'2025_03_28 Boom Pricing'!$E$48+'2025_03_28 Boom Pricing'!$E$24</f>
        <v>24933.119999999995</v>
      </c>
      <c r="E146" s="115">
        <f t="shared" si="11"/>
        <v>12466.559999999998</v>
      </c>
    </row>
    <row r="147" spans="1:5" x14ac:dyDescent="0.3">
      <c r="A147" s="48"/>
      <c r="B147" s="116" t="s">
        <v>365</v>
      </c>
      <c r="C147" s="48"/>
      <c r="D147" s="119">
        <f>'2025_03_28 Boom Pricing'!$E$8+'2025_03_28 Boom Pricing'!$E$43+'2025_03_28 Boom Pricing'!$E$48+'2025_03_28 Boom Pricing'!$E$24</f>
        <v>26633.546666666662</v>
      </c>
      <c r="E147" s="117">
        <f t="shared" si="11"/>
        <v>13316.773333333331</v>
      </c>
    </row>
    <row r="148" spans="1:5" x14ac:dyDescent="0.3">
      <c r="B148" s="70" t="s">
        <v>367</v>
      </c>
      <c r="D148" s="42">
        <f>'2025_03_28 Boom Pricing'!$E$8+'2025_03_28 Boom Pricing'!$E$38+'2025_03_28 Boom Pricing'!$E$48+'2025_03_28 Boom Pricing'!$E$25</f>
        <v>25321.41333333333</v>
      </c>
      <c r="E148" s="115">
        <f t="shared" si="11"/>
        <v>12660.706666666665</v>
      </c>
    </row>
    <row r="149" spans="1:5" x14ac:dyDescent="0.3">
      <c r="B149" s="70" t="s">
        <v>369</v>
      </c>
      <c r="D149" s="42">
        <f>'2025_03_28 Boom Pricing'!$E$8+'2025_03_28 Boom Pricing'!$E$39+'2025_03_28 Boom Pricing'!$E$48+'2025_03_28 Boom Pricing'!$E$25</f>
        <v>25321.41333333333</v>
      </c>
      <c r="E149" s="115">
        <f t="shared" si="11"/>
        <v>12660.706666666665</v>
      </c>
    </row>
    <row r="150" spans="1:5" x14ac:dyDescent="0.3">
      <c r="B150" s="70" t="s">
        <v>371</v>
      </c>
      <c r="D150" s="42">
        <f>'2025_03_28 Boom Pricing'!$E$8+'2025_03_28 Boom Pricing'!$E$40+'2025_03_28 Boom Pricing'!$E$48+'2025_03_28 Boom Pricing'!$E$25</f>
        <v>25321.41333333333</v>
      </c>
      <c r="E150" s="115">
        <f t="shared" si="11"/>
        <v>12660.706666666665</v>
      </c>
    </row>
    <row r="151" spans="1:5" x14ac:dyDescent="0.3">
      <c r="B151" s="70" t="s">
        <v>373</v>
      </c>
      <c r="D151" s="42">
        <f>'2025_03_28 Boom Pricing'!$E$8+'2025_03_28 Boom Pricing'!$E$41+'2025_03_28 Boom Pricing'!$E$48+'2025_03_28 Boom Pricing'!$E$25</f>
        <v>25321.41333333333</v>
      </c>
      <c r="E151" s="115">
        <f t="shared" si="11"/>
        <v>12660.706666666665</v>
      </c>
    </row>
    <row r="152" spans="1:5" x14ac:dyDescent="0.3">
      <c r="B152" s="70" t="s">
        <v>375</v>
      </c>
      <c r="D152" s="42">
        <f>'2025_03_28 Boom Pricing'!$E$8+'2025_03_28 Boom Pricing'!$E$42+'2025_03_28 Boom Pricing'!$E$48+'2025_03_28 Boom Pricing'!$E$25</f>
        <v>26912.959999999995</v>
      </c>
      <c r="E152" s="115">
        <f t="shared" si="11"/>
        <v>13456.479999999998</v>
      </c>
    </row>
    <row r="153" spans="1:5" x14ac:dyDescent="0.3">
      <c r="A153" s="48"/>
      <c r="B153" s="116" t="s">
        <v>377</v>
      </c>
      <c r="C153" s="48"/>
      <c r="D153" s="119">
        <f>'2025_03_28 Boom Pricing'!$E$8+'2025_03_28 Boom Pricing'!$E$43+'2025_03_28 Boom Pricing'!$E$48+'2025_03_28 Boom Pricing'!$E$25</f>
        <v>28613.386666666662</v>
      </c>
      <c r="E153" s="117">
        <f t="shared" si="11"/>
        <v>14306.693333333331</v>
      </c>
    </row>
    <row r="154" spans="1:5" x14ac:dyDescent="0.3">
      <c r="B154" s="70" t="s">
        <v>379</v>
      </c>
      <c r="D154" s="42">
        <f>'2025_03_28 Boom Pricing'!$E$8+'2025_03_28 Boom Pricing'!$E68+'2025_03_28 Boom Pricing'!$E$47+'2025_03_28 Boom Pricing'!$E$26</f>
        <v>27363.199999999997</v>
      </c>
      <c r="E154" s="115">
        <f t="shared" si="11"/>
        <v>13681.599999999999</v>
      </c>
    </row>
    <row r="155" spans="1:5" x14ac:dyDescent="0.3">
      <c r="B155" s="70" t="s">
        <v>381</v>
      </c>
      <c r="D155" s="42">
        <f>'2025_03_28 Boom Pricing'!$E$8+'2025_03_28 Boom Pricing'!$E69+'2025_03_28 Boom Pricing'!$E$47+'2025_03_28 Boom Pricing'!$E$26</f>
        <v>27363.199999999997</v>
      </c>
      <c r="E155" s="115">
        <f t="shared" si="11"/>
        <v>13681.599999999999</v>
      </c>
    </row>
    <row r="156" spans="1:5" x14ac:dyDescent="0.3">
      <c r="B156" s="70" t="s">
        <v>383</v>
      </c>
      <c r="D156" s="42">
        <f>'2025_03_28 Boom Pricing'!$E$8+'2025_03_28 Boom Pricing'!$E70+'2025_03_28 Boom Pricing'!$E$47+'2025_03_28 Boom Pricing'!$E$26</f>
        <v>27363.199999999997</v>
      </c>
      <c r="E156" s="115">
        <f t="shared" si="11"/>
        <v>13681.599999999999</v>
      </c>
    </row>
    <row r="157" spans="1:5" x14ac:dyDescent="0.3">
      <c r="B157" s="70" t="s">
        <v>385</v>
      </c>
      <c r="D157" s="42">
        <f>'2025_03_28 Boom Pricing'!$E$8+'2025_03_28 Boom Pricing'!$E71+'2025_03_28 Boom Pricing'!$E$47+'2025_03_28 Boom Pricing'!$E$26</f>
        <v>29408.915555555548</v>
      </c>
      <c r="E157" s="115">
        <f t="shared" si="11"/>
        <v>14704.457777777774</v>
      </c>
    </row>
    <row r="158" spans="1:5" x14ac:dyDescent="0.3">
      <c r="B158" s="70" t="s">
        <v>387</v>
      </c>
      <c r="D158" s="42">
        <f>'2025_03_28 Boom Pricing'!$E$8+'2025_03_28 Boom Pricing'!$E72+'2025_03_28 Boom Pricing'!$E$47+'2025_03_28 Boom Pricing'!$E$26</f>
        <v>31454.631111111099</v>
      </c>
      <c r="E158" s="115">
        <f t="shared" si="11"/>
        <v>15727.31555555555</v>
      </c>
    </row>
    <row r="159" spans="1:5" x14ac:dyDescent="0.3">
      <c r="A159" s="48"/>
      <c r="B159" s="116" t="s">
        <v>389</v>
      </c>
      <c r="C159" s="48"/>
      <c r="D159" s="119">
        <f>'2025_03_28 Boom Pricing'!$E$8+'2025_03_28 Boom Pricing'!$E73+'2025_03_28 Boom Pricing'!$E$47+'2025_03_28 Boom Pricing'!$E$26</f>
        <v>33500.34666666665</v>
      </c>
      <c r="E159" s="117">
        <f t="shared" si="11"/>
        <v>16750.173333333325</v>
      </c>
    </row>
    <row r="160" spans="1:5" x14ac:dyDescent="0.3">
      <c r="B160" s="70" t="s">
        <v>391</v>
      </c>
      <c r="D160" s="42">
        <f>'2025_03_28 Boom Pricing'!$E$8+'2025_03_28 Boom Pricing'!$E$38+'2025_03_28 Boom Pricing'!$E$48+'2025_03_28 Boom Pricing'!$E$27</f>
        <v>29394.693333333325</v>
      </c>
      <c r="E160" s="115">
        <f t="shared" si="11"/>
        <v>14697.346666666663</v>
      </c>
    </row>
    <row r="161" spans="1:5" x14ac:dyDescent="0.3">
      <c r="B161" s="70" t="s">
        <v>393</v>
      </c>
      <c r="D161" s="42">
        <f>'2025_03_28 Boom Pricing'!$E$8+'2025_03_28 Boom Pricing'!$E$39+'2025_03_28 Boom Pricing'!$E$48+'2025_03_28 Boom Pricing'!$E$27</f>
        <v>29394.693333333325</v>
      </c>
      <c r="E161" s="115">
        <f t="shared" si="11"/>
        <v>14697.346666666663</v>
      </c>
    </row>
    <row r="162" spans="1:5" x14ac:dyDescent="0.3">
      <c r="B162" s="70" t="s">
        <v>395</v>
      </c>
      <c r="D162" s="42">
        <f>'2025_03_28 Boom Pricing'!$E$8+'2025_03_28 Boom Pricing'!$E$40+'2025_03_28 Boom Pricing'!$E$48+'2025_03_28 Boom Pricing'!$E$27</f>
        <v>29394.693333333325</v>
      </c>
      <c r="E162" s="115">
        <f t="shared" si="11"/>
        <v>14697.346666666663</v>
      </c>
    </row>
    <row r="163" spans="1:5" x14ac:dyDescent="0.3">
      <c r="B163" s="70" t="s">
        <v>397</v>
      </c>
      <c r="D163" s="42">
        <f>'2025_03_28 Boom Pricing'!$E$8+'2025_03_28 Boom Pricing'!$E$41+'2025_03_28 Boom Pricing'!$E$48+'2025_03_28 Boom Pricing'!$E$27</f>
        <v>29394.693333333325</v>
      </c>
      <c r="E163" s="115">
        <f t="shared" si="11"/>
        <v>14697.346666666663</v>
      </c>
    </row>
    <row r="164" spans="1:5" x14ac:dyDescent="0.3">
      <c r="B164" s="70" t="s">
        <v>399</v>
      </c>
      <c r="D164" s="42">
        <f>'2025_03_28 Boom Pricing'!$E$8+'2025_03_28 Boom Pricing'!$E$42+'2025_03_28 Boom Pricing'!$E$48+'2025_03_28 Boom Pricing'!$E$27</f>
        <v>30986.239999999991</v>
      </c>
      <c r="E164" s="115">
        <f t="shared" si="11"/>
        <v>15493.119999999995</v>
      </c>
    </row>
    <row r="165" spans="1:5" ht="16.2" thickBot="1" x14ac:dyDescent="0.35">
      <c r="A165" s="133"/>
      <c r="B165" s="134" t="s">
        <v>401</v>
      </c>
      <c r="C165" s="133"/>
      <c r="D165" s="135">
        <f>'2025_03_28 Boom Pricing'!$E$8+'2025_03_28 Boom Pricing'!$E$43+'2025_03_28 Boom Pricing'!$E$48+'2025_03_28 Boom Pricing'!$E$27</f>
        <v>32686.666666666657</v>
      </c>
      <c r="E165" s="136">
        <f t="shared" si="11"/>
        <v>16343.333333333328</v>
      </c>
    </row>
    <row r="166" spans="1:5" x14ac:dyDescent="0.3">
      <c r="B166" s="70" t="s">
        <v>403</v>
      </c>
      <c r="D166" s="137">
        <f>'2025_03_28 Boom Pricing'!$E$8+'2025_03_28 Boom Pricing'!$E$38+'2025_03_28 Boom Pricing'!$E$49+'2025_03_28 Boom Pricing'!$E$23</f>
        <v>21366.666666666668</v>
      </c>
      <c r="E166" s="115">
        <f t="shared" si="11"/>
        <v>10683.333333333334</v>
      </c>
    </row>
    <row r="167" spans="1:5" x14ac:dyDescent="0.3">
      <c r="B167" s="70" t="s">
        <v>405</v>
      </c>
      <c r="D167" s="42">
        <f>'2025_03_28 Boom Pricing'!$E$8+'2025_03_28 Boom Pricing'!$E$39+'2025_03_28 Boom Pricing'!$E$49+'2025_03_28 Boom Pricing'!$E$23</f>
        <v>21366.666666666668</v>
      </c>
      <c r="E167" s="115">
        <f t="shared" si="11"/>
        <v>10683.333333333334</v>
      </c>
    </row>
    <row r="168" spans="1:5" x14ac:dyDescent="0.3">
      <c r="B168" s="70" t="s">
        <v>407</v>
      </c>
      <c r="D168" s="42">
        <f>'2025_03_28 Boom Pricing'!$E$8+'2025_03_28 Boom Pricing'!$E$40+'2025_03_28 Boom Pricing'!$E$49+'2025_03_28 Boom Pricing'!$E$23</f>
        <v>21366.666666666668</v>
      </c>
      <c r="E168" s="115">
        <f t="shared" si="11"/>
        <v>10683.333333333334</v>
      </c>
    </row>
    <row r="169" spans="1:5" x14ac:dyDescent="0.3">
      <c r="B169" s="70" t="s">
        <v>409</v>
      </c>
      <c r="D169" s="42">
        <f>'2025_03_28 Boom Pricing'!$E$8+'2025_03_28 Boom Pricing'!$E$41+'2025_03_28 Boom Pricing'!$E$49+'2025_03_28 Boom Pricing'!$E$23</f>
        <v>21366.666666666668</v>
      </c>
      <c r="E169" s="115">
        <f t="shared" si="11"/>
        <v>10683.333333333334</v>
      </c>
    </row>
    <row r="170" spans="1:5" x14ac:dyDescent="0.3">
      <c r="B170" s="70" t="s">
        <v>411</v>
      </c>
      <c r="D170" s="42">
        <f>'2025_03_28 Boom Pricing'!$E$8+'2025_03_28 Boom Pricing'!$E$42+'2025_03_28 Boom Pricing'!$E$49+'2025_03_28 Boom Pricing'!$E$23</f>
        <v>22958.213333333333</v>
      </c>
      <c r="E170" s="115">
        <f t="shared" si="11"/>
        <v>11479.106666666667</v>
      </c>
    </row>
    <row r="171" spans="1:5" x14ac:dyDescent="0.3">
      <c r="A171" s="48"/>
      <c r="B171" s="116" t="s">
        <v>413</v>
      </c>
      <c r="C171" s="48"/>
      <c r="D171" s="119">
        <f>'2025_03_28 Boom Pricing'!$E$8+'2025_03_28 Boom Pricing'!$E$43+'2025_03_28 Boom Pricing'!$E$49+'2025_03_28 Boom Pricing'!$E$23</f>
        <v>24658.639999999999</v>
      </c>
      <c r="E171" s="117">
        <f t="shared" si="11"/>
        <v>12329.32</v>
      </c>
    </row>
    <row r="172" spans="1:5" x14ac:dyDescent="0.3">
      <c r="B172" s="70" t="s">
        <v>415</v>
      </c>
      <c r="D172" s="42">
        <f>'2025_03_28 Boom Pricing'!$E$8+'2025_03_28 Boom Pricing'!$E$38+'2025_03_28 Boom Pricing'!$E$49+'2025_03_28 Boom Pricing'!$E$24</f>
        <v>23341.57333333333</v>
      </c>
      <c r="E172" s="115">
        <f t="shared" si="11"/>
        <v>11670.786666666665</v>
      </c>
    </row>
    <row r="173" spans="1:5" x14ac:dyDescent="0.3">
      <c r="B173" s="70" t="s">
        <v>417</v>
      </c>
      <c r="D173" s="42">
        <f>'2025_03_28 Boom Pricing'!$E$8+'2025_03_28 Boom Pricing'!$E$39+'2025_03_28 Boom Pricing'!$E$49+'2025_03_28 Boom Pricing'!$E$24</f>
        <v>23341.57333333333</v>
      </c>
      <c r="E173" s="115">
        <f t="shared" si="11"/>
        <v>11670.786666666665</v>
      </c>
    </row>
    <row r="174" spans="1:5" x14ac:dyDescent="0.3">
      <c r="B174" s="70" t="s">
        <v>419</v>
      </c>
      <c r="D174" s="42">
        <f>'2025_03_28 Boom Pricing'!$E$8+'2025_03_28 Boom Pricing'!$E$40+'2025_03_28 Boom Pricing'!$E$49+'2025_03_28 Boom Pricing'!$E$24</f>
        <v>23341.57333333333</v>
      </c>
      <c r="E174" s="115">
        <f t="shared" si="11"/>
        <v>11670.786666666665</v>
      </c>
    </row>
    <row r="175" spans="1:5" x14ac:dyDescent="0.3">
      <c r="B175" s="70" t="s">
        <v>421</v>
      </c>
      <c r="D175" s="42">
        <f>'2025_03_28 Boom Pricing'!$E$8+'2025_03_28 Boom Pricing'!$E$41+'2025_03_28 Boom Pricing'!$E$49+'2025_03_28 Boom Pricing'!$E$24</f>
        <v>23341.57333333333</v>
      </c>
      <c r="E175" s="115">
        <f t="shared" si="11"/>
        <v>11670.786666666665</v>
      </c>
    </row>
    <row r="176" spans="1:5" x14ac:dyDescent="0.3">
      <c r="B176" s="70" t="s">
        <v>423</v>
      </c>
      <c r="D176" s="42">
        <f>'2025_03_28 Boom Pricing'!$E$8+'2025_03_28 Boom Pricing'!$E$42+'2025_03_28 Boom Pricing'!$E$49+'2025_03_28 Boom Pricing'!$E$24</f>
        <v>24933.119999999995</v>
      </c>
      <c r="E176" s="115">
        <f t="shared" si="11"/>
        <v>12466.559999999998</v>
      </c>
    </row>
    <row r="177" spans="1:5" x14ac:dyDescent="0.3">
      <c r="A177" s="48"/>
      <c r="B177" s="116" t="s">
        <v>425</v>
      </c>
      <c r="C177" s="48"/>
      <c r="D177" s="119">
        <f>'2025_03_28 Boom Pricing'!$E$8+'2025_03_28 Boom Pricing'!$E$43+'2025_03_28 Boom Pricing'!$E$49+'2025_03_28 Boom Pricing'!$E$24</f>
        <v>26633.546666666662</v>
      </c>
      <c r="E177" s="117">
        <f t="shared" si="11"/>
        <v>13316.773333333331</v>
      </c>
    </row>
    <row r="178" spans="1:5" x14ac:dyDescent="0.3">
      <c r="B178" s="70" t="s">
        <v>427</v>
      </c>
      <c r="D178" s="42">
        <f>'2025_03_28 Boom Pricing'!$E$8+'2025_03_28 Boom Pricing'!$E$38+'2025_03_28 Boom Pricing'!$E$49+'2025_03_28 Boom Pricing'!$E$25</f>
        <v>25321.41333333333</v>
      </c>
      <c r="E178" s="115">
        <f t="shared" si="11"/>
        <v>12660.706666666665</v>
      </c>
    </row>
    <row r="179" spans="1:5" x14ac:dyDescent="0.3">
      <c r="B179" s="70" t="s">
        <v>429</v>
      </c>
      <c r="D179" s="42">
        <f>'2025_03_28 Boom Pricing'!$E$8+'2025_03_28 Boom Pricing'!$E$39+'2025_03_28 Boom Pricing'!$E$49+'2025_03_28 Boom Pricing'!$E$25</f>
        <v>25321.41333333333</v>
      </c>
      <c r="E179" s="115">
        <f t="shared" si="11"/>
        <v>12660.706666666665</v>
      </c>
    </row>
    <row r="180" spans="1:5" x14ac:dyDescent="0.3">
      <c r="B180" s="70" t="s">
        <v>431</v>
      </c>
      <c r="D180" s="42">
        <f>'2025_03_28 Boom Pricing'!$E$8+'2025_03_28 Boom Pricing'!$E$40+'2025_03_28 Boom Pricing'!$E$49+'2025_03_28 Boom Pricing'!$E$25</f>
        <v>25321.41333333333</v>
      </c>
      <c r="E180" s="115">
        <f t="shared" si="11"/>
        <v>12660.706666666665</v>
      </c>
    </row>
    <row r="181" spans="1:5" x14ac:dyDescent="0.3">
      <c r="B181" s="70" t="s">
        <v>433</v>
      </c>
      <c r="D181" s="42">
        <f>'2025_03_28 Boom Pricing'!$E$8+'2025_03_28 Boom Pricing'!$E$41+'2025_03_28 Boom Pricing'!$E$49+'2025_03_28 Boom Pricing'!$E$25</f>
        <v>25321.41333333333</v>
      </c>
      <c r="E181" s="115">
        <f t="shared" si="11"/>
        <v>12660.706666666665</v>
      </c>
    </row>
    <row r="182" spans="1:5" x14ac:dyDescent="0.3">
      <c r="B182" s="70" t="s">
        <v>435</v>
      </c>
      <c r="D182" s="42">
        <f>'2025_03_28 Boom Pricing'!$E$8+'2025_03_28 Boom Pricing'!$E$42+'2025_03_28 Boom Pricing'!$E$49+'2025_03_28 Boom Pricing'!$E$25</f>
        <v>26912.959999999995</v>
      </c>
      <c r="E182" s="115">
        <f t="shared" si="11"/>
        <v>13456.479999999998</v>
      </c>
    </row>
    <row r="183" spans="1:5" x14ac:dyDescent="0.3">
      <c r="A183" s="48"/>
      <c r="B183" s="116" t="s">
        <v>437</v>
      </c>
      <c r="C183" s="48"/>
      <c r="D183" s="119">
        <f>'2025_03_28 Boom Pricing'!$E$8+'2025_03_28 Boom Pricing'!$E$43+'2025_03_28 Boom Pricing'!$E$49+'2025_03_28 Boom Pricing'!$E$25</f>
        <v>28613.386666666662</v>
      </c>
      <c r="E183" s="117">
        <f t="shared" si="11"/>
        <v>14306.693333333331</v>
      </c>
    </row>
    <row r="184" spans="1:5" x14ac:dyDescent="0.3">
      <c r="B184" s="70" t="s">
        <v>439</v>
      </c>
      <c r="D184" s="42">
        <f>'2025_03_28 Boom Pricing'!$E$8+'2025_03_28 Boom Pricing'!$E$38+'2025_03_28 Boom Pricing'!$E$48+'2025_03_28 Boom Pricing'!$E$26</f>
        <v>27360.533333333326</v>
      </c>
      <c r="E184" s="115">
        <f t="shared" si="11"/>
        <v>13680.266666666663</v>
      </c>
    </row>
    <row r="185" spans="1:5" x14ac:dyDescent="0.3">
      <c r="B185" s="70" t="s">
        <v>441</v>
      </c>
      <c r="D185" s="42">
        <f>'2025_03_28 Boom Pricing'!$E$8+'2025_03_28 Boom Pricing'!$E$39+'2025_03_28 Boom Pricing'!$E$48+'2025_03_28 Boom Pricing'!$E$26</f>
        <v>27360.533333333326</v>
      </c>
      <c r="E185" s="115">
        <f t="shared" si="11"/>
        <v>13680.266666666663</v>
      </c>
    </row>
    <row r="186" spans="1:5" x14ac:dyDescent="0.3">
      <c r="B186" s="70" t="s">
        <v>443</v>
      </c>
      <c r="D186" s="42">
        <f>'2025_03_28 Boom Pricing'!$E$8+'2025_03_28 Boom Pricing'!$E$40+'2025_03_28 Boom Pricing'!$E$48+'2025_03_28 Boom Pricing'!$E$26</f>
        <v>27360.533333333326</v>
      </c>
      <c r="E186" s="115">
        <f t="shared" si="11"/>
        <v>13680.266666666663</v>
      </c>
    </row>
    <row r="187" spans="1:5" x14ac:dyDescent="0.3">
      <c r="B187" s="70" t="s">
        <v>445</v>
      </c>
      <c r="D187" s="42">
        <f>'2025_03_28 Boom Pricing'!$E$8+'2025_03_28 Boom Pricing'!$E$41+'2025_03_28 Boom Pricing'!$E$48+'2025_03_28 Boom Pricing'!$E$26</f>
        <v>27360.533333333326</v>
      </c>
      <c r="E187" s="115">
        <f t="shared" si="11"/>
        <v>13680.266666666663</v>
      </c>
    </row>
    <row r="188" spans="1:5" x14ac:dyDescent="0.3">
      <c r="B188" s="70" t="s">
        <v>447</v>
      </c>
      <c r="D188" s="42">
        <f>'2025_03_28 Boom Pricing'!$E$8+'2025_03_28 Boom Pricing'!$E$42+'2025_03_28 Boom Pricing'!$E$48+'2025_03_28 Boom Pricing'!$E$26</f>
        <v>28952.079999999994</v>
      </c>
      <c r="E188" s="115">
        <f t="shared" si="11"/>
        <v>14476.039999999997</v>
      </c>
    </row>
    <row r="189" spans="1:5" x14ac:dyDescent="0.3">
      <c r="A189" s="48"/>
      <c r="B189" s="116" t="s">
        <v>449</v>
      </c>
      <c r="C189" s="48"/>
      <c r="D189" s="119">
        <f>'2025_03_28 Boom Pricing'!$E$8+'2025_03_28 Boom Pricing'!$E$43+'2025_03_28 Boom Pricing'!$E$48+'2025_03_28 Boom Pricing'!$E$26</f>
        <v>30652.506666666661</v>
      </c>
      <c r="E189" s="117">
        <f t="shared" si="11"/>
        <v>15326.25333333333</v>
      </c>
    </row>
    <row r="190" spans="1:5" x14ac:dyDescent="0.3">
      <c r="B190" s="70" t="s">
        <v>451</v>
      </c>
      <c r="D190" s="42">
        <f>'2025_03_28 Boom Pricing'!$E$8+'2025_03_28 Boom Pricing'!$E$38+'2025_03_28 Boom Pricing'!$E$49+'2025_03_28 Boom Pricing'!$E$27</f>
        <v>29394.693333333325</v>
      </c>
      <c r="E190" s="115">
        <f t="shared" si="11"/>
        <v>14697.346666666663</v>
      </c>
    </row>
    <row r="191" spans="1:5" x14ac:dyDescent="0.3">
      <c r="B191" s="70" t="s">
        <v>453</v>
      </c>
      <c r="D191" s="42">
        <f>'2025_03_28 Boom Pricing'!$E$8+'2025_03_28 Boom Pricing'!$E$39+'2025_03_28 Boom Pricing'!$E$49+'2025_03_28 Boom Pricing'!$E$27</f>
        <v>29394.693333333325</v>
      </c>
      <c r="E191" s="115">
        <f t="shared" si="11"/>
        <v>14697.346666666663</v>
      </c>
    </row>
    <row r="192" spans="1:5" x14ac:dyDescent="0.3">
      <c r="B192" s="70" t="s">
        <v>455</v>
      </c>
      <c r="D192" s="42">
        <f>'2025_03_28 Boom Pricing'!$E$8+'2025_03_28 Boom Pricing'!$E$40+'2025_03_28 Boom Pricing'!$E$49+'2025_03_28 Boom Pricing'!$E$27</f>
        <v>29394.693333333325</v>
      </c>
      <c r="E192" s="115">
        <f t="shared" si="11"/>
        <v>14697.346666666663</v>
      </c>
    </row>
    <row r="193" spans="1:19" x14ac:dyDescent="0.3">
      <c r="B193" s="70" t="s">
        <v>457</v>
      </c>
      <c r="D193" s="42">
        <f>'2025_03_28 Boom Pricing'!$E$8+'2025_03_28 Boom Pricing'!$E$41+'2025_03_28 Boom Pricing'!$E$49+'2025_03_28 Boom Pricing'!$E$27</f>
        <v>29394.693333333325</v>
      </c>
      <c r="E193" s="115">
        <f t="shared" si="11"/>
        <v>14697.346666666663</v>
      </c>
    </row>
    <row r="194" spans="1:19" x14ac:dyDescent="0.3">
      <c r="B194" s="70" t="s">
        <v>459</v>
      </c>
      <c r="D194" s="42">
        <f>'2025_03_28 Boom Pricing'!$E$8+'2025_03_28 Boom Pricing'!$E$42+'2025_03_28 Boom Pricing'!$E$49+'2025_03_28 Boom Pricing'!$E$27</f>
        <v>30986.239999999991</v>
      </c>
      <c r="E194" s="115">
        <f t="shared" si="11"/>
        <v>15493.119999999995</v>
      </c>
      <c r="L194" s="36"/>
      <c r="N194" s="36"/>
      <c r="O194" s="36"/>
      <c r="P194" s="36"/>
      <c r="Q194" s="36"/>
      <c r="R194" s="36"/>
      <c r="S194" s="36"/>
    </row>
    <row r="195" spans="1:19" ht="16.2" thickBot="1" x14ac:dyDescent="0.35">
      <c r="A195" s="133"/>
      <c r="B195" s="134" t="s">
        <v>461</v>
      </c>
      <c r="C195" s="133"/>
      <c r="D195" s="135">
        <f>'2025_03_28 Boom Pricing'!$E$8+'2025_03_28 Boom Pricing'!$E$43+'2025_03_28 Boom Pricing'!$E$49+'2025_03_28 Boom Pricing'!$E$27</f>
        <v>32686.666666666657</v>
      </c>
      <c r="E195" s="136">
        <f t="shared" si="11"/>
        <v>16343.333333333328</v>
      </c>
      <c r="K195" s="6"/>
    </row>
    <row r="196" spans="1:19" x14ac:dyDescent="0.3">
      <c r="B196" s="70" t="s">
        <v>463</v>
      </c>
      <c r="D196" s="42">
        <f>'2025_03_28 Boom Pricing'!$E$8+'2025_03_28 Boom Pricing'!$E$38+'2025_03_28 Boom Pricing'!$E$50+'2025_03_28 Boom Pricing'!$E$23</f>
        <v>21366.666666666668</v>
      </c>
      <c r="E196" s="115">
        <f t="shared" si="11"/>
        <v>10683.333333333334</v>
      </c>
    </row>
    <row r="197" spans="1:19" x14ac:dyDescent="0.3">
      <c r="B197" s="70" t="s">
        <v>465</v>
      </c>
      <c r="D197" s="42">
        <f>'2025_03_28 Boom Pricing'!$E$8+'2025_03_28 Boom Pricing'!$E$39+'2025_03_28 Boom Pricing'!$E$50+'2025_03_28 Boom Pricing'!$E$23</f>
        <v>21366.666666666668</v>
      </c>
      <c r="E197" s="115">
        <f t="shared" si="11"/>
        <v>10683.333333333334</v>
      </c>
    </row>
    <row r="198" spans="1:19" x14ac:dyDescent="0.3">
      <c r="B198" s="70" t="s">
        <v>467</v>
      </c>
      <c r="D198" s="42">
        <f>'2025_03_28 Boom Pricing'!$E$8+'2025_03_28 Boom Pricing'!$E$40+'2025_03_28 Boom Pricing'!$E$50+'2025_03_28 Boom Pricing'!$E$23</f>
        <v>21366.666666666668</v>
      </c>
      <c r="E198" s="115">
        <f t="shared" si="11"/>
        <v>10683.333333333334</v>
      </c>
    </row>
    <row r="199" spans="1:19" x14ac:dyDescent="0.3">
      <c r="B199" s="70" t="s">
        <v>469</v>
      </c>
      <c r="D199" s="42">
        <f>'2025_03_28 Boom Pricing'!$E$8+'2025_03_28 Boom Pricing'!$E$41+'2025_03_28 Boom Pricing'!$E$50+'2025_03_28 Boom Pricing'!$E$23</f>
        <v>21366.666666666668</v>
      </c>
      <c r="E199" s="115">
        <f t="shared" si="11"/>
        <v>10683.333333333334</v>
      </c>
    </row>
    <row r="200" spans="1:19" ht="15.75" customHeight="1" x14ac:dyDescent="0.3">
      <c r="B200" s="70" t="s">
        <v>471</v>
      </c>
      <c r="D200" s="42">
        <f>'2025_03_28 Boom Pricing'!$E$8+'2025_03_28 Boom Pricing'!$E$42+'2025_03_28 Boom Pricing'!$E$50+'2025_03_28 Boom Pricing'!$E$23</f>
        <v>22958.213333333333</v>
      </c>
      <c r="E200" s="115">
        <f t="shared" si="11"/>
        <v>11479.106666666667</v>
      </c>
    </row>
    <row r="201" spans="1:19" x14ac:dyDescent="0.3">
      <c r="A201" s="48"/>
      <c r="B201" s="116" t="s">
        <v>473</v>
      </c>
      <c r="C201" s="48"/>
      <c r="D201" s="119">
        <f>'2025_03_28 Boom Pricing'!$E$8+'2025_03_28 Boom Pricing'!$E$43+'2025_03_28 Boom Pricing'!$E$50+'2025_03_28 Boom Pricing'!$E$23</f>
        <v>24658.639999999999</v>
      </c>
      <c r="E201" s="117">
        <f t="shared" si="11"/>
        <v>12329.32</v>
      </c>
    </row>
    <row r="202" spans="1:19" x14ac:dyDescent="0.3">
      <c r="B202" s="70" t="s">
        <v>475</v>
      </c>
      <c r="D202" s="42">
        <f>'2025_03_28 Boom Pricing'!$E$8+'2025_03_28 Boom Pricing'!$E$38+'2025_03_28 Boom Pricing'!$E$50+'2025_03_28 Boom Pricing'!$E$24</f>
        <v>23341.57333333333</v>
      </c>
      <c r="E202" s="115">
        <f t="shared" si="11"/>
        <v>11670.786666666665</v>
      </c>
    </row>
    <row r="203" spans="1:19" x14ac:dyDescent="0.3">
      <c r="B203" s="70" t="s">
        <v>477</v>
      </c>
      <c r="D203" s="42">
        <f>'2025_03_28 Boom Pricing'!$E$8+'2025_03_28 Boom Pricing'!$E$39+'2025_03_28 Boom Pricing'!$E$50+'2025_03_28 Boom Pricing'!$E$24</f>
        <v>23341.57333333333</v>
      </c>
      <c r="E203" s="115">
        <f t="shared" si="11"/>
        <v>11670.786666666665</v>
      </c>
    </row>
    <row r="204" spans="1:19" x14ac:dyDescent="0.3">
      <c r="B204" s="70" t="s">
        <v>479</v>
      </c>
      <c r="D204" s="42">
        <f>'2025_03_28 Boom Pricing'!$E$8+'2025_03_28 Boom Pricing'!$E$40+'2025_03_28 Boom Pricing'!$E$50+'2025_03_28 Boom Pricing'!$E$24</f>
        <v>23341.57333333333</v>
      </c>
      <c r="E204" s="115">
        <f t="shared" ref="E204:E267" si="12">D204*(1-0.5)</f>
        <v>11670.786666666665</v>
      </c>
    </row>
    <row r="205" spans="1:19" x14ac:dyDescent="0.3">
      <c r="B205" s="70" t="s">
        <v>481</v>
      </c>
      <c r="D205" s="42">
        <f>'2025_03_28 Boom Pricing'!$E$8+'2025_03_28 Boom Pricing'!$E$41+'2025_03_28 Boom Pricing'!$E$50+'2025_03_28 Boom Pricing'!$E$24</f>
        <v>23341.57333333333</v>
      </c>
      <c r="E205" s="115">
        <f t="shared" si="12"/>
        <v>11670.786666666665</v>
      </c>
    </row>
    <row r="206" spans="1:19" x14ac:dyDescent="0.3">
      <c r="B206" s="70" t="s">
        <v>483</v>
      </c>
      <c r="D206" s="42">
        <f>'2025_03_28 Boom Pricing'!$E$8+'2025_03_28 Boom Pricing'!$E$42+'2025_03_28 Boom Pricing'!$E$50+'2025_03_28 Boom Pricing'!$E$24</f>
        <v>24933.119999999995</v>
      </c>
      <c r="E206" s="115">
        <f t="shared" si="12"/>
        <v>12466.559999999998</v>
      </c>
    </row>
    <row r="207" spans="1:19" x14ac:dyDescent="0.3">
      <c r="A207" s="48"/>
      <c r="B207" s="116" t="s">
        <v>485</v>
      </c>
      <c r="C207" s="48"/>
      <c r="D207" s="119">
        <f>'2025_03_28 Boom Pricing'!$E$8+'2025_03_28 Boom Pricing'!$E$43+'2025_03_28 Boom Pricing'!$E$50+'2025_03_28 Boom Pricing'!$E$24</f>
        <v>26633.546666666662</v>
      </c>
      <c r="E207" s="117">
        <f t="shared" si="12"/>
        <v>13316.773333333331</v>
      </c>
    </row>
    <row r="208" spans="1:19" x14ac:dyDescent="0.3">
      <c r="B208" s="70" t="s">
        <v>487</v>
      </c>
      <c r="D208" s="42">
        <f>'2025_03_28 Boom Pricing'!$E$8+'2025_03_28 Boom Pricing'!$E$38+'2025_03_28 Boom Pricing'!$E$50+'2025_03_28 Boom Pricing'!$E$25</f>
        <v>25321.41333333333</v>
      </c>
      <c r="E208" s="115">
        <f t="shared" si="12"/>
        <v>12660.706666666665</v>
      </c>
    </row>
    <row r="209" spans="1:5" x14ac:dyDescent="0.3">
      <c r="B209" s="70" t="s">
        <v>489</v>
      </c>
      <c r="D209" s="42">
        <f>'2025_03_28 Boom Pricing'!$E$8+'2025_03_28 Boom Pricing'!$E$39+'2025_03_28 Boom Pricing'!$E$50+'2025_03_28 Boom Pricing'!$E$25</f>
        <v>25321.41333333333</v>
      </c>
      <c r="E209" s="115">
        <f t="shared" si="12"/>
        <v>12660.706666666665</v>
      </c>
    </row>
    <row r="210" spans="1:5" x14ac:dyDescent="0.3">
      <c r="B210" s="70" t="s">
        <v>491</v>
      </c>
      <c r="D210" s="42">
        <f>'2025_03_28 Boom Pricing'!$E$8+'2025_03_28 Boom Pricing'!$E$40+'2025_03_28 Boom Pricing'!$E$50+'2025_03_28 Boom Pricing'!$E$25</f>
        <v>25321.41333333333</v>
      </c>
      <c r="E210" s="115">
        <f t="shared" si="12"/>
        <v>12660.706666666665</v>
      </c>
    </row>
    <row r="211" spans="1:5" x14ac:dyDescent="0.3">
      <c r="B211" s="70" t="s">
        <v>493</v>
      </c>
      <c r="D211" s="42">
        <f>'2025_03_28 Boom Pricing'!$E$8+'2025_03_28 Boom Pricing'!$E$41+'2025_03_28 Boom Pricing'!$E$50+'2025_03_28 Boom Pricing'!$E$25</f>
        <v>25321.41333333333</v>
      </c>
      <c r="E211" s="115">
        <f t="shared" si="12"/>
        <v>12660.706666666665</v>
      </c>
    </row>
    <row r="212" spans="1:5" x14ac:dyDescent="0.3">
      <c r="B212" s="70" t="s">
        <v>495</v>
      </c>
      <c r="D212" s="42">
        <f>'2025_03_28 Boom Pricing'!$E$8+'2025_03_28 Boom Pricing'!$E$42+'2025_03_28 Boom Pricing'!$E$50+'2025_03_28 Boom Pricing'!$E$25</f>
        <v>26912.959999999995</v>
      </c>
      <c r="E212" s="115">
        <f t="shared" si="12"/>
        <v>13456.479999999998</v>
      </c>
    </row>
    <row r="213" spans="1:5" x14ac:dyDescent="0.3">
      <c r="A213" s="48"/>
      <c r="B213" s="116" t="s">
        <v>497</v>
      </c>
      <c r="C213" s="48"/>
      <c r="D213" s="119">
        <f>'2025_03_28 Boom Pricing'!$E$8+'2025_03_28 Boom Pricing'!$E$43+'2025_03_28 Boom Pricing'!$E$50+'2025_03_28 Boom Pricing'!$E$25</f>
        <v>28613.386666666662</v>
      </c>
      <c r="E213" s="117">
        <f t="shared" si="12"/>
        <v>14306.693333333331</v>
      </c>
    </row>
    <row r="214" spans="1:5" x14ac:dyDescent="0.3">
      <c r="B214" s="70" t="s">
        <v>499</v>
      </c>
      <c r="D214" s="42">
        <f>'2025_03_28 Boom Pricing'!$E$8+'2025_03_28 Boom Pricing'!$E$38+'2025_03_28 Boom Pricing'!$E$50+'2025_03_28 Boom Pricing'!$E$26</f>
        <v>27360.533333333326</v>
      </c>
      <c r="E214" s="115">
        <f t="shared" si="12"/>
        <v>13680.266666666663</v>
      </c>
    </row>
    <row r="215" spans="1:5" x14ac:dyDescent="0.3">
      <c r="B215" s="70" t="s">
        <v>501</v>
      </c>
      <c r="D215" s="42">
        <f>'2025_03_28 Boom Pricing'!$E$8+'2025_03_28 Boom Pricing'!$E$39+'2025_03_28 Boom Pricing'!$E$50+'2025_03_28 Boom Pricing'!$E$26</f>
        <v>27360.533333333326</v>
      </c>
      <c r="E215" s="115">
        <f t="shared" si="12"/>
        <v>13680.266666666663</v>
      </c>
    </row>
    <row r="216" spans="1:5" x14ac:dyDescent="0.3">
      <c r="B216" s="70" t="s">
        <v>503</v>
      </c>
      <c r="D216" s="42">
        <f>'2025_03_28 Boom Pricing'!$E$8+'2025_03_28 Boom Pricing'!$E$40+'2025_03_28 Boom Pricing'!$E$50+'2025_03_28 Boom Pricing'!$E$26</f>
        <v>27360.533333333326</v>
      </c>
      <c r="E216" s="115">
        <f t="shared" si="12"/>
        <v>13680.266666666663</v>
      </c>
    </row>
    <row r="217" spans="1:5" x14ac:dyDescent="0.3">
      <c r="B217" s="70" t="s">
        <v>505</v>
      </c>
      <c r="D217" s="42">
        <f>'2025_03_28 Boom Pricing'!$E$8+'2025_03_28 Boom Pricing'!$E$41+'2025_03_28 Boom Pricing'!$E$50+'2025_03_28 Boom Pricing'!$E$26</f>
        <v>27360.533333333326</v>
      </c>
      <c r="E217" s="115">
        <f t="shared" si="12"/>
        <v>13680.266666666663</v>
      </c>
    </row>
    <row r="218" spans="1:5" x14ac:dyDescent="0.3">
      <c r="B218" s="70" t="s">
        <v>507</v>
      </c>
      <c r="D218" s="42">
        <f>'2025_03_28 Boom Pricing'!$E$8+'2025_03_28 Boom Pricing'!$E$42+'2025_03_28 Boom Pricing'!$E$50+'2025_03_28 Boom Pricing'!$E$26</f>
        <v>28952.079999999994</v>
      </c>
      <c r="E218" s="115">
        <f t="shared" si="12"/>
        <v>14476.039999999997</v>
      </c>
    </row>
    <row r="219" spans="1:5" x14ac:dyDescent="0.3">
      <c r="A219" s="48"/>
      <c r="B219" s="116" t="s">
        <v>509</v>
      </c>
      <c r="C219" s="48"/>
      <c r="D219" s="119">
        <f>'2025_03_28 Boom Pricing'!$E$8+'2025_03_28 Boom Pricing'!$E$43+'2025_03_28 Boom Pricing'!$E$50+'2025_03_28 Boom Pricing'!$E$26</f>
        <v>30652.506666666661</v>
      </c>
      <c r="E219" s="117">
        <f t="shared" si="12"/>
        <v>15326.25333333333</v>
      </c>
    </row>
    <row r="220" spans="1:5" x14ac:dyDescent="0.3">
      <c r="B220" s="70" t="s">
        <v>511</v>
      </c>
      <c r="D220" s="42">
        <f>'2025_03_28 Boom Pricing'!$E$8+'2025_03_28 Boom Pricing'!$E$38+'2025_03_28 Boom Pricing'!$E$50+'2025_03_28 Boom Pricing'!$E$27</f>
        <v>29394.693333333325</v>
      </c>
      <c r="E220" s="115">
        <f t="shared" si="12"/>
        <v>14697.346666666663</v>
      </c>
    </row>
    <row r="221" spans="1:5" x14ac:dyDescent="0.3">
      <c r="B221" s="70" t="s">
        <v>513</v>
      </c>
      <c r="D221" s="42">
        <f>'2025_03_28 Boom Pricing'!$E$8+'2025_03_28 Boom Pricing'!$E$39+'2025_03_28 Boom Pricing'!$E$50+'2025_03_28 Boom Pricing'!$E$27</f>
        <v>29394.693333333325</v>
      </c>
      <c r="E221" s="115">
        <f t="shared" si="12"/>
        <v>14697.346666666663</v>
      </c>
    </row>
    <row r="222" spans="1:5" x14ac:dyDescent="0.3">
      <c r="B222" s="70" t="s">
        <v>515</v>
      </c>
      <c r="D222" s="42">
        <f>'2025_03_28 Boom Pricing'!$E$8+'2025_03_28 Boom Pricing'!$E$40+'2025_03_28 Boom Pricing'!$E$50+'2025_03_28 Boom Pricing'!$E$27</f>
        <v>29394.693333333325</v>
      </c>
      <c r="E222" s="115">
        <f t="shared" si="12"/>
        <v>14697.346666666663</v>
      </c>
    </row>
    <row r="223" spans="1:5" x14ac:dyDescent="0.3">
      <c r="B223" s="70" t="s">
        <v>517</v>
      </c>
      <c r="D223" s="42">
        <f>'2025_03_28 Boom Pricing'!$E$8+'2025_03_28 Boom Pricing'!$E$41+'2025_03_28 Boom Pricing'!$E$50+'2025_03_28 Boom Pricing'!$E$27</f>
        <v>29394.693333333325</v>
      </c>
      <c r="E223" s="115">
        <f t="shared" si="12"/>
        <v>14697.346666666663</v>
      </c>
    </row>
    <row r="224" spans="1:5" x14ac:dyDescent="0.3">
      <c r="B224" s="70" t="s">
        <v>519</v>
      </c>
      <c r="D224" s="42">
        <f>'2025_03_28 Boom Pricing'!$E$8+'2025_03_28 Boom Pricing'!$E$42+'2025_03_28 Boom Pricing'!$E$50+'2025_03_28 Boom Pricing'!$E$27</f>
        <v>30986.239999999991</v>
      </c>
      <c r="E224" s="115">
        <f t="shared" si="12"/>
        <v>15493.119999999995</v>
      </c>
    </row>
    <row r="225" spans="1:5" ht="16.2" thickBot="1" x14ac:dyDescent="0.35">
      <c r="A225" s="133"/>
      <c r="B225" s="134" t="s">
        <v>521</v>
      </c>
      <c r="C225" s="133"/>
      <c r="D225" s="135">
        <f>'2025_03_28 Boom Pricing'!$E$8+'2025_03_28 Boom Pricing'!$E$43+'2025_03_28 Boom Pricing'!$E$50+'2025_03_28 Boom Pricing'!$E$27</f>
        <v>32686.666666666657</v>
      </c>
      <c r="E225" s="136">
        <f t="shared" si="12"/>
        <v>16343.333333333328</v>
      </c>
    </row>
    <row r="226" spans="1:5" x14ac:dyDescent="0.3">
      <c r="B226" s="70" t="s">
        <v>523</v>
      </c>
      <c r="D226" s="42">
        <f>'2025_03_28 Boom Pricing'!$E$8+'2025_03_28 Boom Pricing'!$E$38+'2025_03_28 Boom Pricing'!$E$51+'2025_03_28 Boom Pricing'!$E$23</f>
        <v>21366.666666666668</v>
      </c>
      <c r="E226" s="115">
        <f t="shared" si="12"/>
        <v>10683.333333333334</v>
      </c>
    </row>
    <row r="227" spans="1:5" x14ac:dyDescent="0.3">
      <c r="B227" s="70" t="s">
        <v>525</v>
      </c>
      <c r="D227" s="42">
        <f>'2025_03_28 Boom Pricing'!$E$8+'2025_03_28 Boom Pricing'!$E$39+'2025_03_28 Boom Pricing'!$E$51+'2025_03_28 Boom Pricing'!$E$23</f>
        <v>21366.666666666668</v>
      </c>
      <c r="E227" s="115">
        <f t="shared" si="12"/>
        <v>10683.333333333334</v>
      </c>
    </row>
    <row r="228" spans="1:5" x14ac:dyDescent="0.3">
      <c r="B228" s="70" t="s">
        <v>527</v>
      </c>
      <c r="D228" s="42">
        <f>'2025_03_28 Boom Pricing'!$E$8+'2025_03_28 Boom Pricing'!$E$40+'2025_03_28 Boom Pricing'!$E$51+'2025_03_28 Boom Pricing'!$E$23</f>
        <v>21366.666666666668</v>
      </c>
      <c r="E228" s="115">
        <f t="shared" si="12"/>
        <v>10683.333333333334</v>
      </c>
    </row>
    <row r="229" spans="1:5" x14ac:dyDescent="0.3">
      <c r="B229" s="70" t="s">
        <v>529</v>
      </c>
      <c r="D229" s="42">
        <f>'2025_03_28 Boom Pricing'!$E$8+'2025_03_28 Boom Pricing'!$E$41+'2025_03_28 Boom Pricing'!$E$51+'2025_03_28 Boom Pricing'!$E$23</f>
        <v>21366.666666666668</v>
      </c>
      <c r="E229" s="115">
        <f t="shared" si="12"/>
        <v>10683.333333333334</v>
      </c>
    </row>
    <row r="230" spans="1:5" x14ac:dyDescent="0.3">
      <c r="B230" s="70" t="s">
        <v>531</v>
      </c>
      <c r="D230" s="42">
        <f>'2025_03_28 Boom Pricing'!$E$8+'2025_03_28 Boom Pricing'!$E$42+'2025_03_28 Boom Pricing'!$E$51+'2025_03_28 Boom Pricing'!$E$23</f>
        <v>22958.213333333333</v>
      </c>
      <c r="E230" s="115">
        <f t="shared" si="12"/>
        <v>11479.106666666667</v>
      </c>
    </row>
    <row r="231" spans="1:5" x14ac:dyDescent="0.3">
      <c r="A231" s="48"/>
      <c r="B231" s="116" t="s">
        <v>533</v>
      </c>
      <c r="C231" s="48"/>
      <c r="D231" s="119">
        <f>'2025_03_28 Boom Pricing'!$E$8+'2025_03_28 Boom Pricing'!$E$43+'2025_03_28 Boom Pricing'!$E$51+'2025_03_28 Boom Pricing'!$E$23</f>
        <v>24658.639999999999</v>
      </c>
      <c r="E231" s="117">
        <f t="shared" si="12"/>
        <v>12329.32</v>
      </c>
    </row>
    <row r="232" spans="1:5" x14ac:dyDescent="0.3">
      <c r="B232" s="70" t="s">
        <v>535</v>
      </c>
      <c r="D232" s="42">
        <f>'2025_03_28 Boom Pricing'!$E$8+'2025_03_28 Boom Pricing'!$E$38+'2025_03_28 Boom Pricing'!$E$51+'2025_03_28 Boom Pricing'!$E$24</f>
        <v>23341.57333333333</v>
      </c>
      <c r="E232" s="115">
        <f t="shared" si="12"/>
        <v>11670.786666666665</v>
      </c>
    </row>
    <row r="233" spans="1:5" x14ac:dyDescent="0.3">
      <c r="B233" s="70" t="s">
        <v>537</v>
      </c>
      <c r="D233" s="42">
        <f>'2025_03_28 Boom Pricing'!$E$8+'2025_03_28 Boom Pricing'!$E$39+'2025_03_28 Boom Pricing'!$E$51+'2025_03_28 Boom Pricing'!$E$24</f>
        <v>23341.57333333333</v>
      </c>
      <c r="E233" s="115">
        <f t="shared" si="12"/>
        <v>11670.786666666665</v>
      </c>
    </row>
    <row r="234" spans="1:5" x14ac:dyDescent="0.3">
      <c r="B234" s="70" t="s">
        <v>539</v>
      </c>
      <c r="D234" s="42">
        <f>'2025_03_28 Boom Pricing'!$E$8+'2025_03_28 Boom Pricing'!$E$40+'2025_03_28 Boom Pricing'!$E$51+'2025_03_28 Boom Pricing'!$E$24</f>
        <v>23341.57333333333</v>
      </c>
      <c r="E234" s="115">
        <f t="shared" si="12"/>
        <v>11670.786666666665</v>
      </c>
    </row>
    <row r="235" spans="1:5" x14ac:dyDescent="0.3">
      <c r="B235" s="70" t="s">
        <v>541</v>
      </c>
      <c r="D235" s="42">
        <f>'2025_03_28 Boom Pricing'!$E$8+'2025_03_28 Boom Pricing'!$E$41+'2025_03_28 Boom Pricing'!$E$51+'2025_03_28 Boom Pricing'!$E$24</f>
        <v>23341.57333333333</v>
      </c>
      <c r="E235" s="115">
        <f t="shared" si="12"/>
        <v>11670.786666666665</v>
      </c>
    </row>
    <row r="236" spans="1:5" x14ac:dyDescent="0.3">
      <c r="B236" s="70" t="s">
        <v>543</v>
      </c>
      <c r="D236" s="42">
        <f>'2025_03_28 Boom Pricing'!$E$8+'2025_03_28 Boom Pricing'!$E$42+'2025_03_28 Boom Pricing'!$E$51+'2025_03_28 Boom Pricing'!$E$24</f>
        <v>24933.119999999995</v>
      </c>
      <c r="E236" s="115">
        <f t="shared" si="12"/>
        <v>12466.559999999998</v>
      </c>
    </row>
    <row r="237" spans="1:5" x14ac:dyDescent="0.3">
      <c r="A237" s="48"/>
      <c r="B237" s="116" t="s">
        <v>545</v>
      </c>
      <c r="C237" s="48"/>
      <c r="D237" s="119">
        <f>'2025_03_28 Boom Pricing'!$E$8+'2025_03_28 Boom Pricing'!$E$43+'2025_03_28 Boom Pricing'!$E$51+'2025_03_28 Boom Pricing'!$E$24</f>
        <v>26633.546666666662</v>
      </c>
      <c r="E237" s="117">
        <f t="shared" si="12"/>
        <v>13316.773333333331</v>
      </c>
    </row>
    <row r="238" spans="1:5" x14ac:dyDescent="0.3">
      <c r="B238" s="70" t="s">
        <v>547</v>
      </c>
      <c r="D238" s="42">
        <f>'2025_03_28 Boom Pricing'!$E$8+'2025_03_28 Boom Pricing'!$E$38+'2025_03_28 Boom Pricing'!$E$51+'2025_03_28 Boom Pricing'!$E$25</f>
        <v>25321.41333333333</v>
      </c>
      <c r="E238" s="115">
        <f t="shared" si="12"/>
        <v>12660.706666666665</v>
      </c>
    </row>
    <row r="239" spans="1:5" x14ac:dyDescent="0.3">
      <c r="B239" s="70" t="s">
        <v>549</v>
      </c>
      <c r="D239" s="42">
        <f>'2025_03_28 Boom Pricing'!$E$8+'2025_03_28 Boom Pricing'!$E$39+'2025_03_28 Boom Pricing'!$E$51+'2025_03_28 Boom Pricing'!$E$25</f>
        <v>25321.41333333333</v>
      </c>
      <c r="E239" s="115">
        <f t="shared" si="12"/>
        <v>12660.706666666665</v>
      </c>
    </row>
    <row r="240" spans="1:5" x14ac:dyDescent="0.3">
      <c r="B240" s="70" t="s">
        <v>551</v>
      </c>
      <c r="D240" s="42">
        <f>'2025_03_28 Boom Pricing'!$E$8+'2025_03_28 Boom Pricing'!$E$40+'2025_03_28 Boom Pricing'!$E$51+'2025_03_28 Boom Pricing'!$E$25</f>
        <v>25321.41333333333</v>
      </c>
      <c r="E240" s="115">
        <f t="shared" si="12"/>
        <v>12660.706666666665</v>
      </c>
    </row>
    <row r="241" spans="1:5" x14ac:dyDescent="0.3">
      <c r="B241" s="70" t="s">
        <v>553</v>
      </c>
      <c r="D241" s="42">
        <f>'2025_03_28 Boom Pricing'!$E$8+'2025_03_28 Boom Pricing'!$E$41+'2025_03_28 Boom Pricing'!$E$51+'2025_03_28 Boom Pricing'!$E$25</f>
        <v>25321.41333333333</v>
      </c>
      <c r="E241" s="115">
        <f t="shared" si="12"/>
        <v>12660.706666666665</v>
      </c>
    </row>
    <row r="242" spans="1:5" x14ac:dyDescent="0.3">
      <c r="B242" s="70" t="s">
        <v>555</v>
      </c>
      <c r="D242" s="42">
        <f>'2025_03_28 Boom Pricing'!$E$8+'2025_03_28 Boom Pricing'!$E$42+'2025_03_28 Boom Pricing'!$E$51+'2025_03_28 Boom Pricing'!$E$25</f>
        <v>26912.959999999995</v>
      </c>
      <c r="E242" s="115">
        <f t="shared" si="12"/>
        <v>13456.479999999998</v>
      </c>
    </row>
    <row r="243" spans="1:5" x14ac:dyDescent="0.3">
      <c r="A243" s="48"/>
      <c r="B243" s="116" t="s">
        <v>557</v>
      </c>
      <c r="C243" s="48"/>
      <c r="D243" s="119">
        <f>'2025_03_28 Boom Pricing'!$E$8+'2025_03_28 Boom Pricing'!$E$43+'2025_03_28 Boom Pricing'!$E$51+'2025_03_28 Boom Pricing'!$E$25</f>
        <v>28613.386666666662</v>
      </c>
      <c r="E243" s="117">
        <f t="shared" si="12"/>
        <v>14306.693333333331</v>
      </c>
    </row>
    <row r="244" spans="1:5" x14ac:dyDescent="0.3">
      <c r="B244" s="70" t="s">
        <v>559</v>
      </c>
      <c r="D244" s="105">
        <f>'2025_03_28 Boom Pricing'!$E$8+'2025_03_28 Boom Pricing'!$E$38+'2025_03_28 Boom Pricing'!$E$51+'2025_03_28 Boom Pricing'!$E$26</f>
        <v>27360.533333333326</v>
      </c>
      <c r="E244" s="115">
        <f t="shared" si="12"/>
        <v>13680.266666666663</v>
      </c>
    </row>
    <row r="245" spans="1:5" x14ac:dyDescent="0.3">
      <c r="B245" s="70" t="s">
        <v>561</v>
      </c>
      <c r="D245" s="105">
        <f>'2025_03_28 Boom Pricing'!$E$8+'2025_03_28 Boom Pricing'!$E$39+'2025_03_28 Boom Pricing'!$E$51+'2025_03_28 Boom Pricing'!$E$26</f>
        <v>27360.533333333326</v>
      </c>
      <c r="E245" s="115">
        <f t="shared" si="12"/>
        <v>13680.266666666663</v>
      </c>
    </row>
    <row r="246" spans="1:5" x14ac:dyDescent="0.3">
      <c r="B246" s="70" t="s">
        <v>563</v>
      </c>
      <c r="D246" s="105">
        <f>'2025_03_28 Boom Pricing'!$E$8+'2025_03_28 Boom Pricing'!$E$40+'2025_03_28 Boom Pricing'!$E$51+'2025_03_28 Boom Pricing'!$E$26</f>
        <v>27360.533333333326</v>
      </c>
      <c r="E246" s="115">
        <f t="shared" si="12"/>
        <v>13680.266666666663</v>
      </c>
    </row>
    <row r="247" spans="1:5" x14ac:dyDescent="0.3">
      <c r="B247" s="70" t="s">
        <v>565</v>
      </c>
      <c r="D247" s="105">
        <f>'2025_03_28 Boom Pricing'!$E$8+'2025_03_28 Boom Pricing'!$E$41+'2025_03_28 Boom Pricing'!$E$51+'2025_03_28 Boom Pricing'!$E$26</f>
        <v>27360.533333333326</v>
      </c>
      <c r="E247" s="115">
        <f t="shared" si="12"/>
        <v>13680.266666666663</v>
      </c>
    </row>
    <row r="248" spans="1:5" x14ac:dyDescent="0.3">
      <c r="B248" s="70" t="s">
        <v>567</v>
      </c>
      <c r="D248" s="105">
        <f>'2025_03_28 Boom Pricing'!$E$8+'2025_03_28 Boom Pricing'!$E$42+'2025_03_28 Boom Pricing'!$E$51+'2025_03_28 Boom Pricing'!$E$26</f>
        <v>28952.079999999994</v>
      </c>
      <c r="E248" s="115">
        <f t="shared" si="12"/>
        <v>14476.039999999997</v>
      </c>
    </row>
    <row r="249" spans="1:5" x14ac:dyDescent="0.3">
      <c r="A249" s="48"/>
      <c r="B249" s="116" t="s">
        <v>569</v>
      </c>
      <c r="C249" s="48"/>
      <c r="D249" s="138">
        <f>'2025_03_28 Boom Pricing'!$E$8+'2025_03_28 Boom Pricing'!$E$43+'2025_03_28 Boom Pricing'!$E$51+'2025_03_28 Boom Pricing'!$E$26</f>
        <v>30652.506666666661</v>
      </c>
      <c r="E249" s="117">
        <f t="shared" si="12"/>
        <v>15326.25333333333</v>
      </c>
    </row>
    <row r="250" spans="1:5" x14ac:dyDescent="0.3">
      <c r="B250" s="70" t="s">
        <v>571</v>
      </c>
      <c r="D250" s="42">
        <f>'2025_03_28 Boom Pricing'!$E$8+'2025_03_28 Boom Pricing'!$E$38+'2025_03_28 Boom Pricing'!$E$51+'2025_03_28 Boom Pricing'!$E$27</f>
        <v>29394.693333333325</v>
      </c>
      <c r="E250" s="115">
        <f t="shared" si="12"/>
        <v>14697.346666666663</v>
      </c>
    </row>
    <row r="251" spans="1:5" x14ac:dyDescent="0.3">
      <c r="B251" s="70" t="s">
        <v>573</v>
      </c>
      <c r="D251" s="42">
        <f>'2025_03_28 Boom Pricing'!$E$8+'2025_03_28 Boom Pricing'!$E$39+'2025_03_28 Boom Pricing'!$E$51+'2025_03_28 Boom Pricing'!$E$27</f>
        <v>29394.693333333325</v>
      </c>
      <c r="E251" s="115">
        <f t="shared" si="12"/>
        <v>14697.346666666663</v>
      </c>
    </row>
    <row r="252" spans="1:5" x14ac:dyDescent="0.3">
      <c r="B252" s="70" t="s">
        <v>575</v>
      </c>
      <c r="D252" s="42">
        <f>'2025_03_28 Boom Pricing'!$E$8+'2025_03_28 Boom Pricing'!$E$40+'2025_03_28 Boom Pricing'!$E$51+'2025_03_28 Boom Pricing'!$E$27</f>
        <v>29394.693333333325</v>
      </c>
      <c r="E252" s="115">
        <f t="shared" si="12"/>
        <v>14697.346666666663</v>
      </c>
    </row>
    <row r="253" spans="1:5" x14ac:dyDescent="0.3">
      <c r="B253" s="70" t="s">
        <v>577</v>
      </c>
      <c r="D253" s="42">
        <f>'2025_03_28 Boom Pricing'!$E$8+'2025_03_28 Boom Pricing'!$E$41+'2025_03_28 Boom Pricing'!$E$51+'2025_03_28 Boom Pricing'!$E$27</f>
        <v>29394.693333333325</v>
      </c>
      <c r="E253" s="115">
        <f t="shared" si="12"/>
        <v>14697.346666666663</v>
      </c>
    </row>
    <row r="254" spans="1:5" x14ac:dyDescent="0.3">
      <c r="B254" s="70" t="s">
        <v>579</v>
      </c>
      <c r="D254" s="42">
        <f>'2025_03_28 Boom Pricing'!$E$8+'2025_03_28 Boom Pricing'!$E$42+'2025_03_28 Boom Pricing'!$E$51+'2025_03_28 Boom Pricing'!$E$27</f>
        <v>30986.239999999991</v>
      </c>
      <c r="E254" s="115">
        <f t="shared" si="12"/>
        <v>15493.119999999995</v>
      </c>
    </row>
    <row r="255" spans="1:5" ht="16.2" thickBot="1" x14ac:dyDescent="0.35">
      <c r="A255" s="133"/>
      <c r="B255" s="134" t="s">
        <v>581</v>
      </c>
      <c r="C255" s="133"/>
      <c r="D255" s="135">
        <f>'2025_03_28 Boom Pricing'!$E$8+'2025_03_28 Boom Pricing'!$E$43+'2025_03_28 Boom Pricing'!$E$51+'2025_03_28 Boom Pricing'!$E$27</f>
        <v>32686.666666666657</v>
      </c>
      <c r="E255" s="136">
        <f t="shared" si="12"/>
        <v>16343.333333333328</v>
      </c>
    </row>
    <row r="256" spans="1:5" x14ac:dyDescent="0.3">
      <c r="B256" s="70" t="s">
        <v>583</v>
      </c>
      <c r="D256" s="42">
        <f>'2025_03_28 Boom Pricing'!$E$8+'2025_03_28 Boom Pricing'!$E$38+'2025_03_28 Boom Pricing'!$E$52+'2025_03_28 Boom Pricing'!$E$23</f>
        <v>21366.666666666668</v>
      </c>
      <c r="E256" s="115">
        <f t="shared" si="12"/>
        <v>10683.333333333334</v>
      </c>
    </row>
    <row r="257" spans="1:5" x14ac:dyDescent="0.3">
      <c r="B257" s="70" t="s">
        <v>585</v>
      </c>
      <c r="D257" s="42">
        <f>'2025_03_28 Boom Pricing'!$E$8+'2025_03_28 Boom Pricing'!$E$39+'2025_03_28 Boom Pricing'!$E$52+'2025_03_28 Boom Pricing'!$E$23</f>
        <v>21366.666666666668</v>
      </c>
      <c r="E257" s="115">
        <f t="shared" si="12"/>
        <v>10683.333333333334</v>
      </c>
    </row>
    <row r="258" spans="1:5" x14ac:dyDescent="0.3">
      <c r="B258" s="70" t="s">
        <v>587</v>
      </c>
      <c r="D258" s="42">
        <f>'2025_03_28 Boom Pricing'!$E$8+'2025_03_28 Boom Pricing'!$E$40+'2025_03_28 Boom Pricing'!$E$52+'2025_03_28 Boom Pricing'!$E$23</f>
        <v>21366.666666666668</v>
      </c>
      <c r="E258" s="115">
        <f t="shared" si="12"/>
        <v>10683.333333333334</v>
      </c>
    </row>
    <row r="259" spans="1:5" x14ac:dyDescent="0.3">
      <c r="B259" s="70" t="s">
        <v>589</v>
      </c>
      <c r="D259" s="42">
        <f>'2025_03_28 Boom Pricing'!$E$8+'2025_03_28 Boom Pricing'!$E$41+'2025_03_28 Boom Pricing'!$E$52+'2025_03_28 Boom Pricing'!$E$23</f>
        <v>21366.666666666668</v>
      </c>
      <c r="E259" s="115">
        <f t="shared" si="12"/>
        <v>10683.333333333334</v>
      </c>
    </row>
    <row r="260" spans="1:5" x14ac:dyDescent="0.3">
      <c r="B260" s="70" t="s">
        <v>591</v>
      </c>
      <c r="D260" s="42">
        <f>'2025_03_28 Boom Pricing'!$E$8+'2025_03_28 Boom Pricing'!$E$42+'2025_03_28 Boom Pricing'!$E$52+'2025_03_28 Boom Pricing'!$E$23</f>
        <v>22958.213333333333</v>
      </c>
      <c r="E260" s="115">
        <f t="shared" si="12"/>
        <v>11479.106666666667</v>
      </c>
    </row>
    <row r="261" spans="1:5" x14ac:dyDescent="0.3">
      <c r="A261" s="48"/>
      <c r="B261" s="116" t="s">
        <v>593</v>
      </c>
      <c r="C261" s="48"/>
      <c r="D261" s="119">
        <f>'2025_03_28 Boom Pricing'!$E$8+'2025_03_28 Boom Pricing'!$E$43+'2025_03_28 Boom Pricing'!$E$52+'2025_03_28 Boom Pricing'!$E$23</f>
        <v>24658.639999999999</v>
      </c>
      <c r="E261" s="117">
        <f t="shared" si="12"/>
        <v>12329.32</v>
      </c>
    </row>
    <row r="262" spans="1:5" x14ac:dyDescent="0.3">
      <c r="B262" s="70" t="s">
        <v>595</v>
      </c>
      <c r="D262" s="42">
        <f>'2025_03_28 Boom Pricing'!$E$8+'2025_03_28 Boom Pricing'!$E$38+'2025_03_28 Boom Pricing'!$E$52+'2025_03_28 Boom Pricing'!$E$24</f>
        <v>23341.57333333333</v>
      </c>
      <c r="E262" s="115">
        <f t="shared" si="12"/>
        <v>11670.786666666665</v>
      </c>
    </row>
    <row r="263" spans="1:5" x14ac:dyDescent="0.3">
      <c r="B263" s="70" t="s">
        <v>597</v>
      </c>
      <c r="D263" s="42">
        <f>'2025_03_28 Boom Pricing'!$E$8+'2025_03_28 Boom Pricing'!$E$39+'2025_03_28 Boom Pricing'!$E$52+'2025_03_28 Boom Pricing'!$E$24</f>
        <v>23341.57333333333</v>
      </c>
      <c r="E263" s="115">
        <f t="shared" si="12"/>
        <v>11670.786666666665</v>
      </c>
    </row>
    <row r="264" spans="1:5" x14ac:dyDescent="0.3">
      <c r="B264" s="70" t="s">
        <v>599</v>
      </c>
      <c r="D264" s="42">
        <f>'2025_03_28 Boom Pricing'!$E$8+'2025_03_28 Boom Pricing'!$E$40+'2025_03_28 Boom Pricing'!$E$52+'2025_03_28 Boom Pricing'!$E$24</f>
        <v>23341.57333333333</v>
      </c>
      <c r="E264" s="115">
        <f t="shared" si="12"/>
        <v>11670.786666666665</v>
      </c>
    </row>
    <row r="265" spans="1:5" x14ac:dyDescent="0.3">
      <c r="B265" s="70" t="s">
        <v>601</v>
      </c>
      <c r="D265" s="42">
        <f>'2025_03_28 Boom Pricing'!$E$8+'2025_03_28 Boom Pricing'!$E$41+'2025_03_28 Boom Pricing'!$E$52+'2025_03_28 Boom Pricing'!$E$24</f>
        <v>23341.57333333333</v>
      </c>
      <c r="E265" s="115">
        <f t="shared" si="12"/>
        <v>11670.786666666665</v>
      </c>
    </row>
    <row r="266" spans="1:5" x14ac:dyDescent="0.3">
      <c r="B266" s="70" t="s">
        <v>603</v>
      </c>
      <c r="D266" s="42">
        <f>'2025_03_28 Boom Pricing'!$E$8+'2025_03_28 Boom Pricing'!$E$42+'2025_03_28 Boom Pricing'!$E$52+'2025_03_28 Boom Pricing'!$E$24</f>
        <v>24933.119999999995</v>
      </c>
      <c r="E266" s="115">
        <f t="shared" si="12"/>
        <v>12466.559999999998</v>
      </c>
    </row>
    <row r="267" spans="1:5" x14ac:dyDescent="0.3">
      <c r="A267" s="48"/>
      <c r="B267" s="116" t="s">
        <v>605</v>
      </c>
      <c r="C267" s="48"/>
      <c r="D267" s="119">
        <f>'2025_03_28 Boom Pricing'!$E$8+'2025_03_28 Boom Pricing'!$E$43+'2025_03_28 Boom Pricing'!$E$52+'2025_03_28 Boom Pricing'!$E$24</f>
        <v>26633.546666666662</v>
      </c>
      <c r="E267" s="117">
        <f t="shared" si="12"/>
        <v>13316.773333333331</v>
      </c>
    </row>
    <row r="268" spans="1:5" x14ac:dyDescent="0.3">
      <c r="B268" s="70" t="s">
        <v>607</v>
      </c>
      <c r="D268" s="42">
        <f>'2025_03_28 Boom Pricing'!$E$8+'2025_03_28 Boom Pricing'!$E$38+'2025_03_28 Boom Pricing'!$E$52+'2025_03_28 Boom Pricing'!$E$25</f>
        <v>25321.41333333333</v>
      </c>
      <c r="E268" s="115">
        <f t="shared" ref="E268:E285" si="13">D268*(1-0.5)</f>
        <v>12660.706666666665</v>
      </c>
    </row>
    <row r="269" spans="1:5" x14ac:dyDescent="0.3">
      <c r="B269" s="70" t="s">
        <v>609</v>
      </c>
      <c r="D269" s="42">
        <f>'2025_03_28 Boom Pricing'!$E$8+'2025_03_28 Boom Pricing'!$E$39+'2025_03_28 Boom Pricing'!$E$52+'2025_03_28 Boom Pricing'!$E$25</f>
        <v>25321.41333333333</v>
      </c>
      <c r="E269" s="115">
        <f t="shared" si="13"/>
        <v>12660.706666666665</v>
      </c>
    </row>
    <row r="270" spans="1:5" x14ac:dyDescent="0.3">
      <c r="B270" s="70" t="s">
        <v>611</v>
      </c>
      <c r="D270" s="42">
        <f>'2025_03_28 Boom Pricing'!$E$8+'2025_03_28 Boom Pricing'!$E$40+'2025_03_28 Boom Pricing'!$E$52+'2025_03_28 Boom Pricing'!$E$25</f>
        <v>25321.41333333333</v>
      </c>
      <c r="E270" s="115">
        <f t="shared" si="13"/>
        <v>12660.706666666665</v>
      </c>
    </row>
    <row r="271" spans="1:5" x14ac:dyDescent="0.3">
      <c r="B271" s="70" t="s">
        <v>613</v>
      </c>
      <c r="D271" s="42">
        <f>'2025_03_28 Boom Pricing'!$E$8+'2025_03_28 Boom Pricing'!$E$41+'2025_03_28 Boom Pricing'!$E$52+'2025_03_28 Boom Pricing'!$E$25</f>
        <v>25321.41333333333</v>
      </c>
      <c r="E271" s="115">
        <f t="shared" si="13"/>
        <v>12660.706666666665</v>
      </c>
    </row>
    <row r="272" spans="1:5" x14ac:dyDescent="0.3">
      <c r="B272" s="70" t="s">
        <v>615</v>
      </c>
      <c r="D272" s="42">
        <f>'2025_03_28 Boom Pricing'!$E$8+'2025_03_28 Boom Pricing'!$E$42+'2025_03_28 Boom Pricing'!$E$52+'2025_03_28 Boom Pricing'!$E$25</f>
        <v>26912.959999999995</v>
      </c>
      <c r="E272" s="115">
        <f t="shared" si="13"/>
        <v>13456.479999999998</v>
      </c>
    </row>
    <row r="273" spans="1:5" x14ac:dyDescent="0.3">
      <c r="A273" s="48"/>
      <c r="B273" s="116" t="s">
        <v>617</v>
      </c>
      <c r="C273" s="48"/>
      <c r="D273" s="119">
        <f>'2025_03_28 Boom Pricing'!$E$8+'2025_03_28 Boom Pricing'!$E$43+'2025_03_28 Boom Pricing'!$E$52+'2025_03_28 Boom Pricing'!$E$25</f>
        <v>28613.386666666662</v>
      </c>
      <c r="E273" s="117">
        <f t="shared" si="13"/>
        <v>14306.693333333331</v>
      </c>
    </row>
    <row r="274" spans="1:5" x14ac:dyDescent="0.3">
      <c r="B274" s="70" t="s">
        <v>619</v>
      </c>
      <c r="D274" s="42">
        <f>'2025_03_28 Boom Pricing'!$E$8+'2025_03_28 Boom Pricing'!$E$38+'2025_03_28 Boom Pricing'!$E$52+'2025_03_28 Boom Pricing'!$E$26</f>
        <v>27360.533333333326</v>
      </c>
      <c r="E274" s="115">
        <f t="shared" si="13"/>
        <v>13680.266666666663</v>
      </c>
    </row>
    <row r="275" spans="1:5" x14ac:dyDescent="0.3">
      <c r="B275" s="70" t="s">
        <v>621</v>
      </c>
      <c r="D275" s="42">
        <f>'2025_03_28 Boom Pricing'!$E$8+'2025_03_28 Boom Pricing'!$E$39+'2025_03_28 Boom Pricing'!$E$52+'2025_03_28 Boom Pricing'!$E$26</f>
        <v>27360.533333333326</v>
      </c>
      <c r="E275" s="115">
        <f t="shared" si="13"/>
        <v>13680.266666666663</v>
      </c>
    </row>
    <row r="276" spans="1:5" x14ac:dyDescent="0.3">
      <c r="B276" s="70" t="s">
        <v>623</v>
      </c>
      <c r="D276" s="42">
        <f>'2025_03_28 Boom Pricing'!$E$8+'2025_03_28 Boom Pricing'!$E$40+'2025_03_28 Boom Pricing'!$E$52+'2025_03_28 Boom Pricing'!$E$26</f>
        <v>27360.533333333326</v>
      </c>
      <c r="E276" s="115">
        <f t="shared" si="13"/>
        <v>13680.266666666663</v>
      </c>
    </row>
    <row r="277" spans="1:5" x14ac:dyDescent="0.3">
      <c r="B277" s="70" t="s">
        <v>625</v>
      </c>
      <c r="D277" s="42">
        <f>'2025_03_28 Boom Pricing'!$E$8+'2025_03_28 Boom Pricing'!$E$41+'2025_03_28 Boom Pricing'!$E$52+'2025_03_28 Boom Pricing'!$E$26</f>
        <v>27360.533333333326</v>
      </c>
      <c r="E277" s="115">
        <f t="shared" si="13"/>
        <v>13680.266666666663</v>
      </c>
    </row>
    <row r="278" spans="1:5" x14ac:dyDescent="0.3">
      <c r="B278" s="70" t="s">
        <v>627</v>
      </c>
      <c r="D278" s="42">
        <f>'2025_03_28 Boom Pricing'!$E$8+'2025_03_28 Boom Pricing'!$E$42+'2025_03_28 Boom Pricing'!$E$52+'2025_03_28 Boom Pricing'!$E$26</f>
        <v>28952.079999999994</v>
      </c>
      <c r="E278" s="115">
        <f t="shared" si="13"/>
        <v>14476.039999999997</v>
      </c>
    </row>
    <row r="279" spans="1:5" x14ac:dyDescent="0.3">
      <c r="A279" s="48"/>
      <c r="B279" s="116" t="s">
        <v>629</v>
      </c>
      <c r="C279" s="48"/>
      <c r="D279" s="119">
        <f>'2025_03_28 Boom Pricing'!$E$8+'2025_03_28 Boom Pricing'!$E$43+'2025_03_28 Boom Pricing'!$E$52+'2025_03_28 Boom Pricing'!$E$26</f>
        <v>30652.506666666661</v>
      </c>
      <c r="E279" s="117">
        <f t="shared" si="13"/>
        <v>15326.25333333333</v>
      </c>
    </row>
    <row r="280" spans="1:5" x14ac:dyDescent="0.3">
      <c r="B280" s="70" t="s">
        <v>631</v>
      </c>
      <c r="D280" s="42">
        <f>'2025_03_28 Boom Pricing'!$E$8+'2025_03_28 Boom Pricing'!$E$38+'2025_03_28 Boom Pricing'!$E$52+'2025_03_28 Boom Pricing'!$E$27</f>
        <v>29394.693333333325</v>
      </c>
      <c r="E280" s="115">
        <f t="shared" si="13"/>
        <v>14697.346666666663</v>
      </c>
    </row>
    <row r="281" spans="1:5" x14ac:dyDescent="0.3">
      <c r="B281" s="70" t="s">
        <v>633</v>
      </c>
      <c r="D281" s="42">
        <f>'2025_03_28 Boom Pricing'!$E$8+'2025_03_28 Boom Pricing'!$E$39+'2025_03_28 Boom Pricing'!$E$52+'2025_03_28 Boom Pricing'!$E$27</f>
        <v>29394.693333333325</v>
      </c>
      <c r="E281" s="115">
        <f t="shared" si="13"/>
        <v>14697.346666666663</v>
      </c>
    </row>
    <row r="282" spans="1:5" x14ac:dyDescent="0.3">
      <c r="B282" s="70" t="s">
        <v>635</v>
      </c>
      <c r="D282" s="42">
        <f>'2025_03_28 Boom Pricing'!$E$8+'2025_03_28 Boom Pricing'!$E$40+'2025_03_28 Boom Pricing'!$E$52+'2025_03_28 Boom Pricing'!$E$27</f>
        <v>29394.693333333325</v>
      </c>
      <c r="E282" s="115">
        <f t="shared" si="13"/>
        <v>14697.346666666663</v>
      </c>
    </row>
    <row r="283" spans="1:5" x14ac:dyDescent="0.3">
      <c r="B283" s="70" t="s">
        <v>637</v>
      </c>
      <c r="D283" s="42">
        <f>'2025_03_28 Boom Pricing'!$E$8+'2025_03_28 Boom Pricing'!$E$41+'2025_03_28 Boom Pricing'!$E$52+'2025_03_28 Boom Pricing'!$E$27</f>
        <v>29394.693333333325</v>
      </c>
      <c r="E283" s="115">
        <f t="shared" si="13"/>
        <v>14697.346666666663</v>
      </c>
    </row>
    <row r="284" spans="1:5" x14ac:dyDescent="0.3">
      <c r="B284" s="70" t="s">
        <v>639</v>
      </c>
      <c r="D284" s="42">
        <f>'2025_03_28 Boom Pricing'!$E$8+'2025_03_28 Boom Pricing'!$E$42+'2025_03_28 Boom Pricing'!$E$52+'2025_03_28 Boom Pricing'!$E$27</f>
        <v>30986.239999999991</v>
      </c>
      <c r="E284" s="115">
        <f t="shared" si="13"/>
        <v>15493.119999999995</v>
      </c>
    </row>
    <row r="285" spans="1:5" x14ac:dyDescent="0.3">
      <c r="B285" s="70" t="s">
        <v>641</v>
      </c>
      <c r="D285" s="42">
        <f>'2025_03_28 Boom Pricing'!$E$8+'2025_03_28 Boom Pricing'!$E$43+'2025_03_28 Boom Pricing'!$E$52+'2025_03_28 Boom Pricing'!$E$27</f>
        <v>32686.666666666657</v>
      </c>
      <c r="E285" s="115">
        <f t="shared" si="13"/>
        <v>16343.333333333328</v>
      </c>
    </row>
    <row r="286" spans="1:5" x14ac:dyDescent="0.3">
      <c r="A286" s="65"/>
      <c r="B286" s="65"/>
      <c r="C286" s="65"/>
      <c r="D286" s="81"/>
      <c r="E286" s="65"/>
    </row>
    <row r="287" spans="1:5" x14ac:dyDescent="0.3">
      <c r="A287" t="s">
        <v>283</v>
      </c>
      <c r="B287" s="70" t="s">
        <v>643</v>
      </c>
      <c r="D287" s="42">
        <f>'2025_03_28 Boom Pricing'!$E$9+'2025_03_28 Boom Pricing'!$E$38+'2025_03_28 Boom Pricing'!$E$47+'2025_03_28 Boom Pricing'!$E$23</f>
        <v>24970.346666666668</v>
      </c>
      <c r="E287" s="58">
        <f t="shared" ref="E287:E350" si="14">D287*(1-0.5)</f>
        <v>12485.173333333334</v>
      </c>
    </row>
    <row r="288" spans="1:5" x14ac:dyDescent="0.3">
      <c r="B288" s="70" t="s">
        <v>645</v>
      </c>
      <c r="D288" s="42">
        <f>'2025_03_28 Boom Pricing'!$E$9+'2025_03_28 Boom Pricing'!$E$39+'2025_03_28 Boom Pricing'!$E$47+'2025_03_28 Boom Pricing'!$E$23</f>
        <v>24970.346666666668</v>
      </c>
      <c r="E288" s="58">
        <f t="shared" si="14"/>
        <v>12485.173333333334</v>
      </c>
    </row>
    <row r="289" spans="1:5" x14ac:dyDescent="0.3">
      <c r="B289" s="70" t="s">
        <v>647</v>
      </c>
      <c r="D289" s="42">
        <f>'2025_03_28 Boom Pricing'!$E$9+'2025_03_28 Boom Pricing'!$E$40+'2025_03_28 Boom Pricing'!$E$47+'2025_03_28 Boom Pricing'!$E$23</f>
        <v>24970.346666666668</v>
      </c>
      <c r="E289" s="58">
        <f t="shared" si="14"/>
        <v>12485.173333333334</v>
      </c>
    </row>
    <row r="290" spans="1:5" x14ac:dyDescent="0.3">
      <c r="B290" s="70" t="s">
        <v>649</v>
      </c>
      <c r="D290" s="42">
        <f>'2025_03_28 Boom Pricing'!$E$9+'2025_03_28 Boom Pricing'!$E$41+'2025_03_28 Boom Pricing'!$E$47+'2025_03_28 Boom Pricing'!$E$23</f>
        <v>24970.346666666668</v>
      </c>
      <c r="E290" s="58">
        <f t="shared" si="14"/>
        <v>12485.173333333334</v>
      </c>
    </row>
    <row r="291" spans="1:5" x14ac:dyDescent="0.3">
      <c r="B291" s="70" t="s">
        <v>651</v>
      </c>
      <c r="D291" s="42">
        <f>'2025_03_28 Boom Pricing'!$E$9+'2025_03_28 Boom Pricing'!$E$42+'2025_03_28 Boom Pricing'!$E$47+'2025_03_28 Boom Pricing'!$E$23</f>
        <v>26561.893333333333</v>
      </c>
      <c r="E291" s="58">
        <f t="shared" si="14"/>
        <v>13280.946666666667</v>
      </c>
    </row>
    <row r="292" spans="1:5" x14ac:dyDescent="0.3">
      <c r="A292" s="48"/>
      <c r="B292" s="116" t="s">
        <v>653</v>
      </c>
      <c r="C292" s="48"/>
      <c r="D292" s="119">
        <f>'2025_03_28 Boom Pricing'!$E$9+'2025_03_28 Boom Pricing'!$E$43+'2025_03_28 Boom Pricing'!$E$47+'2025_03_28 Boom Pricing'!$E$23</f>
        <v>28262.32</v>
      </c>
      <c r="E292" s="117">
        <f t="shared" si="14"/>
        <v>14131.16</v>
      </c>
    </row>
    <row r="293" spans="1:5" x14ac:dyDescent="0.3">
      <c r="B293" s="70" t="s">
        <v>655</v>
      </c>
      <c r="D293" s="42">
        <f>'2025_03_28 Boom Pricing'!$E$9+'2025_03_28 Boom Pricing'!$E$38+'2025_03_28 Boom Pricing'!$E$47+'2025_03_28 Boom Pricing'!$E$24</f>
        <v>26945.25333333333</v>
      </c>
      <c r="E293" s="58">
        <f t="shared" si="14"/>
        <v>13472.626666666665</v>
      </c>
    </row>
    <row r="294" spans="1:5" x14ac:dyDescent="0.3">
      <c r="B294" s="70" t="s">
        <v>657</v>
      </c>
      <c r="D294" s="42">
        <f>'2025_03_28 Boom Pricing'!$E$9+'2025_03_28 Boom Pricing'!$E$39+'2025_03_28 Boom Pricing'!$E$47+'2025_03_28 Boom Pricing'!$E$24</f>
        <v>26945.25333333333</v>
      </c>
      <c r="E294" s="58">
        <f t="shared" si="14"/>
        <v>13472.626666666665</v>
      </c>
    </row>
    <row r="295" spans="1:5" x14ac:dyDescent="0.3">
      <c r="B295" s="70" t="s">
        <v>659</v>
      </c>
      <c r="D295" s="42">
        <f>'2025_03_28 Boom Pricing'!$E$9+'2025_03_28 Boom Pricing'!$E$40+'2025_03_28 Boom Pricing'!$E$47+'2025_03_28 Boom Pricing'!$E$24</f>
        <v>26945.25333333333</v>
      </c>
      <c r="E295" s="58">
        <f t="shared" si="14"/>
        <v>13472.626666666665</v>
      </c>
    </row>
    <row r="296" spans="1:5" x14ac:dyDescent="0.3">
      <c r="B296" s="70" t="s">
        <v>661</v>
      </c>
      <c r="D296" s="42">
        <f>'2025_03_28 Boom Pricing'!$E$9+'2025_03_28 Boom Pricing'!$E$41+'2025_03_28 Boom Pricing'!$E$47+'2025_03_28 Boom Pricing'!$E$24</f>
        <v>26945.25333333333</v>
      </c>
      <c r="E296" s="58">
        <f t="shared" si="14"/>
        <v>13472.626666666665</v>
      </c>
    </row>
    <row r="297" spans="1:5" x14ac:dyDescent="0.3">
      <c r="B297" s="70" t="s">
        <v>663</v>
      </c>
      <c r="D297" s="42">
        <f>'2025_03_28 Boom Pricing'!$E$9+'2025_03_28 Boom Pricing'!$E$42+'2025_03_28 Boom Pricing'!$E$47+'2025_03_28 Boom Pricing'!$E$24</f>
        <v>28536.799999999996</v>
      </c>
      <c r="E297" s="115">
        <f t="shared" si="14"/>
        <v>14268.399999999998</v>
      </c>
    </row>
    <row r="298" spans="1:5" x14ac:dyDescent="0.3">
      <c r="A298" s="48"/>
      <c r="B298" s="116" t="s">
        <v>665</v>
      </c>
      <c r="C298" s="48"/>
      <c r="D298" s="119">
        <f>'2025_03_28 Boom Pricing'!$E$9+'2025_03_28 Boom Pricing'!$E$43+'2025_03_28 Boom Pricing'!$E$47+'2025_03_28 Boom Pricing'!$E$24</f>
        <v>30237.226666666662</v>
      </c>
      <c r="E298" s="117">
        <f t="shared" si="14"/>
        <v>15118.613333333331</v>
      </c>
    </row>
    <row r="299" spans="1:5" x14ac:dyDescent="0.3">
      <c r="B299" s="70" t="s">
        <v>667</v>
      </c>
      <c r="D299" s="42">
        <f>'2025_03_28 Boom Pricing'!$E$9+'2025_03_28 Boom Pricing'!$E$38+'2025_03_28 Boom Pricing'!$E$47+'2025_03_28 Boom Pricing'!$E$25</f>
        <v>28925.093333333331</v>
      </c>
      <c r="E299" s="115">
        <f t="shared" si="14"/>
        <v>14462.546666666665</v>
      </c>
    </row>
    <row r="300" spans="1:5" x14ac:dyDescent="0.3">
      <c r="B300" s="70" t="s">
        <v>669</v>
      </c>
      <c r="D300" s="42">
        <f>'2025_03_28 Boom Pricing'!$E$9+'2025_03_28 Boom Pricing'!$E$39+'2025_03_28 Boom Pricing'!$E$47+'2025_03_28 Boom Pricing'!$E$25</f>
        <v>28925.093333333331</v>
      </c>
      <c r="E300" s="115">
        <f t="shared" si="14"/>
        <v>14462.546666666665</v>
      </c>
    </row>
    <row r="301" spans="1:5" x14ac:dyDescent="0.3">
      <c r="B301" s="70" t="s">
        <v>671</v>
      </c>
      <c r="D301" s="42">
        <f>'2025_03_28 Boom Pricing'!$E$9+'2025_03_28 Boom Pricing'!$E$40+'2025_03_28 Boom Pricing'!$E$47+'2025_03_28 Boom Pricing'!$E$25</f>
        <v>28925.093333333331</v>
      </c>
      <c r="E301" s="115">
        <f t="shared" si="14"/>
        <v>14462.546666666665</v>
      </c>
    </row>
    <row r="302" spans="1:5" x14ac:dyDescent="0.3">
      <c r="B302" s="70" t="s">
        <v>673</v>
      </c>
      <c r="D302" s="42">
        <f>'2025_03_28 Boom Pricing'!$E$9+'2025_03_28 Boom Pricing'!$E$41+'2025_03_28 Boom Pricing'!$E$47+'2025_03_28 Boom Pricing'!$E$25</f>
        <v>28925.093333333331</v>
      </c>
      <c r="E302" s="115">
        <f t="shared" si="14"/>
        <v>14462.546666666665</v>
      </c>
    </row>
    <row r="303" spans="1:5" x14ac:dyDescent="0.3">
      <c r="B303" s="70" t="s">
        <v>675</v>
      </c>
      <c r="D303" s="42">
        <f>'2025_03_28 Boom Pricing'!$E$9+'2025_03_28 Boom Pricing'!$E$42+'2025_03_28 Boom Pricing'!$E$47+'2025_03_28 Boom Pricing'!$E$25</f>
        <v>30516.639999999996</v>
      </c>
      <c r="E303" s="115">
        <f t="shared" si="14"/>
        <v>15258.319999999998</v>
      </c>
    </row>
    <row r="304" spans="1:5" x14ac:dyDescent="0.3">
      <c r="A304" s="48"/>
      <c r="B304" s="116" t="s">
        <v>675</v>
      </c>
      <c r="C304" s="48"/>
      <c r="D304" s="119">
        <f>'2025_03_28 Boom Pricing'!$E$9+'2025_03_28 Boom Pricing'!$E$43+'2025_03_28 Boom Pricing'!$E$47+'2025_03_28 Boom Pricing'!$E$25</f>
        <v>32217.066666666662</v>
      </c>
      <c r="E304" s="117">
        <f t="shared" si="14"/>
        <v>16108.533333333331</v>
      </c>
    </row>
    <row r="305" spans="1:5" x14ac:dyDescent="0.3">
      <c r="B305" s="70" t="s">
        <v>678</v>
      </c>
      <c r="D305" s="42">
        <f>'2025_03_28 Boom Pricing'!$E$9+'2025_03_28 Boom Pricing'!$E$38+'2025_03_28 Boom Pricing'!$E$47+'2025_03_28 Boom Pricing'!$E$26</f>
        <v>30964.213333333326</v>
      </c>
      <c r="E305" s="115">
        <f t="shared" si="14"/>
        <v>15482.106666666663</v>
      </c>
    </row>
    <row r="306" spans="1:5" x14ac:dyDescent="0.3">
      <c r="B306" s="70" t="s">
        <v>680</v>
      </c>
      <c r="D306" s="42">
        <f>'2025_03_28 Boom Pricing'!$E$9+'2025_03_28 Boom Pricing'!$E$39+'2025_03_28 Boom Pricing'!$E$47+'2025_03_28 Boom Pricing'!$E$26</f>
        <v>30964.213333333326</v>
      </c>
      <c r="E306" s="115">
        <f t="shared" si="14"/>
        <v>15482.106666666663</v>
      </c>
    </row>
    <row r="307" spans="1:5" x14ac:dyDescent="0.3">
      <c r="B307" s="70" t="s">
        <v>682</v>
      </c>
      <c r="D307" s="42">
        <f>'2025_03_28 Boom Pricing'!$E$9+'2025_03_28 Boom Pricing'!$E$40+'2025_03_28 Boom Pricing'!$E$47+'2025_03_28 Boom Pricing'!$E$26</f>
        <v>30964.213333333326</v>
      </c>
      <c r="E307" s="115">
        <f t="shared" si="14"/>
        <v>15482.106666666663</v>
      </c>
    </row>
    <row r="308" spans="1:5" x14ac:dyDescent="0.3">
      <c r="B308" s="70" t="s">
        <v>684</v>
      </c>
      <c r="D308" s="42">
        <f>'2025_03_28 Boom Pricing'!$E$9+'2025_03_28 Boom Pricing'!$E$41+'2025_03_28 Boom Pricing'!$E$47+'2025_03_28 Boom Pricing'!$E$26</f>
        <v>30964.213333333326</v>
      </c>
      <c r="E308" s="115">
        <f t="shared" si="14"/>
        <v>15482.106666666663</v>
      </c>
    </row>
    <row r="309" spans="1:5" x14ac:dyDescent="0.3">
      <c r="B309" s="70" t="s">
        <v>686</v>
      </c>
      <c r="D309" s="42">
        <f>'2025_03_28 Boom Pricing'!$E$9+'2025_03_28 Boom Pricing'!$E$42+'2025_03_28 Boom Pricing'!$E$47+'2025_03_28 Boom Pricing'!$E$26</f>
        <v>32555.759999999995</v>
      </c>
      <c r="E309" s="115">
        <f t="shared" si="14"/>
        <v>16277.879999999997</v>
      </c>
    </row>
    <row r="310" spans="1:5" x14ac:dyDescent="0.3">
      <c r="A310" s="48"/>
      <c r="B310" s="116" t="s">
        <v>688</v>
      </c>
      <c r="C310" s="48"/>
      <c r="D310" s="119">
        <f>'2025_03_28 Boom Pricing'!$E$9+'2025_03_28 Boom Pricing'!$E$43+'2025_03_28 Boom Pricing'!$E$47+'2025_03_28 Boom Pricing'!$E$26</f>
        <v>34256.186666666661</v>
      </c>
      <c r="E310" s="117">
        <f t="shared" si="14"/>
        <v>17128.093333333331</v>
      </c>
    </row>
    <row r="311" spans="1:5" x14ac:dyDescent="0.3">
      <c r="B311" s="70" t="s">
        <v>690</v>
      </c>
      <c r="D311" s="42">
        <f>'2025_03_28 Boom Pricing'!$E$9+'2025_03_28 Boom Pricing'!$E$38+'2025_03_28 Boom Pricing'!$E$47+'2025_03_28 Boom Pricing'!$E$27</f>
        <v>32998.373333333322</v>
      </c>
      <c r="E311" s="115">
        <f t="shared" si="14"/>
        <v>16499.186666666661</v>
      </c>
    </row>
    <row r="312" spans="1:5" x14ac:dyDescent="0.3">
      <c r="B312" s="70" t="s">
        <v>692</v>
      </c>
      <c r="D312" s="42">
        <f>'2025_03_28 Boom Pricing'!$E$9+'2025_03_28 Boom Pricing'!$E$39+'2025_03_28 Boom Pricing'!$E$47+'2025_03_28 Boom Pricing'!$E$27</f>
        <v>32998.373333333322</v>
      </c>
      <c r="E312" s="115">
        <f t="shared" si="14"/>
        <v>16499.186666666661</v>
      </c>
    </row>
    <row r="313" spans="1:5" x14ac:dyDescent="0.3">
      <c r="B313" s="70" t="s">
        <v>694</v>
      </c>
      <c r="D313" s="42">
        <f>'2025_03_28 Boom Pricing'!$E$9+'2025_03_28 Boom Pricing'!$E$40+'2025_03_28 Boom Pricing'!$E$47+'2025_03_28 Boom Pricing'!$E$27</f>
        <v>32998.373333333322</v>
      </c>
      <c r="E313" s="115">
        <f t="shared" si="14"/>
        <v>16499.186666666661</v>
      </c>
    </row>
    <row r="314" spans="1:5" x14ac:dyDescent="0.3">
      <c r="B314" s="70" t="s">
        <v>696</v>
      </c>
      <c r="D314" s="42">
        <f>'2025_03_28 Boom Pricing'!$E$9+'2025_03_28 Boom Pricing'!$E$41+'2025_03_28 Boom Pricing'!$E$47+'2025_03_28 Boom Pricing'!$E$27</f>
        <v>32998.373333333322</v>
      </c>
      <c r="E314" s="115">
        <f t="shared" si="14"/>
        <v>16499.186666666661</v>
      </c>
    </row>
    <row r="315" spans="1:5" x14ac:dyDescent="0.3">
      <c r="B315" s="70" t="s">
        <v>698</v>
      </c>
      <c r="D315" s="42">
        <f>'2025_03_28 Boom Pricing'!$E$9+'2025_03_28 Boom Pricing'!$E$42+'2025_03_28 Boom Pricing'!$E$47+'2025_03_28 Boom Pricing'!$E$27</f>
        <v>34589.919999999991</v>
      </c>
      <c r="E315" s="115">
        <f t="shared" si="14"/>
        <v>17294.959999999995</v>
      </c>
    </row>
    <row r="316" spans="1:5" ht="16.2" thickBot="1" x14ac:dyDescent="0.35">
      <c r="A316" s="133"/>
      <c r="B316" s="134" t="s">
        <v>700</v>
      </c>
      <c r="C316" s="133"/>
      <c r="D316" s="135">
        <f>'2025_03_28 Boom Pricing'!$E$9+'2025_03_28 Boom Pricing'!$E$43+'2025_03_28 Boom Pricing'!$E$47+'2025_03_28 Boom Pricing'!$E$27</f>
        <v>36290.346666666657</v>
      </c>
      <c r="E316" s="136">
        <f t="shared" si="14"/>
        <v>18145.173333333329</v>
      </c>
    </row>
    <row r="317" spans="1:5" x14ac:dyDescent="0.3">
      <c r="B317" s="70" t="s">
        <v>702</v>
      </c>
      <c r="D317" s="42">
        <f>'2025_03_28 Boom Pricing'!$E$9+'2025_03_28 Boom Pricing'!$E$38+'2025_03_28 Boom Pricing'!$E$48+'2025_03_28 Boom Pricing'!$E$23</f>
        <v>24967.68</v>
      </c>
      <c r="E317" s="115">
        <f t="shared" si="14"/>
        <v>12483.84</v>
      </c>
    </row>
    <row r="318" spans="1:5" x14ac:dyDescent="0.3">
      <c r="B318" s="70" t="s">
        <v>704</v>
      </c>
      <c r="D318" s="42">
        <f>'2025_03_28 Boom Pricing'!$E$9+'2025_03_28 Boom Pricing'!$E$39+'2025_03_28 Boom Pricing'!$E$48+'2025_03_28 Boom Pricing'!$E$23</f>
        <v>24967.68</v>
      </c>
      <c r="E318" s="115">
        <f t="shared" si="14"/>
        <v>12483.84</v>
      </c>
    </row>
    <row r="319" spans="1:5" x14ac:dyDescent="0.3">
      <c r="B319" s="70" t="s">
        <v>706</v>
      </c>
      <c r="D319" s="42">
        <f>'2025_03_28 Boom Pricing'!$E$9+'2025_03_28 Boom Pricing'!$E$40+'2025_03_28 Boom Pricing'!$E$48+'2025_03_28 Boom Pricing'!$E$23</f>
        <v>24967.68</v>
      </c>
      <c r="E319" s="115">
        <f t="shared" si="14"/>
        <v>12483.84</v>
      </c>
    </row>
    <row r="320" spans="1:5" x14ac:dyDescent="0.3">
      <c r="B320" s="70" t="s">
        <v>708</v>
      </c>
      <c r="D320" s="42">
        <f>'2025_03_28 Boom Pricing'!$E$9+'2025_03_28 Boom Pricing'!$E$41+'2025_03_28 Boom Pricing'!$E$48+'2025_03_28 Boom Pricing'!$E$23</f>
        <v>24967.68</v>
      </c>
      <c r="E320" s="115">
        <f t="shared" si="14"/>
        <v>12483.84</v>
      </c>
    </row>
    <row r="321" spans="1:5" x14ac:dyDescent="0.3">
      <c r="B321" s="70" t="s">
        <v>710</v>
      </c>
      <c r="D321" s="42">
        <f>'2025_03_28 Boom Pricing'!$E$9+'2025_03_28 Boom Pricing'!$E$42+'2025_03_28 Boom Pricing'!$E$48+'2025_03_28 Boom Pricing'!$E$23</f>
        <v>26559.226666666666</v>
      </c>
      <c r="E321" s="115">
        <f t="shared" si="14"/>
        <v>13279.613333333333</v>
      </c>
    </row>
    <row r="322" spans="1:5" x14ac:dyDescent="0.3">
      <c r="A322" s="48"/>
      <c r="B322" s="116" t="s">
        <v>712</v>
      </c>
      <c r="C322" s="48"/>
      <c r="D322" s="119">
        <f>'2025_03_28 Boom Pricing'!$E$9+'2025_03_28 Boom Pricing'!$E$43+'2025_03_28 Boom Pricing'!$E$48+'2025_03_28 Boom Pricing'!$E$23</f>
        <v>28259.653333333332</v>
      </c>
      <c r="E322" s="117">
        <f t="shared" si="14"/>
        <v>14129.826666666666</v>
      </c>
    </row>
    <row r="323" spans="1:5" x14ac:dyDescent="0.3">
      <c r="B323" s="70" t="s">
        <v>714</v>
      </c>
      <c r="D323" s="42">
        <f>'2025_03_28 Boom Pricing'!$E$9+'2025_03_28 Boom Pricing'!$E$38+'2025_03_28 Boom Pricing'!$E$48+'2025_03_28 Boom Pricing'!$E$24</f>
        <v>26942.586666666662</v>
      </c>
      <c r="E323" s="115">
        <f t="shared" si="14"/>
        <v>13471.293333333331</v>
      </c>
    </row>
    <row r="324" spans="1:5" x14ac:dyDescent="0.3">
      <c r="B324" s="70" t="s">
        <v>716</v>
      </c>
      <c r="D324" s="42">
        <f>'2025_03_28 Boom Pricing'!$E$9+'2025_03_28 Boom Pricing'!$E$39+'2025_03_28 Boom Pricing'!$E$48+'2025_03_28 Boom Pricing'!$E$24</f>
        <v>26942.586666666662</v>
      </c>
      <c r="E324" s="115">
        <f t="shared" si="14"/>
        <v>13471.293333333331</v>
      </c>
    </row>
    <row r="325" spans="1:5" x14ac:dyDescent="0.3">
      <c r="B325" s="70" t="s">
        <v>718</v>
      </c>
      <c r="D325" s="42">
        <f>'2025_03_28 Boom Pricing'!$E$9+'2025_03_28 Boom Pricing'!$E$40+'2025_03_28 Boom Pricing'!$E$48+'2025_03_28 Boom Pricing'!$E$24</f>
        <v>26942.586666666662</v>
      </c>
      <c r="E325" s="115">
        <f t="shared" si="14"/>
        <v>13471.293333333331</v>
      </c>
    </row>
    <row r="326" spans="1:5" x14ac:dyDescent="0.3">
      <c r="B326" s="70" t="s">
        <v>720</v>
      </c>
      <c r="D326" s="42">
        <f>'2025_03_28 Boom Pricing'!$E$9+'2025_03_28 Boom Pricing'!$E$41+'2025_03_28 Boom Pricing'!$E$48+'2025_03_28 Boom Pricing'!$E$24</f>
        <v>26942.586666666662</v>
      </c>
      <c r="E326" s="115">
        <f t="shared" si="14"/>
        <v>13471.293333333331</v>
      </c>
    </row>
    <row r="327" spans="1:5" x14ac:dyDescent="0.3">
      <c r="B327" s="70" t="s">
        <v>722</v>
      </c>
      <c r="D327" s="42">
        <f>'2025_03_28 Boom Pricing'!$E$9+'2025_03_28 Boom Pricing'!$E$42+'2025_03_28 Boom Pricing'!$E$48+'2025_03_28 Boom Pricing'!$E$24</f>
        <v>28534.133333333328</v>
      </c>
      <c r="E327" s="115">
        <f t="shared" si="14"/>
        <v>14267.066666666664</v>
      </c>
    </row>
    <row r="328" spans="1:5" x14ac:dyDescent="0.3">
      <c r="A328" s="48"/>
      <c r="B328" s="116" t="s">
        <v>724</v>
      </c>
      <c r="C328" s="48"/>
      <c r="D328" s="119">
        <f>'2025_03_28 Boom Pricing'!$E$9+'2025_03_28 Boom Pricing'!$E$43+'2025_03_28 Boom Pricing'!$E$48+'2025_03_28 Boom Pricing'!$E$24</f>
        <v>30234.559999999994</v>
      </c>
      <c r="E328" s="117">
        <f t="shared" si="14"/>
        <v>15117.279999999997</v>
      </c>
    </row>
    <row r="329" spans="1:5" x14ac:dyDescent="0.3">
      <c r="B329" s="70" t="s">
        <v>726</v>
      </c>
      <c r="D329" s="42">
        <f>'2025_03_28 Boom Pricing'!$E$9+'2025_03_28 Boom Pricing'!$E$38+'2025_03_28 Boom Pricing'!$E$48+'2025_03_28 Boom Pricing'!$E$25</f>
        <v>28922.426666666663</v>
      </c>
      <c r="E329" s="115">
        <f t="shared" si="14"/>
        <v>14461.213333333331</v>
      </c>
    </row>
    <row r="330" spans="1:5" x14ac:dyDescent="0.3">
      <c r="B330" s="70" t="s">
        <v>728</v>
      </c>
      <c r="D330" s="42">
        <f>'2025_03_28 Boom Pricing'!$E$9+'2025_03_28 Boom Pricing'!$E$39+'2025_03_28 Boom Pricing'!$E$48+'2025_03_28 Boom Pricing'!$E$25</f>
        <v>28922.426666666663</v>
      </c>
      <c r="E330" s="115">
        <f t="shared" si="14"/>
        <v>14461.213333333331</v>
      </c>
    </row>
    <row r="331" spans="1:5" x14ac:dyDescent="0.3">
      <c r="B331" s="70" t="s">
        <v>730</v>
      </c>
      <c r="D331" s="42">
        <f>'2025_03_28 Boom Pricing'!$E$9+'2025_03_28 Boom Pricing'!$E$40+'2025_03_28 Boom Pricing'!$E$48+'2025_03_28 Boom Pricing'!$E$25</f>
        <v>28922.426666666663</v>
      </c>
      <c r="E331" s="115">
        <f t="shared" si="14"/>
        <v>14461.213333333331</v>
      </c>
    </row>
    <row r="332" spans="1:5" x14ac:dyDescent="0.3">
      <c r="B332" s="70" t="s">
        <v>732</v>
      </c>
      <c r="D332" s="42">
        <f>'2025_03_28 Boom Pricing'!$E$9+'2025_03_28 Boom Pricing'!$E$41+'2025_03_28 Boom Pricing'!$E$48+'2025_03_28 Boom Pricing'!$E$25</f>
        <v>28922.426666666663</v>
      </c>
      <c r="E332" s="115">
        <f t="shared" si="14"/>
        <v>14461.213333333331</v>
      </c>
    </row>
    <row r="333" spans="1:5" x14ac:dyDescent="0.3">
      <c r="B333" s="70" t="s">
        <v>734</v>
      </c>
      <c r="D333" s="42">
        <f>'2025_03_28 Boom Pricing'!$E$9+'2025_03_28 Boom Pricing'!$E$42+'2025_03_28 Boom Pricing'!$E$48+'2025_03_28 Boom Pricing'!$E$25</f>
        <v>30513.973333333328</v>
      </c>
      <c r="E333" s="115">
        <f t="shared" si="14"/>
        <v>15256.986666666664</v>
      </c>
    </row>
    <row r="334" spans="1:5" x14ac:dyDescent="0.3">
      <c r="A334" s="48"/>
      <c r="B334" s="116" t="s">
        <v>736</v>
      </c>
      <c r="C334" s="48"/>
      <c r="D334" s="119">
        <f>'2025_03_28 Boom Pricing'!$E$9+'2025_03_28 Boom Pricing'!$E$43+'2025_03_28 Boom Pricing'!$E$48+'2025_03_28 Boom Pricing'!$E$25</f>
        <v>32214.399999999994</v>
      </c>
      <c r="E334" s="117">
        <f t="shared" si="14"/>
        <v>16107.199999999997</v>
      </c>
    </row>
    <row r="335" spans="1:5" x14ac:dyDescent="0.3">
      <c r="B335" s="70" t="s">
        <v>738</v>
      </c>
      <c r="D335" s="42">
        <f>'2025_03_28 Boom Pricing'!$E$9+'2025_03_28 Boom Pricing'!$E249+'2025_03_28 Boom Pricing'!$E$47+'2025_03_28 Boom Pricing'!$E$26</f>
        <v>30964.213333333326</v>
      </c>
      <c r="E335" s="115">
        <f t="shared" si="14"/>
        <v>15482.106666666663</v>
      </c>
    </row>
    <row r="336" spans="1:5" x14ac:dyDescent="0.3">
      <c r="B336" s="70" t="s">
        <v>740</v>
      </c>
      <c r="D336" s="42">
        <f>'2025_03_28 Boom Pricing'!$E$9+'2025_03_28 Boom Pricing'!$E250+'2025_03_28 Boom Pricing'!$E$47+'2025_03_28 Boom Pricing'!$E$26</f>
        <v>30964.213333333326</v>
      </c>
      <c r="E336" s="115">
        <f t="shared" si="14"/>
        <v>15482.106666666663</v>
      </c>
    </row>
    <row r="337" spans="1:5" x14ac:dyDescent="0.3">
      <c r="B337" s="70" t="s">
        <v>742</v>
      </c>
      <c r="D337" s="42">
        <f>'2025_03_28 Boom Pricing'!$E$9+'2025_03_28 Boom Pricing'!$E251+'2025_03_28 Boom Pricing'!$E$47+'2025_03_28 Boom Pricing'!$E$26</f>
        <v>30964.213333333326</v>
      </c>
      <c r="E337" s="115">
        <f t="shared" si="14"/>
        <v>15482.106666666663</v>
      </c>
    </row>
    <row r="338" spans="1:5" x14ac:dyDescent="0.3">
      <c r="B338" s="70" t="s">
        <v>744</v>
      </c>
      <c r="D338" s="42">
        <f>'2025_03_28 Boom Pricing'!$E$9+'2025_03_28 Boom Pricing'!$E252+'2025_03_28 Boom Pricing'!$E$47+'2025_03_28 Boom Pricing'!$E$26</f>
        <v>30964.213333333326</v>
      </c>
      <c r="E338" s="115">
        <f t="shared" si="14"/>
        <v>15482.106666666663</v>
      </c>
    </row>
    <row r="339" spans="1:5" x14ac:dyDescent="0.3">
      <c r="B339" s="70" t="s">
        <v>746</v>
      </c>
      <c r="D339" s="42">
        <f>'2025_03_28 Boom Pricing'!$E$9+'2025_03_28 Boom Pricing'!$E253+'2025_03_28 Boom Pricing'!$E$47+'2025_03_28 Boom Pricing'!$E$26</f>
        <v>30964.213333333326</v>
      </c>
      <c r="E339" s="115">
        <f t="shared" si="14"/>
        <v>15482.106666666663</v>
      </c>
    </row>
    <row r="340" spans="1:5" x14ac:dyDescent="0.3">
      <c r="A340" s="48"/>
      <c r="B340" s="116" t="s">
        <v>748</v>
      </c>
      <c r="C340" s="48"/>
      <c r="D340" s="119">
        <f>'2025_03_28 Boom Pricing'!$E$9+'2025_03_28 Boom Pricing'!$E254+'2025_03_28 Boom Pricing'!$E$47+'2025_03_28 Boom Pricing'!$E$26</f>
        <v>30964.213333333326</v>
      </c>
      <c r="E340" s="117">
        <f t="shared" si="14"/>
        <v>15482.106666666663</v>
      </c>
    </row>
    <row r="341" spans="1:5" x14ac:dyDescent="0.3">
      <c r="B341" s="70" t="s">
        <v>750</v>
      </c>
      <c r="D341" s="42">
        <f>'2025_03_28 Boom Pricing'!$E$9+'2025_03_28 Boom Pricing'!$E$38+'2025_03_28 Boom Pricing'!$E$48+'2025_03_28 Boom Pricing'!$E$27</f>
        <v>32995.706666666658</v>
      </c>
      <c r="E341" s="115">
        <f t="shared" si="14"/>
        <v>16497.853333333329</v>
      </c>
    </row>
    <row r="342" spans="1:5" x14ac:dyDescent="0.3">
      <c r="B342" s="70" t="s">
        <v>752</v>
      </c>
      <c r="D342" s="42">
        <f>'2025_03_28 Boom Pricing'!$E$9+'2025_03_28 Boom Pricing'!$E$39+'2025_03_28 Boom Pricing'!$E$48+'2025_03_28 Boom Pricing'!$E$27</f>
        <v>32995.706666666658</v>
      </c>
      <c r="E342" s="115">
        <f t="shared" si="14"/>
        <v>16497.853333333329</v>
      </c>
    </row>
    <row r="343" spans="1:5" x14ac:dyDescent="0.3">
      <c r="B343" s="70" t="s">
        <v>754</v>
      </c>
      <c r="D343" s="42">
        <f>'2025_03_28 Boom Pricing'!$E$9+'2025_03_28 Boom Pricing'!$E$40+'2025_03_28 Boom Pricing'!$E$48+'2025_03_28 Boom Pricing'!$E$27</f>
        <v>32995.706666666658</v>
      </c>
      <c r="E343" s="115">
        <f t="shared" si="14"/>
        <v>16497.853333333329</v>
      </c>
    </row>
    <row r="344" spans="1:5" x14ac:dyDescent="0.3">
      <c r="B344" s="70" t="s">
        <v>756</v>
      </c>
      <c r="D344" s="42">
        <f>'2025_03_28 Boom Pricing'!$E$9+'2025_03_28 Boom Pricing'!$E$41+'2025_03_28 Boom Pricing'!$E$48+'2025_03_28 Boom Pricing'!$E$27</f>
        <v>32995.706666666658</v>
      </c>
      <c r="E344" s="115">
        <f t="shared" si="14"/>
        <v>16497.853333333329</v>
      </c>
    </row>
    <row r="345" spans="1:5" x14ac:dyDescent="0.3">
      <c r="B345" s="70" t="s">
        <v>758</v>
      </c>
      <c r="D345" s="42">
        <f>'2025_03_28 Boom Pricing'!$E$9+'2025_03_28 Boom Pricing'!$E$42+'2025_03_28 Boom Pricing'!$E$48+'2025_03_28 Boom Pricing'!$E$27</f>
        <v>34587.253333333327</v>
      </c>
      <c r="E345" s="115">
        <f t="shared" si="14"/>
        <v>17293.626666666663</v>
      </c>
    </row>
    <row r="346" spans="1:5" ht="16.2" thickBot="1" x14ac:dyDescent="0.35">
      <c r="A346" s="133"/>
      <c r="B346" s="134" t="s">
        <v>760</v>
      </c>
      <c r="C346" s="133"/>
      <c r="D346" s="135">
        <f>'2025_03_28 Boom Pricing'!$E$9+'2025_03_28 Boom Pricing'!$E$43+'2025_03_28 Boom Pricing'!$E$48+'2025_03_28 Boom Pricing'!$E$27</f>
        <v>36287.679999999993</v>
      </c>
      <c r="E346" s="136">
        <f t="shared" si="14"/>
        <v>18143.839999999997</v>
      </c>
    </row>
    <row r="347" spans="1:5" x14ac:dyDescent="0.3">
      <c r="B347" s="70" t="s">
        <v>762</v>
      </c>
      <c r="D347" s="137">
        <f>'2025_03_28 Boom Pricing'!$E$9+'2025_03_28 Boom Pricing'!$E$38+'2025_03_28 Boom Pricing'!$E$49+'2025_03_28 Boom Pricing'!$E$23</f>
        <v>24967.68</v>
      </c>
      <c r="E347" s="115">
        <f t="shared" si="14"/>
        <v>12483.84</v>
      </c>
    </row>
    <row r="348" spans="1:5" x14ac:dyDescent="0.3">
      <c r="B348" s="70" t="s">
        <v>764</v>
      </c>
      <c r="D348" s="42">
        <f>'2025_03_28 Boom Pricing'!$E$9+'2025_03_28 Boom Pricing'!$E$39+'2025_03_28 Boom Pricing'!$E$49+'2025_03_28 Boom Pricing'!$E$23</f>
        <v>24967.68</v>
      </c>
      <c r="E348" s="115">
        <f t="shared" si="14"/>
        <v>12483.84</v>
      </c>
    </row>
    <row r="349" spans="1:5" x14ac:dyDescent="0.3">
      <c r="B349" s="70" t="s">
        <v>766</v>
      </c>
      <c r="D349" s="42">
        <f>'2025_03_28 Boom Pricing'!$E$9+'2025_03_28 Boom Pricing'!$E$40+'2025_03_28 Boom Pricing'!$E$49+'2025_03_28 Boom Pricing'!$E$23</f>
        <v>24967.68</v>
      </c>
      <c r="E349" s="115">
        <f t="shared" si="14"/>
        <v>12483.84</v>
      </c>
    </row>
    <row r="350" spans="1:5" x14ac:dyDescent="0.3">
      <c r="B350" s="70" t="s">
        <v>768</v>
      </c>
      <c r="D350" s="42">
        <f>'2025_03_28 Boom Pricing'!$E$9+'2025_03_28 Boom Pricing'!$E$41+'2025_03_28 Boom Pricing'!$E$49+'2025_03_28 Boom Pricing'!$E$23</f>
        <v>24967.68</v>
      </c>
      <c r="E350" s="115">
        <f t="shared" si="14"/>
        <v>12483.84</v>
      </c>
    </row>
    <row r="351" spans="1:5" x14ac:dyDescent="0.3">
      <c r="B351" s="70" t="s">
        <v>770</v>
      </c>
      <c r="D351" s="42">
        <f>'2025_03_28 Boom Pricing'!$E$9+'2025_03_28 Boom Pricing'!$E$42+'2025_03_28 Boom Pricing'!$E$49+'2025_03_28 Boom Pricing'!$E$23</f>
        <v>26559.226666666666</v>
      </c>
      <c r="E351" s="115">
        <f t="shared" ref="E351:E414" si="15">D351*(1-0.5)</f>
        <v>13279.613333333333</v>
      </c>
    </row>
    <row r="352" spans="1:5" x14ac:dyDescent="0.3">
      <c r="A352" s="48"/>
      <c r="B352" s="116" t="s">
        <v>772</v>
      </c>
      <c r="C352" s="48"/>
      <c r="D352" s="119">
        <f>'2025_03_28 Boom Pricing'!$E$9+'2025_03_28 Boom Pricing'!$E$43+'2025_03_28 Boom Pricing'!$E$49+'2025_03_28 Boom Pricing'!$E$23</f>
        <v>28259.653333333332</v>
      </c>
      <c r="E352" s="117">
        <f t="shared" si="15"/>
        <v>14129.826666666666</v>
      </c>
    </row>
    <row r="353" spans="1:5" x14ac:dyDescent="0.3">
      <c r="B353" s="70" t="s">
        <v>774</v>
      </c>
      <c r="D353" s="42">
        <f>'2025_03_28 Boom Pricing'!$E$9+'2025_03_28 Boom Pricing'!$E$38+'2025_03_28 Boom Pricing'!$E$49+'2025_03_28 Boom Pricing'!$E$24</f>
        <v>26942.586666666662</v>
      </c>
      <c r="E353" s="115">
        <f t="shared" si="15"/>
        <v>13471.293333333331</v>
      </c>
    </row>
    <row r="354" spans="1:5" x14ac:dyDescent="0.3">
      <c r="B354" s="70" t="s">
        <v>776</v>
      </c>
      <c r="D354" s="42">
        <f>'2025_03_28 Boom Pricing'!$E$9+'2025_03_28 Boom Pricing'!$E$39+'2025_03_28 Boom Pricing'!$E$49+'2025_03_28 Boom Pricing'!$E$24</f>
        <v>26942.586666666662</v>
      </c>
      <c r="E354" s="115">
        <f t="shared" si="15"/>
        <v>13471.293333333331</v>
      </c>
    </row>
    <row r="355" spans="1:5" x14ac:dyDescent="0.3">
      <c r="B355" s="70" t="s">
        <v>778</v>
      </c>
      <c r="D355" s="42">
        <f>'2025_03_28 Boom Pricing'!$E$9+'2025_03_28 Boom Pricing'!$E$40+'2025_03_28 Boom Pricing'!$E$49+'2025_03_28 Boom Pricing'!$E$24</f>
        <v>26942.586666666662</v>
      </c>
      <c r="E355" s="115">
        <f t="shared" si="15"/>
        <v>13471.293333333331</v>
      </c>
    </row>
    <row r="356" spans="1:5" x14ac:dyDescent="0.3">
      <c r="B356" s="70" t="s">
        <v>780</v>
      </c>
      <c r="D356" s="42">
        <f>'2025_03_28 Boom Pricing'!$E$9+'2025_03_28 Boom Pricing'!$E$41+'2025_03_28 Boom Pricing'!$E$49+'2025_03_28 Boom Pricing'!$E$24</f>
        <v>26942.586666666662</v>
      </c>
      <c r="E356" s="115">
        <f t="shared" si="15"/>
        <v>13471.293333333331</v>
      </c>
    </row>
    <row r="357" spans="1:5" x14ac:dyDescent="0.3">
      <c r="B357" s="70" t="s">
        <v>782</v>
      </c>
      <c r="D357" s="42">
        <f>'2025_03_28 Boom Pricing'!$E$9+'2025_03_28 Boom Pricing'!$E$42+'2025_03_28 Boom Pricing'!$E$49+'2025_03_28 Boom Pricing'!$E$24</f>
        <v>28534.133333333328</v>
      </c>
      <c r="E357" s="115">
        <f t="shared" si="15"/>
        <v>14267.066666666664</v>
      </c>
    </row>
    <row r="358" spans="1:5" x14ac:dyDescent="0.3">
      <c r="A358" s="48"/>
      <c r="B358" s="116" t="s">
        <v>784</v>
      </c>
      <c r="C358" s="48"/>
      <c r="D358" s="119">
        <f>'2025_03_28 Boom Pricing'!$E$9+'2025_03_28 Boom Pricing'!$E$43+'2025_03_28 Boom Pricing'!$E$49+'2025_03_28 Boom Pricing'!$E$24</f>
        <v>30234.559999999994</v>
      </c>
      <c r="E358" s="117">
        <f t="shared" si="15"/>
        <v>15117.279999999997</v>
      </c>
    </row>
    <row r="359" spans="1:5" x14ac:dyDescent="0.3">
      <c r="B359" s="70" t="s">
        <v>786</v>
      </c>
      <c r="D359" s="42">
        <f>'2025_03_28 Boom Pricing'!$E$9+'2025_03_28 Boom Pricing'!$E$38+'2025_03_28 Boom Pricing'!$E$49+'2025_03_28 Boom Pricing'!$E$25</f>
        <v>28922.426666666663</v>
      </c>
      <c r="E359" s="115">
        <f t="shared" si="15"/>
        <v>14461.213333333331</v>
      </c>
    </row>
    <row r="360" spans="1:5" x14ac:dyDescent="0.3">
      <c r="B360" s="70" t="s">
        <v>788</v>
      </c>
      <c r="D360" s="42">
        <f>'2025_03_28 Boom Pricing'!$E$9+'2025_03_28 Boom Pricing'!$E$39+'2025_03_28 Boom Pricing'!$E$49+'2025_03_28 Boom Pricing'!$E$25</f>
        <v>28922.426666666663</v>
      </c>
      <c r="E360" s="115">
        <f t="shared" si="15"/>
        <v>14461.213333333331</v>
      </c>
    </row>
    <row r="361" spans="1:5" x14ac:dyDescent="0.3">
      <c r="B361" s="70" t="s">
        <v>790</v>
      </c>
      <c r="D361" s="42">
        <f>'2025_03_28 Boom Pricing'!$E$9+'2025_03_28 Boom Pricing'!$E$40+'2025_03_28 Boom Pricing'!$E$49+'2025_03_28 Boom Pricing'!$E$25</f>
        <v>28922.426666666663</v>
      </c>
      <c r="E361" s="115">
        <f t="shared" si="15"/>
        <v>14461.213333333331</v>
      </c>
    </row>
    <row r="362" spans="1:5" x14ac:dyDescent="0.3">
      <c r="B362" s="70" t="s">
        <v>792</v>
      </c>
      <c r="D362" s="42">
        <f>'2025_03_28 Boom Pricing'!$E$9+'2025_03_28 Boom Pricing'!$E$41+'2025_03_28 Boom Pricing'!$E$49+'2025_03_28 Boom Pricing'!$E$25</f>
        <v>28922.426666666663</v>
      </c>
      <c r="E362" s="115">
        <f t="shared" si="15"/>
        <v>14461.213333333331</v>
      </c>
    </row>
    <row r="363" spans="1:5" x14ac:dyDescent="0.3">
      <c r="B363" s="70" t="s">
        <v>794</v>
      </c>
      <c r="D363" s="42">
        <f>'2025_03_28 Boom Pricing'!$E$9+'2025_03_28 Boom Pricing'!$E$42+'2025_03_28 Boom Pricing'!$E$49+'2025_03_28 Boom Pricing'!$E$25</f>
        <v>30513.973333333328</v>
      </c>
      <c r="E363" s="115">
        <f t="shared" si="15"/>
        <v>15256.986666666664</v>
      </c>
    </row>
    <row r="364" spans="1:5" x14ac:dyDescent="0.3">
      <c r="A364" s="48"/>
      <c r="B364" s="116" t="s">
        <v>796</v>
      </c>
      <c r="C364" s="48"/>
      <c r="D364" s="119">
        <f>'2025_03_28 Boom Pricing'!$E$9+'2025_03_28 Boom Pricing'!$E$43+'2025_03_28 Boom Pricing'!$E$49+'2025_03_28 Boom Pricing'!$E$25</f>
        <v>32214.399999999994</v>
      </c>
      <c r="E364" s="117">
        <f t="shared" si="15"/>
        <v>16107.199999999997</v>
      </c>
    </row>
    <row r="365" spans="1:5" x14ac:dyDescent="0.3">
      <c r="B365" s="70" t="s">
        <v>798</v>
      </c>
      <c r="D365" s="42">
        <f>'2025_03_28 Boom Pricing'!$E$9+'2025_03_28 Boom Pricing'!$E$38+'2025_03_28 Boom Pricing'!$E$48+'2025_03_28 Boom Pricing'!$E$26</f>
        <v>30961.546666666662</v>
      </c>
      <c r="E365" s="115">
        <f t="shared" si="15"/>
        <v>15480.773333333331</v>
      </c>
    </row>
    <row r="366" spans="1:5" x14ac:dyDescent="0.3">
      <c r="B366" s="70" t="s">
        <v>800</v>
      </c>
      <c r="D366" s="42">
        <f>'2025_03_28 Boom Pricing'!$E$9+'2025_03_28 Boom Pricing'!$E$39+'2025_03_28 Boom Pricing'!$E$48+'2025_03_28 Boom Pricing'!$E$26</f>
        <v>30961.546666666662</v>
      </c>
      <c r="E366" s="115">
        <f t="shared" si="15"/>
        <v>15480.773333333331</v>
      </c>
    </row>
    <row r="367" spans="1:5" x14ac:dyDescent="0.3">
      <c r="B367" s="70" t="s">
        <v>802</v>
      </c>
      <c r="D367" s="42">
        <f>'2025_03_28 Boom Pricing'!$E$9+'2025_03_28 Boom Pricing'!$E$40+'2025_03_28 Boom Pricing'!$E$48+'2025_03_28 Boom Pricing'!$E$26</f>
        <v>30961.546666666662</v>
      </c>
      <c r="E367" s="115">
        <f t="shared" si="15"/>
        <v>15480.773333333331</v>
      </c>
    </row>
    <row r="368" spans="1:5" x14ac:dyDescent="0.3">
      <c r="B368" s="70" t="s">
        <v>804</v>
      </c>
      <c r="D368" s="42">
        <f>'2025_03_28 Boom Pricing'!$E$9+'2025_03_28 Boom Pricing'!$E$41+'2025_03_28 Boom Pricing'!$E$48+'2025_03_28 Boom Pricing'!$E$26</f>
        <v>30961.546666666662</v>
      </c>
      <c r="E368" s="115">
        <f t="shared" si="15"/>
        <v>15480.773333333331</v>
      </c>
    </row>
    <row r="369" spans="1:5" x14ac:dyDescent="0.3">
      <c r="B369" s="70" t="s">
        <v>806</v>
      </c>
      <c r="D369" s="42">
        <f>'2025_03_28 Boom Pricing'!$E$9+'2025_03_28 Boom Pricing'!$E$42+'2025_03_28 Boom Pricing'!$E$48+'2025_03_28 Boom Pricing'!$E$26</f>
        <v>32553.093333333323</v>
      </c>
      <c r="E369" s="115">
        <f t="shared" si="15"/>
        <v>16276.546666666662</v>
      </c>
    </row>
    <row r="370" spans="1:5" x14ac:dyDescent="0.3">
      <c r="A370" s="48"/>
      <c r="B370" s="116" t="s">
        <v>808</v>
      </c>
      <c r="C370" s="48"/>
      <c r="D370" s="119">
        <f>'2025_03_28 Boom Pricing'!$E$9+'2025_03_28 Boom Pricing'!$E$43+'2025_03_28 Boom Pricing'!$E$48+'2025_03_28 Boom Pricing'!$E$26</f>
        <v>34253.51999999999</v>
      </c>
      <c r="E370" s="117">
        <f t="shared" si="15"/>
        <v>17126.759999999995</v>
      </c>
    </row>
    <row r="371" spans="1:5" x14ac:dyDescent="0.3">
      <c r="B371" s="70" t="s">
        <v>810</v>
      </c>
      <c r="D371" s="42">
        <f>'2025_03_28 Boom Pricing'!$E$9+'2025_03_28 Boom Pricing'!$E$38+'2025_03_28 Boom Pricing'!$E$49+'2025_03_28 Boom Pricing'!$E$27</f>
        <v>32995.706666666658</v>
      </c>
      <c r="E371" s="115">
        <f t="shared" si="15"/>
        <v>16497.853333333329</v>
      </c>
    </row>
    <row r="372" spans="1:5" x14ac:dyDescent="0.3">
      <c r="B372" s="70" t="s">
        <v>812</v>
      </c>
      <c r="D372" s="42">
        <f>'2025_03_28 Boom Pricing'!$E$9+'2025_03_28 Boom Pricing'!$E$39+'2025_03_28 Boom Pricing'!$E$49+'2025_03_28 Boom Pricing'!$E$27</f>
        <v>32995.706666666658</v>
      </c>
      <c r="E372" s="115">
        <f t="shared" si="15"/>
        <v>16497.853333333329</v>
      </c>
    </row>
    <row r="373" spans="1:5" x14ac:dyDescent="0.3">
      <c r="B373" s="70" t="s">
        <v>814</v>
      </c>
      <c r="D373" s="42">
        <f>'2025_03_28 Boom Pricing'!$E$9+'2025_03_28 Boom Pricing'!$E$40+'2025_03_28 Boom Pricing'!$E$49+'2025_03_28 Boom Pricing'!$E$27</f>
        <v>32995.706666666658</v>
      </c>
      <c r="E373" s="115">
        <f t="shared" si="15"/>
        <v>16497.853333333329</v>
      </c>
    </row>
    <row r="374" spans="1:5" x14ac:dyDescent="0.3">
      <c r="B374" s="70" t="s">
        <v>816</v>
      </c>
      <c r="D374" s="42">
        <f>'2025_03_28 Boom Pricing'!$E$9+'2025_03_28 Boom Pricing'!$E$41+'2025_03_28 Boom Pricing'!$E$49+'2025_03_28 Boom Pricing'!$E$27</f>
        <v>32995.706666666658</v>
      </c>
      <c r="E374" s="115">
        <f t="shared" si="15"/>
        <v>16497.853333333329</v>
      </c>
    </row>
    <row r="375" spans="1:5" x14ac:dyDescent="0.3">
      <c r="B375" s="70" t="s">
        <v>818</v>
      </c>
      <c r="D375" s="42">
        <f>'2025_03_28 Boom Pricing'!$E$9+'2025_03_28 Boom Pricing'!$E$42+'2025_03_28 Boom Pricing'!$E$49+'2025_03_28 Boom Pricing'!$E$27</f>
        <v>34587.253333333327</v>
      </c>
      <c r="E375" s="115">
        <f t="shared" si="15"/>
        <v>17293.626666666663</v>
      </c>
    </row>
    <row r="376" spans="1:5" ht="16.2" thickBot="1" x14ac:dyDescent="0.35">
      <c r="A376" s="133"/>
      <c r="B376" s="134" t="s">
        <v>820</v>
      </c>
      <c r="C376" s="133"/>
      <c r="D376" s="135">
        <f>'2025_03_28 Boom Pricing'!$E$9+'2025_03_28 Boom Pricing'!$E$43+'2025_03_28 Boom Pricing'!$E$49+'2025_03_28 Boom Pricing'!$E$27</f>
        <v>36287.679999999993</v>
      </c>
      <c r="E376" s="136">
        <f t="shared" si="15"/>
        <v>18143.839999999997</v>
      </c>
    </row>
    <row r="377" spans="1:5" x14ac:dyDescent="0.3">
      <c r="B377" s="70" t="s">
        <v>822</v>
      </c>
      <c r="D377" s="42">
        <f>'2025_03_28 Boom Pricing'!$E$9+'2025_03_28 Boom Pricing'!$E$38+'2025_03_28 Boom Pricing'!$E$50+'2025_03_28 Boom Pricing'!$E$23</f>
        <v>24967.68</v>
      </c>
      <c r="E377" s="115">
        <f t="shared" si="15"/>
        <v>12483.84</v>
      </c>
    </row>
    <row r="378" spans="1:5" x14ac:dyDescent="0.3">
      <c r="B378" s="70" t="s">
        <v>824</v>
      </c>
      <c r="D378" s="42">
        <f>'2025_03_28 Boom Pricing'!$E$9+'2025_03_28 Boom Pricing'!$E$39+'2025_03_28 Boom Pricing'!$E$50+'2025_03_28 Boom Pricing'!$E$23</f>
        <v>24967.68</v>
      </c>
      <c r="E378" s="115">
        <f t="shared" si="15"/>
        <v>12483.84</v>
      </c>
    </row>
    <row r="379" spans="1:5" x14ac:dyDescent="0.3">
      <c r="B379" s="70" t="s">
        <v>826</v>
      </c>
      <c r="D379" s="42">
        <f>'2025_03_28 Boom Pricing'!$E$9+'2025_03_28 Boom Pricing'!$E$40+'2025_03_28 Boom Pricing'!$E$50+'2025_03_28 Boom Pricing'!$E$23</f>
        <v>24967.68</v>
      </c>
      <c r="E379" s="115">
        <f t="shared" si="15"/>
        <v>12483.84</v>
      </c>
    </row>
    <row r="380" spans="1:5" x14ac:dyDescent="0.3">
      <c r="B380" s="70" t="s">
        <v>828</v>
      </c>
      <c r="D380" s="42">
        <f>'2025_03_28 Boom Pricing'!$E$9+'2025_03_28 Boom Pricing'!$E$41+'2025_03_28 Boom Pricing'!$E$50+'2025_03_28 Boom Pricing'!$E$23</f>
        <v>24967.68</v>
      </c>
      <c r="E380" s="115">
        <f t="shared" si="15"/>
        <v>12483.84</v>
      </c>
    </row>
    <row r="381" spans="1:5" x14ac:dyDescent="0.3">
      <c r="B381" s="70" t="s">
        <v>830</v>
      </c>
      <c r="D381" s="42">
        <f>'2025_03_28 Boom Pricing'!$E$9+'2025_03_28 Boom Pricing'!$E$42+'2025_03_28 Boom Pricing'!$E$50+'2025_03_28 Boom Pricing'!$E$23</f>
        <v>26559.226666666666</v>
      </c>
      <c r="E381" s="115">
        <f t="shared" si="15"/>
        <v>13279.613333333333</v>
      </c>
    </row>
    <row r="382" spans="1:5" x14ac:dyDescent="0.3">
      <c r="A382" s="48"/>
      <c r="B382" s="116" t="s">
        <v>832</v>
      </c>
      <c r="C382" s="48"/>
      <c r="D382" s="119">
        <f>'2025_03_28 Boom Pricing'!$E$9+'2025_03_28 Boom Pricing'!$E$43+'2025_03_28 Boom Pricing'!$E$50+'2025_03_28 Boom Pricing'!$E$23</f>
        <v>28259.653333333332</v>
      </c>
      <c r="E382" s="117">
        <f t="shared" si="15"/>
        <v>14129.826666666666</v>
      </c>
    </row>
    <row r="383" spans="1:5" x14ac:dyDescent="0.3">
      <c r="B383" s="70" t="s">
        <v>834</v>
      </c>
      <c r="D383" s="42">
        <f>'2025_03_28 Boom Pricing'!$E$9+'2025_03_28 Boom Pricing'!$E$38+'2025_03_28 Boom Pricing'!$E$50+'2025_03_28 Boom Pricing'!$E$24</f>
        <v>26942.586666666662</v>
      </c>
      <c r="E383" s="115">
        <f t="shared" si="15"/>
        <v>13471.293333333331</v>
      </c>
    </row>
    <row r="384" spans="1:5" x14ac:dyDescent="0.3">
      <c r="B384" s="70" t="s">
        <v>836</v>
      </c>
      <c r="D384" s="42">
        <f>'2025_03_28 Boom Pricing'!$E$9+'2025_03_28 Boom Pricing'!$E$39+'2025_03_28 Boom Pricing'!$E$50+'2025_03_28 Boom Pricing'!$E$24</f>
        <v>26942.586666666662</v>
      </c>
      <c r="E384" s="115">
        <f t="shared" si="15"/>
        <v>13471.293333333331</v>
      </c>
    </row>
    <row r="385" spans="1:5" x14ac:dyDescent="0.3">
      <c r="B385" s="70" t="s">
        <v>838</v>
      </c>
      <c r="D385" s="42">
        <f>'2025_03_28 Boom Pricing'!$E$9+'2025_03_28 Boom Pricing'!$E$40+'2025_03_28 Boom Pricing'!$E$50+'2025_03_28 Boom Pricing'!$E$24</f>
        <v>26942.586666666662</v>
      </c>
      <c r="E385" s="115">
        <f t="shared" si="15"/>
        <v>13471.293333333331</v>
      </c>
    </row>
    <row r="386" spans="1:5" x14ac:dyDescent="0.3">
      <c r="B386" s="70" t="s">
        <v>840</v>
      </c>
      <c r="D386" s="42">
        <f>'2025_03_28 Boom Pricing'!$E$9+'2025_03_28 Boom Pricing'!$E$41+'2025_03_28 Boom Pricing'!$E$50+'2025_03_28 Boom Pricing'!$E$24</f>
        <v>26942.586666666662</v>
      </c>
      <c r="E386" s="115">
        <f t="shared" si="15"/>
        <v>13471.293333333331</v>
      </c>
    </row>
    <row r="387" spans="1:5" x14ac:dyDescent="0.3">
      <c r="B387" s="70" t="s">
        <v>842</v>
      </c>
      <c r="D387" s="42">
        <f>'2025_03_28 Boom Pricing'!$E$9+'2025_03_28 Boom Pricing'!$E$42+'2025_03_28 Boom Pricing'!$E$50+'2025_03_28 Boom Pricing'!$E$24</f>
        <v>28534.133333333328</v>
      </c>
      <c r="E387" s="115">
        <f t="shared" si="15"/>
        <v>14267.066666666664</v>
      </c>
    </row>
    <row r="388" spans="1:5" x14ac:dyDescent="0.3">
      <c r="A388" s="48"/>
      <c r="B388" s="116" t="s">
        <v>844</v>
      </c>
      <c r="C388" s="48"/>
      <c r="D388" s="119">
        <f>'2025_03_28 Boom Pricing'!$E$9+'2025_03_28 Boom Pricing'!$E$43+'2025_03_28 Boom Pricing'!$E$50+'2025_03_28 Boom Pricing'!$E$24</f>
        <v>30234.559999999994</v>
      </c>
      <c r="E388" s="117">
        <f t="shared" si="15"/>
        <v>15117.279999999997</v>
      </c>
    </row>
    <row r="389" spans="1:5" x14ac:dyDescent="0.3">
      <c r="B389" s="70" t="s">
        <v>846</v>
      </c>
      <c r="D389" s="42">
        <f>'2025_03_28 Boom Pricing'!$E$9+'2025_03_28 Boom Pricing'!$E$38+'2025_03_28 Boom Pricing'!$E$50+'2025_03_28 Boom Pricing'!$E$25</f>
        <v>28922.426666666663</v>
      </c>
      <c r="E389" s="115">
        <f t="shared" si="15"/>
        <v>14461.213333333331</v>
      </c>
    </row>
    <row r="390" spans="1:5" x14ac:dyDescent="0.3">
      <c r="B390" s="70" t="s">
        <v>848</v>
      </c>
      <c r="D390" s="42">
        <f>'2025_03_28 Boom Pricing'!$E$9+'2025_03_28 Boom Pricing'!$E$39+'2025_03_28 Boom Pricing'!$E$50+'2025_03_28 Boom Pricing'!$E$25</f>
        <v>28922.426666666663</v>
      </c>
      <c r="E390" s="115">
        <f t="shared" si="15"/>
        <v>14461.213333333331</v>
      </c>
    </row>
    <row r="391" spans="1:5" x14ac:dyDescent="0.3">
      <c r="B391" s="70" t="s">
        <v>850</v>
      </c>
      <c r="D391" s="42">
        <f>'2025_03_28 Boom Pricing'!$E$9+'2025_03_28 Boom Pricing'!$E$40+'2025_03_28 Boom Pricing'!$E$50+'2025_03_28 Boom Pricing'!$E$25</f>
        <v>28922.426666666663</v>
      </c>
      <c r="E391" s="115">
        <f t="shared" si="15"/>
        <v>14461.213333333331</v>
      </c>
    </row>
    <row r="392" spans="1:5" x14ac:dyDescent="0.3">
      <c r="B392" s="70" t="s">
        <v>852</v>
      </c>
      <c r="D392" s="42">
        <f>'2025_03_28 Boom Pricing'!$E$9+'2025_03_28 Boom Pricing'!$E$41+'2025_03_28 Boom Pricing'!$E$50+'2025_03_28 Boom Pricing'!$E$25</f>
        <v>28922.426666666663</v>
      </c>
      <c r="E392" s="115">
        <f t="shared" si="15"/>
        <v>14461.213333333331</v>
      </c>
    </row>
    <row r="393" spans="1:5" x14ac:dyDescent="0.3">
      <c r="B393" s="70" t="s">
        <v>854</v>
      </c>
      <c r="D393" s="42">
        <f>'2025_03_28 Boom Pricing'!$E$9+'2025_03_28 Boom Pricing'!$E$42+'2025_03_28 Boom Pricing'!$E$50+'2025_03_28 Boom Pricing'!$E$25</f>
        <v>30513.973333333328</v>
      </c>
      <c r="E393" s="115">
        <f t="shared" si="15"/>
        <v>15256.986666666664</v>
      </c>
    </row>
    <row r="394" spans="1:5" x14ac:dyDescent="0.3">
      <c r="A394" s="48"/>
      <c r="B394" s="116" t="s">
        <v>856</v>
      </c>
      <c r="C394" s="48"/>
      <c r="D394" s="119">
        <f>'2025_03_28 Boom Pricing'!$E$9+'2025_03_28 Boom Pricing'!$E$43+'2025_03_28 Boom Pricing'!$E$50+'2025_03_28 Boom Pricing'!$E$25</f>
        <v>32214.399999999994</v>
      </c>
      <c r="E394" s="117">
        <f t="shared" si="15"/>
        <v>16107.199999999997</v>
      </c>
    </row>
    <row r="395" spans="1:5" x14ac:dyDescent="0.3">
      <c r="B395" s="70" t="s">
        <v>858</v>
      </c>
      <c r="D395" s="42">
        <f>'2025_03_28 Boom Pricing'!$E$9+'2025_03_28 Boom Pricing'!$E$38+'2025_03_28 Boom Pricing'!$E$50+'2025_03_28 Boom Pricing'!$E$26</f>
        <v>30961.546666666662</v>
      </c>
      <c r="E395" s="115">
        <f t="shared" si="15"/>
        <v>15480.773333333331</v>
      </c>
    </row>
    <row r="396" spans="1:5" x14ac:dyDescent="0.3">
      <c r="B396" s="70" t="s">
        <v>860</v>
      </c>
      <c r="D396" s="42">
        <f>'2025_03_28 Boom Pricing'!$E$9+'2025_03_28 Boom Pricing'!$E$39+'2025_03_28 Boom Pricing'!$E$50+'2025_03_28 Boom Pricing'!$E$26</f>
        <v>30961.546666666662</v>
      </c>
      <c r="E396" s="115">
        <f t="shared" si="15"/>
        <v>15480.773333333331</v>
      </c>
    </row>
    <row r="397" spans="1:5" x14ac:dyDescent="0.3">
      <c r="B397" s="70" t="s">
        <v>862</v>
      </c>
      <c r="D397" s="42">
        <f>'2025_03_28 Boom Pricing'!$E$9+'2025_03_28 Boom Pricing'!$E$40+'2025_03_28 Boom Pricing'!$E$50+'2025_03_28 Boom Pricing'!$E$26</f>
        <v>30961.546666666662</v>
      </c>
      <c r="E397" s="115">
        <f t="shared" si="15"/>
        <v>15480.773333333331</v>
      </c>
    </row>
    <row r="398" spans="1:5" x14ac:dyDescent="0.3">
      <c r="B398" s="70" t="s">
        <v>864</v>
      </c>
      <c r="D398" s="42">
        <f>'2025_03_28 Boom Pricing'!$E$9+'2025_03_28 Boom Pricing'!$E$41+'2025_03_28 Boom Pricing'!$E$50+'2025_03_28 Boom Pricing'!$E$26</f>
        <v>30961.546666666662</v>
      </c>
      <c r="E398" s="115">
        <f t="shared" si="15"/>
        <v>15480.773333333331</v>
      </c>
    </row>
    <row r="399" spans="1:5" x14ac:dyDescent="0.3">
      <c r="B399" s="70" t="s">
        <v>866</v>
      </c>
      <c r="D399" s="42">
        <f>'2025_03_28 Boom Pricing'!$E$9+'2025_03_28 Boom Pricing'!$E$42+'2025_03_28 Boom Pricing'!$E$50+'2025_03_28 Boom Pricing'!$E$26</f>
        <v>32553.093333333323</v>
      </c>
      <c r="E399" s="115">
        <f t="shared" si="15"/>
        <v>16276.546666666662</v>
      </c>
    </row>
    <row r="400" spans="1:5" x14ac:dyDescent="0.3">
      <c r="A400" s="48"/>
      <c r="B400" s="116" t="s">
        <v>868</v>
      </c>
      <c r="C400" s="48"/>
      <c r="D400" s="119">
        <f>'2025_03_28 Boom Pricing'!$E$9+'2025_03_28 Boom Pricing'!$E$43+'2025_03_28 Boom Pricing'!$E$50+'2025_03_28 Boom Pricing'!$E$26</f>
        <v>34253.51999999999</v>
      </c>
      <c r="E400" s="117">
        <f t="shared" si="15"/>
        <v>17126.759999999995</v>
      </c>
    </row>
    <row r="401" spans="1:5" x14ac:dyDescent="0.3">
      <c r="B401" s="70" t="s">
        <v>870</v>
      </c>
      <c r="D401" s="42">
        <f>'2025_03_28 Boom Pricing'!$E$9+'2025_03_28 Boom Pricing'!$E$38+'2025_03_28 Boom Pricing'!$E$50+'2025_03_28 Boom Pricing'!$E$27</f>
        <v>32995.706666666658</v>
      </c>
      <c r="E401" s="115">
        <f t="shared" si="15"/>
        <v>16497.853333333329</v>
      </c>
    </row>
    <row r="402" spans="1:5" x14ac:dyDescent="0.3">
      <c r="B402" s="70" t="s">
        <v>872</v>
      </c>
      <c r="D402" s="42">
        <f>'2025_03_28 Boom Pricing'!$E$9+'2025_03_28 Boom Pricing'!$E$39+'2025_03_28 Boom Pricing'!$E$50+'2025_03_28 Boom Pricing'!$E$27</f>
        <v>32995.706666666658</v>
      </c>
      <c r="E402" s="115">
        <f t="shared" si="15"/>
        <v>16497.853333333329</v>
      </c>
    </row>
    <row r="403" spans="1:5" x14ac:dyDescent="0.3">
      <c r="B403" s="70" t="s">
        <v>874</v>
      </c>
      <c r="D403" s="42">
        <f>'2025_03_28 Boom Pricing'!$E$9+'2025_03_28 Boom Pricing'!$E$40+'2025_03_28 Boom Pricing'!$E$50+'2025_03_28 Boom Pricing'!$E$27</f>
        <v>32995.706666666658</v>
      </c>
      <c r="E403" s="115">
        <f t="shared" si="15"/>
        <v>16497.853333333329</v>
      </c>
    </row>
    <row r="404" spans="1:5" x14ac:dyDescent="0.3">
      <c r="B404" s="70" t="s">
        <v>876</v>
      </c>
      <c r="D404" s="42">
        <f>'2025_03_28 Boom Pricing'!$E$9+'2025_03_28 Boom Pricing'!$E$41+'2025_03_28 Boom Pricing'!$E$50+'2025_03_28 Boom Pricing'!$E$27</f>
        <v>32995.706666666658</v>
      </c>
      <c r="E404" s="115">
        <f t="shared" si="15"/>
        <v>16497.853333333329</v>
      </c>
    </row>
    <row r="405" spans="1:5" x14ac:dyDescent="0.3">
      <c r="B405" s="70" t="s">
        <v>878</v>
      </c>
      <c r="D405" s="42">
        <f>'2025_03_28 Boom Pricing'!$E$9+'2025_03_28 Boom Pricing'!$E$42+'2025_03_28 Boom Pricing'!$E$50+'2025_03_28 Boom Pricing'!$E$27</f>
        <v>34587.253333333327</v>
      </c>
      <c r="E405" s="115">
        <f t="shared" si="15"/>
        <v>17293.626666666663</v>
      </c>
    </row>
    <row r="406" spans="1:5" ht="16.2" thickBot="1" x14ac:dyDescent="0.35">
      <c r="A406" s="133"/>
      <c r="B406" s="134" t="s">
        <v>880</v>
      </c>
      <c r="C406" s="133"/>
      <c r="D406" s="135">
        <f>'2025_03_28 Boom Pricing'!$E$9+'2025_03_28 Boom Pricing'!$E$43+'2025_03_28 Boom Pricing'!$E$50+'2025_03_28 Boom Pricing'!$E$27</f>
        <v>36287.679999999993</v>
      </c>
      <c r="E406" s="136">
        <f t="shared" si="15"/>
        <v>18143.839999999997</v>
      </c>
    </row>
    <row r="407" spans="1:5" x14ac:dyDescent="0.3">
      <c r="B407" s="70" t="s">
        <v>882</v>
      </c>
      <c r="D407" s="42">
        <f>'2025_03_28 Boom Pricing'!$E$9+'2025_03_28 Boom Pricing'!$E$38+'2025_03_28 Boom Pricing'!$E$51+'2025_03_28 Boom Pricing'!$E$23</f>
        <v>24967.68</v>
      </c>
      <c r="E407" s="115">
        <f t="shared" si="15"/>
        <v>12483.84</v>
      </c>
    </row>
    <row r="408" spans="1:5" x14ac:dyDescent="0.3">
      <c r="B408" s="70" t="s">
        <v>884</v>
      </c>
      <c r="D408" s="42">
        <f>'2025_03_28 Boom Pricing'!$E$9+'2025_03_28 Boom Pricing'!$E$39+'2025_03_28 Boom Pricing'!$E$51+'2025_03_28 Boom Pricing'!$E$23</f>
        <v>24967.68</v>
      </c>
      <c r="E408" s="115">
        <f t="shared" si="15"/>
        <v>12483.84</v>
      </c>
    </row>
    <row r="409" spans="1:5" x14ac:dyDescent="0.3">
      <c r="B409" s="70" t="s">
        <v>886</v>
      </c>
      <c r="D409" s="42">
        <f>'2025_03_28 Boom Pricing'!$E$9+'2025_03_28 Boom Pricing'!$E$40+'2025_03_28 Boom Pricing'!$E$51+'2025_03_28 Boom Pricing'!$E$23</f>
        <v>24967.68</v>
      </c>
      <c r="E409" s="115">
        <f t="shared" si="15"/>
        <v>12483.84</v>
      </c>
    </row>
    <row r="410" spans="1:5" x14ac:dyDescent="0.3">
      <c r="B410" s="70" t="s">
        <v>888</v>
      </c>
      <c r="D410" s="42">
        <f>'2025_03_28 Boom Pricing'!$E$9+'2025_03_28 Boom Pricing'!$E$41+'2025_03_28 Boom Pricing'!$E$51+'2025_03_28 Boom Pricing'!$E$23</f>
        <v>24967.68</v>
      </c>
      <c r="E410" s="115">
        <f t="shared" si="15"/>
        <v>12483.84</v>
      </c>
    </row>
    <row r="411" spans="1:5" x14ac:dyDescent="0.3">
      <c r="B411" s="70" t="s">
        <v>890</v>
      </c>
      <c r="D411" s="42">
        <f>'2025_03_28 Boom Pricing'!$E$9+'2025_03_28 Boom Pricing'!$E$42+'2025_03_28 Boom Pricing'!$E$51+'2025_03_28 Boom Pricing'!$E$23</f>
        <v>26559.226666666666</v>
      </c>
      <c r="E411" s="115">
        <f t="shared" si="15"/>
        <v>13279.613333333333</v>
      </c>
    </row>
    <row r="412" spans="1:5" x14ac:dyDescent="0.3">
      <c r="A412" s="48"/>
      <c r="B412" s="116" t="s">
        <v>892</v>
      </c>
      <c r="C412" s="48"/>
      <c r="D412" s="119">
        <f>'2025_03_28 Boom Pricing'!$E$9+'2025_03_28 Boom Pricing'!$E$43+'2025_03_28 Boom Pricing'!$E$51+'2025_03_28 Boom Pricing'!$E$23</f>
        <v>28259.653333333332</v>
      </c>
      <c r="E412" s="117">
        <f t="shared" si="15"/>
        <v>14129.826666666666</v>
      </c>
    </row>
    <row r="413" spans="1:5" x14ac:dyDescent="0.3">
      <c r="B413" s="70" t="s">
        <v>894</v>
      </c>
      <c r="D413" s="42">
        <f>'2025_03_28 Boom Pricing'!$E$9+'2025_03_28 Boom Pricing'!$E$38+'2025_03_28 Boom Pricing'!$E$51+'2025_03_28 Boom Pricing'!$E$24</f>
        <v>26942.586666666662</v>
      </c>
      <c r="E413" s="115">
        <f t="shared" si="15"/>
        <v>13471.293333333331</v>
      </c>
    </row>
    <row r="414" spans="1:5" x14ac:dyDescent="0.3">
      <c r="B414" s="70" t="s">
        <v>896</v>
      </c>
      <c r="D414" s="42">
        <f>'2025_03_28 Boom Pricing'!$E$9+'2025_03_28 Boom Pricing'!$E$39+'2025_03_28 Boom Pricing'!$E$51+'2025_03_28 Boom Pricing'!$E$24</f>
        <v>26942.586666666662</v>
      </c>
      <c r="E414" s="115">
        <f t="shared" si="15"/>
        <v>13471.293333333331</v>
      </c>
    </row>
    <row r="415" spans="1:5" x14ac:dyDescent="0.3">
      <c r="B415" s="70" t="s">
        <v>898</v>
      </c>
      <c r="D415" s="42">
        <f>'2025_03_28 Boom Pricing'!$E$9+'2025_03_28 Boom Pricing'!$E$40+'2025_03_28 Boom Pricing'!$E$51+'2025_03_28 Boom Pricing'!$E$24</f>
        <v>26942.586666666662</v>
      </c>
      <c r="E415" s="115">
        <f t="shared" ref="E415:E466" si="16">D415*(1-0.5)</f>
        <v>13471.293333333331</v>
      </c>
    </row>
    <row r="416" spans="1:5" x14ac:dyDescent="0.3">
      <c r="B416" s="70" t="s">
        <v>900</v>
      </c>
      <c r="D416" s="42">
        <f>'2025_03_28 Boom Pricing'!$E$9+'2025_03_28 Boom Pricing'!$E$41+'2025_03_28 Boom Pricing'!$E$51+'2025_03_28 Boom Pricing'!$E$24</f>
        <v>26942.586666666662</v>
      </c>
      <c r="E416" s="115">
        <f t="shared" si="16"/>
        <v>13471.293333333331</v>
      </c>
    </row>
    <row r="417" spans="1:5" x14ac:dyDescent="0.3">
      <c r="B417" s="70" t="s">
        <v>902</v>
      </c>
      <c r="D417" s="42">
        <f>'2025_03_28 Boom Pricing'!$E$9+'2025_03_28 Boom Pricing'!$E$42+'2025_03_28 Boom Pricing'!$E$51+'2025_03_28 Boom Pricing'!$E$24</f>
        <v>28534.133333333328</v>
      </c>
      <c r="E417" s="115">
        <f t="shared" si="16"/>
        <v>14267.066666666664</v>
      </c>
    </row>
    <row r="418" spans="1:5" x14ac:dyDescent="0.3">
      <c r="A418" s="48"/>
      <c r="B418" s="116" t="s">
        <v>904</v>
      </c>
      <c r="C418" s="48"/>
      <c r="D418" s="119">
        <f>'2025_03_28 Boom Pricing'!$E$9+'2025_03_28 Boom Pricing'!$E$43+'2025_03_28 Boom Pricing'!$E$51+'2025_03_28 Boom Pricing'!$E$24</f>
        <v>30234.559999999994</v>
      </c>
      <c r="E418" s="117">
        <f t="shared" si="16"/>
        <v>15117.279999999997</v>
      </c>
    </row>
    <row r="419" spans="1:5" x14ac:dyDescent="0.3">
      <c r="B419" s="70" t="s">
        <v>906</v>
      </c>
      <c r="D419" s="42">
        <f>'2025_03_28 Boom Pricing'!$E$9+'2025_03_28 Boom Pricing'!$E$38+'2025_03_28 Boom Pricing'!$E$51+'2025_03_28 Boom Pricing'!$E$25</f>
        <v>28922.426666666663</v>
      </c>
      <c r="E419" s="115">
        <f t="shared" si="16"/>
        <v>14461.213333333331</v>
      </c>
    </row>
    <row r="420" spans="1:5" x14ac:dyDescent="0.3">
      <c r="B420" s="70" t="s">
        <v>908</v>
      </c>
      <c r="D420" s="42">
        <f>'2025_03_28 Boom Pricing'!$E$9+'2025_03_28 Boom Pricing'!$E$39+'2025_03_28 Boom Pricing'!$E$51+'2025_03_28 Boom Pricing'!$E$25</f>
        <v>28922.426666666663</v>
      </c>
      <c r="E420" s="115">
        <f t="shared" si="16"/>
        <v>14461.213333333331</v>
      </c>
    </row>
    <row r="421" spans="1:5" x14ac:dyDescent="0.3">
      <c r="B421" s="70" t="s">
        <v>910</v>
      </c>
      <c r="D421" s="42">
        <f>'2025_03_28 Boom Pricing'!$E$9+'2025_03_28 Boom Pricing'!$E$40+'2025_03_28 Boom Pricing'!$E$51+'2025_03_28 Boom Pricing'!$E$25</f>
        <v>28922.426666666663</v>
      </c>
      <c r="E421" s="115">
        <f t="shared" si="16"/>
        <v>14461.213333333331</v>
      </c>
    </row>
    <row r="422" spans="1:5" x14ac:dyDescent="0.3">
      <c r="B422" s="70" t="s">
        <v>912</v>
      </c>
      <c r="D422" s="42">
        <f>'2025_03_28 Boom Pricing'!$E$9+'2025_03_28 Boom Pricing'!$E$41+'2025_03_28 Boom Pricing'!$E$51+'2025_03_28 Boom Pricing'!$E$25</f>
        <v>28922.426666666663</v>
      </c>
      <c r="E422" s="115">
        <f t="shared" si="16"/>
        <v>14461.213333333331</v>
      </c>
    </row>
    <row r="423" spans="1:5" x14ac:dyDescent="0.3">
      <c r="B423" s="70" t="s">
        <v>914</v>
      </c>
      <c r="D423" s="42">
        <f>'2025_03_28 Boom Pricing'!$E$9+'2025_03_28 Boom Pricing'!$E$42+'2025_03_28 Boom Pricing'!$E$51+'2025_03_28 Boom Pricing'!$E$25</f>
        <v>30513.973333333328</v>
      </c>
      <c r="E423" s="115">
        <f t="shared" si="16"/>
        <v>15256.986666666664</v>
      </c>
    </row>
    <row r="424" spans="1:5" x14ac:dyDescent="0.3">
      <c r="A424" s="48"/>
      <c r="B424" s="116" t="s">
        <v>916</v>
      </c>
      <c r="C424" s="48"/>
      <c r="D424" s="119">
        <f>'2025_03_28 Boom Pricing'!$E$9+'2025_03_28 Boom Pricing'!$E$43+'2025_03_28 Boom Pricing'!$E$51+'2025_03_28 Boom Pricing'!$E$25</f>
        <v>32214.399999999994</v>
      </c>
      <c r="E424" s="117">
        <f t="shared" si="16"/>
        <v>16107.199999999997</v>
      </c>
    </row>
    <row r="425" spans="1:5" x14ac:dyDescent="0.3">
      <c r="B425" s="70" t="s">
        <v>918</v>
      </c>
      <c r="D425" s="105">
        <f>'2025_03_28 Boom Pricing'!$E$9+'2025_03_28 Boom Pricing'!$E$38+'2025_03_28 Boom Pricing'!$E$51+'2025_03_28 Boom Pricing'!$E$26</f>
        <v>30961.546666666662</v>
      </c>
      <c r="E425" s="115">
        <f t="shared" si="16"/>
        <v>15480.773333333331</v>
      </c>
    </row>
    <row r="426" spans="1:5" x14ac:dyDescent="0.3">
      <c r="B426" s="70" t="s">
        <v>920</v>
      </c>
      <c r="D426" s="105">
        <f>'2025_03_28 Boom Pricing'!$E$9+'2025_03_28 Boom Pricing'!$E$39+'2025_03_28 Boom Pricing'!$E$51+'2025_03_28 Boom Pricing'!$E$26</f>
        <v>30961.546666666662</v>
      </c>
      <c r="E426" s="115">
        <f t="shared" si="16"/>
        <v>15480.773333333331</v>
      </c>
    </row>
    <row r="427" spans="1:5" x14ac:dyDescent="0.3">
      <c r="B427" s="70" t="s">
        <v>922</v>
      </c>
      <c r="D427" s="105">
        <f>'2025_03_28 Boom Pricing'!$E$9+'2025_03_28 Boom Pricing'!$E$40+'2025_03_28 Boom Pricing'!$E$51+'2025_03_28 Boom Pricing'!$E$26</f>
        <v>30961.546666666662</v>
      </c>
      <c r="E427" s="115">
        <f t="shared" si="16"/>
        <v>15480.773333333331</v>
      </c>
    </row>
    <row r="428" spans="1:5" x14ac:dyDescent="0.3">
      <c r="B428" s="70" t="s">
        <v>924</v>
      </c>
      <c r="D428" s="105">
        <f>'2025_03_28 Boom Pricing'!$E$9+'2025_03_28 Boom Pricing'!$E$41+'2025_03_28 Boom Pricing'!$E$51+'2025_03_28 Boom Pricing'!$E$26</f>
        <v>30961.546666666662</v>
      </c>
      <c r="E428" s="115">
        <f t="shared" si="16"/>
        <v>15480.773333333331</v>
      </c>
    </row>
    <row r="429" spans="1:5" x14ac:dyDescent="0.3">
      <c r="B429" s="70" t="s">
        <v>926</v>
      </c>
      <c r="D429" s="105">
        <f>'2025_03_28 Boom Pricing'!$E$9+'2025_03_28 Boom Pricing'!$E$42+'2025_03_28 Boom Pricing'!$E$51+'2025_03_28 Boom Pricing'!$E$26</f>
        <v>32553.093333333323</v>
      </c>
      <c r="E429" s="115">
        <f t="shared" si="16"/>
        <v>16276.546666666662</v>
      </c>
    </row>
    <row r="430" spans="1:5" x14ac:dyDescent="0.3">
      <c r="A430" s="48"/>
      <c r="B430" s="116" t="s">
        <v>928</v>
      </c>
      <c r="C430" s="48"/>
      <c r="D430" s="138">
        <f>'2025_03_28 Boom Pricing'!$E$9+'2025_03_28 Boom Pricing'!$E$43+'2025_03_28 Boom Pricing'!$E$51+'2025_03_28 Boom Pricing'!$E$26</f>
        <v>34253.51999999999</v>
      </c>
      <c r="E430" s="117">
        <f t="shared" si="16"/>
        <v>17126.759999999995</v>
      </c>
    </row>
    <row r="431" spans="1:5" x14ac:dyDescent="0.3">
      <c r="B431" s="70" t="s">
        <v>930</v>
      </c>
      <c r="D431" s="42">
        <f>'2025_03_28 Boom Pricing'!$E$9+'2025_03_28 Boom Pricing'!$E$38+'2025_03_28 Boom Pricing'!$E$51+'2025_03_28 Boom Pricing'!$E$27</f>
        <v>32995.706666666658</v>
      </c>
      <c r="E431" s="115">
        <f t="shared" si="16"/>
        <v>16497.853333333329</v>
      </c>
    </row>
    <row r="432" spans="1:5" x14ac:dyDescent="0.3">
      <c r="B432" s="70" t="s">
        <v>932</v>
      </c>
      <c r="D432" s="42">
        <f>'2025_03_28 Boom Pricing'!$E$9+'2025_03_28 Boom Pricing'!$E$39+'2025_03_28 Boom Pricing'!$E$51+'2025_03_28 Boom Pricing'!$E$27</f>
        <v>32995.706666666658</v>
      </c>
      <c r="E432" s="115">
        <f t="shared" si="16"/>
        <v>16497.853333333329</v>
      </c>
    </row>
    <row r="433" spans="1:5" x14ac:dyDescent="0.3">
      <c r="B433" s="70" t="s">
        <v>934</v>
      </c>
      <c r="D433" s="42">
        <f>'2025_03_28 Boom Pricing'!$E$9+'2025_03_28 Boom Pricing'!$E$40+'2025_03_28 Boom Pricing'!$E$51+'2025_03_28 Boom Pricing'!$E$27</f>
        <v>32995.706666666658</v>
      </c>
      <c r="E433" s="115">
        <f t="shared" si="16"/>
        <v>16497.853333333329</v>
      </c>
    </row>
    <row r="434" spans="1:5" x14ac:dyDescent="0.3">
      <c r="B434" s="70" t="s">
        <v>936</v>
      </c>
      <c r="D434" s="42">
        <f>'2025_03_28 Boom Pricing'!$E$9+'2025_03_28 Boom Pricing'!$E$41+'2025_03_28 Boom Pricing'!$E$51+'2025_03_28 Boom Pricing'!$E$27</f>
        <v>32995.706666666658</v>
      </c>
      <c r="E434" s="115">
        <f t="shared" si="16"/>
        <v>16497.853333333329</v>
      </c>
    </row>
    <row r="435" spans="1:5" x14ac:dyDescent="0.3">
      <c r="B435" s="70" t="s">
        <v>938</v>
      </c>
      <c r="D435" s="42">
        <f>'2025_03_28 Boom Pricing'!$E$9+'2025_03_28 Boom Pricing'!$E$42+'2025_03_28 Boom Pricing'!$E$51+'2025_03_28 Boom Pricing'!$E$27</f>
        <v>34587.253333333327</v>
      </c>
      <c r="E435" s="115">
        <f t="shared" si="16"/>
        <v>17293.626666666663</v>
      </c>
    </row>
    <row r="436" spans="1:5" ht="16.2" thickBot="1" x14ac:dyDescent="0.35">
      <c r="A436" s="133"/>
      <c r="B436" s="134" t="s">
        <v>940</v>
      </c>
      <c r="C436" s="133"/>
      <c r="D436" s="135">
        <f>'2025_03_28 Boom Pricing'!$E$9+'2025_03_28 Boom Pricing'!$E$43+'2025_03_28 Boom Pricing'!$E$51+'2025_03_28 Boom Pricing'!$E$27</f>
        <v>36287.679999999993</v>
      </c>
      <c r="E436" s="136">
        <f t="shared" si="16"/>
        <v>18143.839999999997</v>
      </c>
    </row>
    <row r="437" spans="1:5" x14ac:dyDescent="0.3">
      <c r="B437" s="70" t="s">
        <v>942</v>
      </c>
      <c r="D437" s="42">
        <f>'2025_03_28 Boom Pricing'!$E$9+'2025_03_28 Boom Pricing'!$E$38+'2025_03_28 Boom Pricing'!$E$52+'2025_03_28 Boom Pricing'!$E$23</f>
        <v>24967.68</v>
      </c>
      <c r="E437" s="115">
        <f t="shared" si="16"/>
        <v>12483.84</v>
      </c>
    </row>
    <row r="438" spans="1:5" x14ac:dyDescent="0.3">
      <c r="B438" s="70" t="s">
        <v>944</v>
      </c>
      <c r="D438" s="42">
        <f>'2025_03_28 Boom Pricing'!$E$9+'2025_03_28 Boom Pricing'!$E$39+'2025_03_28 Boom Pricing'!$E$52+'2025_03_28 Boom Pricing'!$E$23</f>
        <v>24967.68</v>
      </c>
      <c r="E438" s="115">
        <f t="shared" si="16"/>
        <v>12483.84</v>
      </c>
    </row>
    <row r="439" spans="1:5" x14ac:dyDescent="0.3">
      <c r="B439" s="70" t="s">
        <v>946</v>
      </c>
      <c r="D439" s="42">
        <f>'2025_03_28 Boom Pricing'!$E$9+'2025_03_28 Boom Pricing'!$E$40+'2025_03_28 Boom Pricing'!$E$52+'2025_03_28 Boom Pricing'!$E$23</f>
        <v>24967.68</v>
      </c>
      <c r="E439" s="115">
        <f t="shared" si="16"/>
        <v>12483.84</v>
      </c>
    </row>
    <row r="440" spans="1:5" x14ac:dyDescent="0.3">
      <c r="B440" s="70" t="s">
        <v>948</v>
      </c>
      <c r="D440" s="42">
        <f>'2025_03_28 Boom Pricing'!$E$9+'2025_03_28 Boom Pricing'!$E$41+'2025_03_28 Boom Pricing'!$E$52+'2025_03_28 Boom Pricing'!$E$23</f>
        <v>24967.68</v>
      </c>
      <c r="E440" s="115">
        <f t="shared" si="16"/>
        <v>12483.84</v>
      </c>
    </row>
    <row r="441" spans="1:5" x14ac:dyDescent="0.3">
      <c r="B441" s="70" t="s">
        <v>950</v>
      </c>
      <c r="D441" s="42">
        <f>'2025_03_28 Boom Pricing'!$E$9+'2025_03_28 Boom Pricing'!$E$42+'2025_03_28 Boom Pricing'!$E$52+'2025_03_28 Boom Pricing'!$E$23</f>
        <v>26559.226666666666</v>
      </c>
      <c r="E441" s="115">
        <f t="shared" si="16"/>
        <v>13279.613333333333</v>
      </c>
    </row>
    <row r="442" spans="1:5" x14ac:dyDescent="0.3">
      <c r="A442" s="48"/>
      <c r="B442" s="116" t="s">
        <v>952</v>
      </c>
      <c r="C442" s="48"/>
      <c r="D442" s="119">
        <f>'2025_03_28 Boom Pricing'!$E$9+'2025_03_28 Boom Pricing'!$E$43+'2025_03_28 Boom Pricing'!$E$52+'2025_03_28 Boom Pricing'!$E$23</f>
        <v>28259.653333333332</v>
      </c>
      <c r="E442" s="117">
        <f t="shared" si="16"/>
        <v>14129.826666666666</v>
      </c>
    </row>
    <row r="443" spans="1:5" x14ac:dyDescent="0.3">
      <c r="B443" s="70" t="s">
        <v>954</v>
      </c>
      <c r="D443" s="42">
        <f>'2025_03_28 Boom Pricing'!$E$9+'2025_03_28 Boom Pricing'!$E$38+'2025_03_28 Boom Pricing'!$E$52+'2025_03_28 Boom Pricing'!$E$24</f>
        <v>26942.586666666662</v>
      </c>
      <c r="E443" s="115">
        <f t="shared" si="16"/>
        <v>13471.293333333331</v>
      </c>
    </row>
    <row r="444" spans="1:5" x14ac:dyDescent="0.3">
      <c r="B444" s="70" t="s">
        <v>956</v>
      </c>
      <c r="D444" s="42">
        <f>'2025_03_28 Boom Pricing'!$E$9+'2025_03_28 Boom Pricing'!$E$39+'2025_03_28 Boom Pricing'!$E$52+'2025_03_28 Boom Pricing'!$E$24</f>
        <v>26942.586666666662</v>
      </c>
      <c r="E444" s="115">
        <f t="shared" si="16"/>
        <v>13471.293333333331</v>
      </c>
    </row>
    <row r="445" spans="1:5" x14ac:dyDescent="0.3">
      <c r="B445" s="70" t="s">
        <v>958</v>
      </c>
      <c r="D445" s="42">
        <f>'2025_03_28 Boom Pricing'!$E$9+'2025_03_28 Boom Pricing'!$E$40+'2025_03_28 Boom Pricing'!$E$52+'2025_03_28 Boom Pricing'!$E$24</f>
        <v>26942.586666666662</v>
      </c>
      <c r="E445" s="115">
        <f t="shared" si="16"/>
        <v>13471.293333333331</v>
      </c>
    </row>
    <row r="446" spans="1:5" x14ac:dyDescent="0.3">
      <c r="B446" s="70" t="s">
        <v>960</v>
      </c>
      <c r="D446" s="42">
        <f>'2025_03_28 Boom Pricing'!$E$9+'2025_03_28 Boom Pricing'!$E$41+'2025_03_28 Boom Pricing'!$E$52+'2025_03_28 Boom Pricing'!$E$24</f>
        <v>26942.586666666662</v>
      </c>
      <c r="E446" s="115">
        <f t="shared" si="16"/>
        <v>13471.293333333331</v>
      </c>
    </row>
    <row r="447" spans="1:5" x14ac:dyDescent="0.3">
      <c r="B447" s="70" t="s">
        <v>962</v>
      </c>
      <c r="D447" s="42">
        <f>'2025_03_28 Boom Pricing'!$E$9+'2025_03_28 Boom Pricing'!$E$42+'2025_03_28 Boom Pricing'!$E$52+'2025_03_28 Boom Pricing'!$E$24</f>
        <v>28534.133333333328</v>
      </c>
      <c r="E447" s="115">
        <f t="shared" si="16"/>
        <v>14267.066666666664</v>
      </c>
    </row>
    <row r="448" spans="1:5" x14ac:dyDescent="0.3">
      <c r="A448" s="48"/>
      <c r="B448" s="116" t="s">
        <v>964</v>
      </c>
      <c r="C448" s="48"/>
      <c r="D448" s="119">
        <f>'2025_03_28 Boom Pricing'!$E$9+'2025_03_28 Boom Pricing'!$E$43+'2025_03_28 Boom Pricing'!$E$52+'2025_03_28 Boom Pricing'!$E$24</f>
        <v>30234.559999999994</v>
      </c>
      <c r="E448" s="117">
        <f t="shared" si="16"/>
        <v>15117.279999999997</v>
      </c>
    </row>
    <row r="449" spans="1:5" x14ac:dyDescent="0.3">
      <c r="B449" s="70" t="s">
        <v>966</v>
      </c>
      <c r="D449" s="42">
        <f>'2025_03_28 Boom Pricing'!$E$9+'2025_03_28 Boom Pricing'!$E$38+'2025_03_28 Boom Pricing'!$E$52+'2025_03_28 Boom Pricing'!$E$25</f>
        <v>28922.426666666663</v>
      </c>
      <c r="E449" s="115">
        <f t="shared" si="16"/>
        <v>14461.213333333331</v>
      </c>
    </row>
    <row r="450" spans="1:5" x14ac:dyDescent="0.3">
      <c r="B450" s="70" t="s">
        <v>968</v>
      </c>
      <c r="D450" s="42">
        <f>'2025_03_28 Boom Pricing'!$E$9+'2025_03_28 Boom Pricing'!$E$39+'2025_03_28 Boom Pricing'!$E$52+'2025_03_28 Boom Pricing'!$E$25</f>
        <v>28922.426666666663</v>
      </c>
      <c r="E450" s="115">
        <f t="shared" si="16"/>
        <v>14461.213333333331</v>
      </c>
    </row>
    <row r="451" spans="1:5" x14ac:dyDescent="0.3">
      <c r="B451" s="70" t="s">
        <v>970</v>
      </c>
      <c r="D451" s="42">
        <f>'2025_03_28 Boom Pricing'!$E$9+'2025_03_28 Boom Pricing'!$E$40+'2025_03_28 Boom Pricing'!$E$52+'2025_03_28 Boom Pricing'!$E$25</f>
        <v>28922.426666666663</v>
      </c>
      <c r="E451" s="115">
        <f t="shared" si="16"/>
        <v>14461.213333333331</v>
      </c>
    </row>
    <row r="452" spans="1:5" x14ac:dyDescent="0.3">
      <c r="B452" s="70" t="s">
        <v>972</v>
      </c>
      <c r="D452" s="42">
        <f>'2025_03_28 Boom Pricing'!$E$9+'2025_03_28 Boom Pricing'!$E$41+'2025_03_28 Boom Pricing'!$E$52+'2025_03_28 Boom Pricing'!$E$25</f>
        <v>28922.426666666663</v>
      </c>
      <c r="E452" s="115">
        <f t="shared" si="16"/>
        <v>14461.213333333331</v>
      </c>
    </row>
    <row r="453" spans="1:5" x14ac:dyDescent="0.3">
      <c r="B453" s="70" t="s">
        <v>974</v>
      </c>
      <c r="D453" s="42">
        <f>'2025_03_28 Boom Pricing'!$E$9+'2025_03_28 Boom Pricing'!$E$42+'2025_03_28 Boom Pricing'!$E$52+'2025_03_28 Boom Pricing'!$E$25</f>
        <v>30513.973333333328</v>
      </c>
      <c r="E453" s="115">
        <f t="shared" si="16"/>
        <v>15256.986666666664</v>
      </c>
    </row>
    <row r="454" spans="1:5" x14ac:dyDescent="0.3">
      <c r="A454" s="48"/>
      <c r="B454" s="116" t="s">
        <v>976</v>
      </c>
      <c r="C454" s="48"/>
      <c r="D454" s="119">
        <f>'2025_03_28 Boom Pricing'!$E$9+'2025_03_28 Boom Pricing'!$E$43+'2025_03_28 Boom Pricing'!$E$52+'2025_03_28 Boom Pricing'!$E$25</f>
        <v>32214.399999999994</v>
      </c>
      <c r="E454" s="117">
        <f t="shared" si="16"/>
        <v>16107.199999999997</v>
      </c>
    </row>
    <row r="455" spans="1:5" x14ac:dyDescent="0.3">
      <c r="B455" s="70" t="s">
        <v>978</v>
      </c>
      <c r="D455" s="42">
        <f>'2025_03_28 Boom Pricing'!$E$9+'2025_03_28 Boom Pricing'!$E$38+'2025_03_28 Boom Pricing'!$E$52+'2025_03_28 Boom Pricing'!$E$26</f>
        <v>30961.546666666662</v>
      </c>
      <c r="E455" s="115">
        <f t="shared" si="16"/>
        <v>15480.773333333331</v>
      </c>
    </row>
    <row r="456" spans="1:5" x14ac:dyDescent="0.3">
      <c r="B456" s="70" t="s">
        <v>980</v>
      </c>
      <c r="D456" s="42">
        <f>'2025_03_28 Boom Pricing'!$E$9+'2025_03_28 Boom Pricing'!$E$39+'2025_03_28 Boom Pricing'!$E$52+'2025_03_28 Boom Pricing'!$E$26</f>
        <v>30961.546666666662</v>
      </c>
      <c r="E456" s="115">
        <f t="shared" si="16"/>
        <v>15480.773333333331</v>
      </c>
    </row>
    <row r="457" spans="1:5" x14ac:dyDescent="0.3">
      <c r="B457" s="70" t="s">
        <v>982</v>
      </c>
      <c r="D457" s="42">
        <f>'2025_03_28 Boom Pricing'!$E$9+'2025_03_28 Boom Pricing'!$E$40+'2025_03_28 Boom Pricing'!$E$52+'2025_03_28 Boom Pricing'!$E$26</f>
        <v>30961.546666666662</v>
      </c>
      <c r="E457" s="115">
        <f t="shared" si="16"/>
        <v>15480.773333333331</v>
      </c>
    </row>
    <row r="458" spans="1:5" x14ac:dyDescent="0.3">
      <c r="B458" s="70" t="s">
        <v>984</v>
      </c>
      <c r="D458" s="42">
        <f>'2025_03_28 Boom Pricing'!$E$9+'2025_03_28 Boom Pricing'!$E$41+'2025_03_28 Boom Pricing'!$E$52+'2025_03_28 Boom Pricing'!$E$26</f>
        <v>30961.546666666662</v>
      </c>
      <c r="E458" s="115">
        <f t="shared" si="16"/>
        <v>15480.773333333331</v>
      </c>
    </row>
    <row r="459" spans="1:5" x14ac:dyDescent="0.3">
      <c r="B459" s="70" t="s">
        <v>986</v>
      </c>
      <c r="D459" s="42">
        <f>'2025_03_28 Boom Pricing'!$E$9+'2025_03_28 Boom Pricing'!$E$42+'2025_03_28 Boom Pricing'!$E$52+'2025_03_28 Boom Pricing'!$E$26</f>
        <v>32553.093333333323</v>
      </c>
      <c r="E459" s="115">
        <f t="shared" si="16"/>
        <v>16276.546666666662</v>
      </c>
    </row>
    <row r="460" spans="1:5" x14ac:dyDescent="0.3">
      <c r="A460" s="48"/>
      <c r="B460" s="116" t="s">
        <v>988</v>
      </c>
      <c r="C460" s="48"/>
      <c r="D460" s="119">
        <f>'2025_03_28 Boom Pricing'!$E$9+'2025_03_28 Boom Pricing'!$E$43+'2025_03_28 Boom Pricing'!$E$52+'2025_03_28 Boom Pricing'!$E$26</f>
        <v>34253.51999999999</v>
      </c>
      <c r="E460" s="117">
        <f t="shared" si="16"/>
        <v>17126.759999999995</v>
      </c>
    </row>
    <row r="461" spans="1:5" x14ac:dyDescent="0.3">
      <c r="B461" s="70" t="s">
        <v>990</v>
      </c>
      <c r="D461" s="42">
        <f>'2025_03_28 Boom Pricing'!$E$9+'2025_03_28 Boom Pricing'!$E$38+'2025_03_28 Boom Pricing'!$E$52+'2025_03_28 Boom Pricing'!$E$27</f>
        <v>32995.706666666658</v>
      </c>
      <c r="E461" s="115">
        <f t="shared" si="16"/>
        <v>16497.853333333329</v>
      </c>
    </row>
    <row r="462" spans="1:5" x14ac:dyDescent="0.3">
      <c r="B462" s="70" t="s">
        <v>992</v>
      </c>
      <c r="D462" s="42">
        <f>'2025_03_28 Boom Pricing'!$E$9+'2025_03_28 Boom Pricing'!$E$39+'2025_03_28 Boom Pricing'!$E$52+'2025_03_28 Boom Pricing'!$E$27</f>
        <v>32995.706666666658</v>
      </c>
      <c r="E462" s="115">
        <f t="shared" si="16"/>
        <v>16497.853333333329</v>
      </c>
    </row>
    <row r="463" spans="1:5" x14ac:dyDescent="0.3">
      <c r="B463" s="70" t="s">
        <v>994</v>
      </c>
      <c r="D463" s="42">
        <f>'2025_03_28 Boom Pricing'!$E$9+'2025_03_28 Boom Pricing'!$E$40+'2025_03_28 Boom Pricing'!$E$52+'2025_03_28 Boom Pricing'!$E$27</f>
        <v>32995.706666666658</v>
      </c>
      <c r="E463" s="115">
        <f t="shared" si="16"/>
        <v>16497.853333333329</v>
      </c>
    </row>
    <row r="464" spans="1:5" x14ac:dyDescent="0.3">
      <c r="B464" s="70" t="s">
        <v>996</v>
      </c>
      <c r="D464" s="42">
        <f>'2025_03_28 Boom Pricing'!$E$9+'2025_03_28 Boom Pricing'!$E$41+'2025_03_28 Boom Pricing'!$E$52+'2025_03_28 Boom Pricing'!$E$27</f>
        <v>32995.706666666658</v>
      </c>
      <c r="E464" s="115">
        <f t="shared" si="16"/>
        <v>16497.853333333329</v>
      </c>
    </row>
    <row r="465" spans="1:5" x14ac:dyDescent="0.3">
      <c r="B465" s="70" t="s">
        <v>998</v>
      </c>
      <c r="D465" s="42">
        <f>'2025_03_28 Boom Pricing'!$E$9+'2025_03_28 Boom Pricing'!$E$42+'2025_03_28 Boom Pricing'!$E$52+'2025_03_28 Boom Pricing'!$E$27</f>
        <v>34587.253333333327</v>
      </c>
      <c r="E465" s="115">
        <f t="shared" si="16"/>
        <v>17293.626666666663</v>
      </c>
    </row>
    <row r="466" spans="1:5" x14ac:dyDescent="0.3">
      <c r="B466" s="70" t="s">
        <v>1000</v>
      </c>
      <c r="D466" s="42">
        <f>'2025_03_28 Boom Pricing'!$E$9+'2025_03_28 Boom Pricing'!$E$43+'2025_03_28 Boom Pricing'!$E$52+'2025_03_28 Boom Pricing'!$E$27</f>
        <v>36287.679999999993</v>
      </c>
      <c r="E466" s="115">
        <f t="shared" si="16"/>
        <v>18143.839999999997</v>
      </c>
    </row>
    <row r="467" spans="1:5" x14ac:dyDescent="0.3">
      <c r="A467" s="65"/>
      <c r="B467" s="65"/>
      <c r="C467" s="65"/>
      <c r="D467" s="81"/>
      <c r="E467" s="65"/>
    </row>
    <row r="468" spans="1:5" x14ac:dyDescent="0.3">
      <c r="A468" t="s">
        <v>283</v>
      </c>
      <c r="B468" s="70" t="s">
        <v>1002</v>
      </c>
      <c r="D468" s="42">
        <f>'2025_03_28 Boom Pricing'!$E$10+'2025_03_28 Boom Pricing'!$E$38+'2025_03_28 Boom Pricing'!$E$47+'2025_03_28 Boom Pricing'!$E$23</f>
        <v>28635.573333333341</v>
      </c>
      <c r="E468" s="58">
        <f t="shared" ref="E468:E531" si="17">D468*(1-0.5)</f>
        <v>14317.78666666667</v>
      </c>
    </row>
    <row r="469" spans="1:5" x14ac:dyDescent="0.3">
      <c r="B469" s="70" t="s">
        <v>1004</v>
      </c>
      <c r="D469" s="42">
        <f>'2025_03_28 Boom Pricing'!$E$10+'2025_03_28 Boom Pricing'!$E$39+'2025_03_28 Boom Pricing'!$E$47+'2025_03_28 Boom Pricing'!$E$23</f>
        <v>28635.573333333341</v>
      </c>
      <c r="E469" s="58">
        <f t="shared" si="17"/>
        <v>14317.78666666667</v>
      </c>
    </row>
    <row r="470" spans="1:5" x14ac:dyDescent="0.3">
      <c r="B470" s="70" t="s">
        <v>1006</v>
      </c>
      <c r="D470" s="42">
        <f>'2025_03_28 Boom Pricing'!$E$10+'2025_03_28 Boom Pricing'!$E$40+'2025_03_28 Boom Pricing'!$E$47+'2025_03_28 Boom Pricing'!$E$23</f>
        <v>28635.573333333341</v>
      </c>
      <c r="E470" s="58">
        <f t="shared" si="17"/>
        <v>14317.78666666667</v>
      </c>
    </row>
    <row r="471" spans="1:5" x14ac:dyDescent="0.3">
      <c r="B471" s="70" t="s">
        <v>1008</v>
      </c>
      <c r="D471" s="42">
        <f>'2025_03_28 Boom Pricing'!$E$10+'2025_03_28 Boom Pricing'!$E$41+'2025_03_28 Boom Pricing'!$E$47+'2025_03_28 Boom Pricing'!$E$23</f>
        <v>28635.573333333341</v>
      </c>
      <c r="E471" s="58">
        <f t="shared" si="17"/>
        <v>14317.78666666667</v>
      </c>
    </row>
    <row r="472" spans="1:5" x14ac:dyDescent="0.3">
      <c r="B472" s="70" t="s">
        <v>1010</v>
      </c>
      <c r="D472" s="42">
        <f>'2025_03_28 Boom Pricing'!$E$10+'2025_03_28 Boom Pricing'!$E$42+'2025_03_28 Boom Pricing'!$E$47+'2025_03_28 Boom Pricing'!$E$23</f>
        <v>30227.120000000006</v>
      </c>
      <c r="E472" s="58">
        <f t="shared" si="17"/>
        <v>15113.560000000003</v>
      </c>
    </row>
    <row r="473" spans="1:5" x14ac:dyDescent="0.3">
      <c r="A473" s="48"/>
      <c r="B473" s="116" t="s">
        <v>1012</v>
      </c>
      <c r="C473" s="48"/>
      <c r="D473" s="119">
        <f>'2025_03_28 Boom Pricing'!$E$10+'2025_03_28 Boom Pricing'!$E$43+'2025_03_28 Boom Pricing'!$E$47+'2025_03_28 Boom Pricing'!$E$23</f>
        <v>31927.546666666673</v>
      </c>
      <c r="E473" s="117">
        <f t="shared" si="17"/>
        <v>15963.773333333336</v>
      </c>
    </row>
    <row r="474" spans="1:5" x14ac:dyDescent="0.3">
      <c r="B474" s="70" t="s">
        <v>1014</v>
      </c>
      <c r="D474" s="42">
        <f>'2025_03_28 Boom Pricing'!$E$10+'2025_03_28 Boom Pricing'!$E$38+'2025_03_28 Boom Pricing'!$E$47+'2025_03_28 Boom Pricing'!$E$24</f>
        <v>30610.480000000003</v>
      </c>
      <c r="E474" s="58">
        <f t="shared" si="17"/>
        <v>15305.240000000002</v>
      </c>
    </row>
    <row r="475" spans="1:5" x14ac:dyDescent="0.3">
      <c r="B475" s="70" t="s">
        <v>1016</v>
      </c>
      <c r="D475" s="42">
        <f>'2025_03_28 Boom Pricing'!$E$10+'2025_03_28 Boom Pricing'!$E$39+'2025_03_28 Boom Pricing'!$E$47+'2025_03_28 Boom Pricing'!$E$24</f>
        <v>30610.480000000003</v>
      </c>
      <c r="E475" s="58">
        <f t="shared" si="17"/>
        <v>15305.240000000002</v>
      </c>
    </row>
    <row r="476" spans="1:5" x14ac:dyDescent="0.3">
      <c r="B476" s="70" t="s">
        <v>1018</v>
      </c>
      <c r="D476" s="42">
        <f>'2025_03_28 Boom Pricing'!$E$10+'2025_03_28 Boom Pricing'!$E$40+'2025_03_28 Boom Pricing'!$E$47+'2025_03_28 Boom Pricing'!$E$24</f>
        <v>30610.480000000003</v>
      </c>
      <c r="E476" s="58">
        <f t="shared" si="17"/>
        <v>15305.240000000002</v>
      </c>
    </row>
    <row r="477" spans="1:5" x14ac:dyDescent="0.3">
      <c r="B477" s="70" t="s">
        <v>1020</v>
      </c>
      <c r="D477" s="42">
        <f>'2025_03_28 Boom Pricing'!$E$10+'2025_03_28 Boom Pricing'!$E$41+'2025_03_28 Boom Pricing'!$E$47+'2025_03_28 Boom Pricing'!$E$24</f>
        <v>30610.480000000003</v>
      </c>
      <c r="E477" s="58">
        <f t="shared" si="17"/>
        <v>15305.240000000002</v>
      </c>
    </row>
    <row r="478" spans="1:5" x14ac:dyDescent="0.3">
      <c r="B478" s="70" t="s">
        <v>1022</v>
      </c>
      <c r="D478" s="42">
        <f>'2025_03_28 Boom Pricing'!$E$10+'2025_03_28 Boom Pricing'!$E$42+'2025_03_28 Boom Pricing'!$E$47+'2025_03_28 Boom Pricing'!$E$24</f>
        <v>32202.026666666668</v>
      </c>
      <c r="E478" s="115">
        <f t="shared" si="17"/>
        <v>16101.013333333334</v>
      </c>
    </row>
    <row r="479" spans="1:5" x14ac:dyDescent="0.3">
      <c r="A479" s="48"/>
      <c r="B479" s="116" t="s">
        <v>1024</v>
      </c>
      <c r="C479" s="48"/>
      <c r="D479" s="119">
        <f>'2025_03_28 Boom Pricing'!$E$10+'2025_03_28 Boom Pricing'!$E$43+'2025_03_28 Boom Pricing'!$E$47+'2025_03_28 Boom Pricing'!$E$24</f>
        <v>33902.453333333338</v>
      </c>
      <c r="E479" s="117">
        <f t="shared" si="17"/>
        <v>16951.226666666669</v>
      </c>
    </row>
    <row r="480" spans="1:5" x14ac:dyDescent="0.3">
      <c r="B480" s="70" t="s">
        <v>1026</v>
      </c>
      <c r="D480" s="42">
        <f>'2025_03_28 Boom Pricing'!$E$10+'2025_03_28 Boom Pricing'!$E$38+'2025_03_28 Boom Pricing'!$E$47+'2025_03_28 Boom Pricing'!$E$25</f>
        <v>32590.320000000003</v>
      </c>
      <c r="E480" s="115">
        <f t="shared" si="17"/>
        <v>16295.160000000002</v>
      </c>
    </row>
    <row r="481" spans="1:11" x14ac:dyDescent="0.3">
      <c r="B481" s="70" t="s">
        <v>1028</v>
      </c>
      <c r="D481" s="42">
        <f>'2025_03_28 Boom Pricing'!$E$10+'2025_03_28 Boom Pricing'!$E$39+'2025_03_28 Boom Pricing'!$E$47+'2025_03_28 Boom Pricing'!$E$25</f>
        <v>32590.320000000003</v>
      </c>
      <c r="E481" s="115">
        <f t="shared" si="17"/>
        <v>16295.160000000002</v>
      </c>
    </row>
    <row r="482" spans="1:11" x14ac:dyDescent="0.3">
      <c r="B482" s="70" t="s">
        <v>1030</v>
      </c>
      <c r="D482" s="42">
        <f>'2025_03_28 Boom Pricing'!$E$10+'2025_03_28 Boom Pricing'!$E$40+'2025_03_28 Boom Pricing'!$E$47+'2025_03_28 Boom Pricing'!$E$25</f>
        <v>32590.320000000003</v>
      </c>
      <c r="E482" s="115">
        <f t="shared" si="17"/>
        <v>16295.160000000002</v>
      </c>
    </row>
    <row r="483" spans="1:11" x14ac:dyDescent="0.3">
      <c r="B483" s="70" t="s">
        <v>1032</v>
      </c>
      <c r="D483" s="42">
        <f>'2025_03_28 Boom Pricing'!$E$10+'2025_03_28 Boom Pricing'!$E$41+'2025_03_28 Boom Pricing'!$E$47+'2025_03_28 Boom Pricing'!$E$25</f>
        <v>32590.320000000003</v>
      </c>
      <c r="E483" s="115">
        <f t="shared" si="17"/>
        <v>16295.160000000002</v>
      </c>
    </row>
    <row r="484" spans="1:11" x14ac:dyDescent="0.3">
      <c r="B484" s="70" t="s">
        <v>1034</v>
      </c>
      <c r="D484" s="42">
        <f>'2025_03_28 Boom Pricing'!$E$10+'2025_03_28 Boom Pricing'!$E$42+'2025_03_28 Boom Pricing'!$E$47+'2025_03_28 Boom Pricing'!$E$25</f>
        <v>34181.866666666669</v>
      </c>
      <c r="E484" s="115">
        <f t="shared" si="17"/>
        <v>17090.933333333334</v>
      </c>
    </row>
    <row r="485" spans="1:11" x14ac:dyDescent="0.3">
      <c r="A485" s="48"/>
      <c r="B485" s="116" t="s">
        <v>1034</v>
      </c>
      <c r="C485" s="48"/>
      <c r="D485" s="119">
        <f>'2025_03_28 Boom Pricing'!$E$10+'2025_03_28 Boom Pricing'!$E$43+'2025_03_28 Boom Pricing'!$E$47+'2025_03_28 Boom Pricing'!$E$25</f>
        <v>35882.293333333335</v>
      </c>
      <c r="E485" s="117">
        <f t="shared" si="17"/>
        <v>17941.146666666667</v>
      </c>
    </row>
    <row r="486" spans="1:11" x14ac:dyDescent="0.3">
      <c r="B486" s="70" t="s">
        <v>1037</v>
      </c>
      <c r="D486" s="42">
        <f>'2025_03_28 Boom Pricing'!$E$10+'2025_03_28 Boom Pricing'!$E$38+'2025_03_28 Boom Pricing'!$E$47+'2025_03_28 Boom Pricing'!$E$26</f>
        <v>34629.440000000002</v>
      </c>
      <c r="E486" s="115">
        <f t="shared" si="17"/>
        <v>17314.72</v>
      </c>
    </row>
    <row r="487" spans="1:11" x14ac:dyDescent="0.3">
      <c r="B487" s="70" t="s">
        <v>1039</v>
      </c>
      <c r="D487" s="42">
        <f>'2025_03_28 Boom Pricing'!$E$10+'2025_03_28 Boom Pricing'!$E$39+'2025_03_28 Boom Pricing'!$E$47+'2025_03_28 Boom Pricing'!$E$26</f>
        <v>34629.440000000002</v>
      </c>
      <c r="E487" s="115">
        <f t="shared" si="17"/>
        <v>17314.72</v>
      </c>
    </row>
    <row r="488" spans="1:11" x14ac:dyDescent="0.3">
      <c r="B488" s="70" t="s">
        <v>1041</v>
      </c>
      <c r="D488" s="42">
        <f>'2025_03_28 Boom Pricing'!$E$10+'2025_03_28 Boom Pricing'!$E$40+'2025_03_28 Boom Pricing'!$E$47+'2025_03_28 Boom Pricing'!$E$26</f>
        <v>34629.440000000002</v>
      </c>
      <c r="E488" s="115">
        <f t="shared" si="17"/>
        <v>17314.72</v>
      </c>
    </row>
    <row r="489" spans="1:11" x14ac:dyDescent="0.3">
      <c r="B489" s="70" t="s">
        <v>1043</v>
      </c>
      <c r="D489" s="42">
        <f>'2025_03_28 Boom Pricing'!$E$10+'2025_03_28 Boom Pricing'!$E$41+'2025_03_28 Boom Pricing'!$E$47+'2025_03_28 Boom Pricing'!$E$26</f>
        <v>34629.440000000002</v>
      </c>
      <c r="E489" s="115">
        <f t="shared" si="17"/>
        <v>17314.72</v>
      </c>
    </row>
    <row r="490" spans="1:11" x14ac:dyDescent="0.3">
      <c r="B490" s="70" t="s">
        <v>1045</v>
      </c>
      <c r="D490" s="42">
        <f>'2025_03_28 Boom Pricing'!$E$10+'2025_03_28 Boom Pricing'!$E$42+'2025_03_28 Boom Pricing'!$E$47+'2025_03_28 Boom Pricing'!$E$26</f>
        <v>36220.986666666664</v>
      </c>
      <c r="E490" s="115">
        <f t="shared" si="17"/>
        <v>18110.493333333332</v>
      </c>
    </row>
    <row r="491" spans="1:11" x14ac:dyDescent="0.3">
      <c r="A491" s="48"/>
      <c r="B491" s="116" t="s">
        <v>1047</v>
      </c>
      <c r="C491" s="48"/>
      <c r="D491" s="119">
        <f>'2025_03_28 Boom Pricing'!$E$10+'2025_03_28 Boom Pricing'!$E$43+'2025_03_28 Boom Pricing'!$E$47+'2025_03_28 Boom Pricing'!$E$26</f>
        <v>37921.41333333333</v>
      </c>
      <c r="E491" s="117">
        <f t="shared" si="17"/>
        <v>18960.706666666665</v>
      </c>
    </row>
    <row r="492" spans="1:11" x14ac:dyDescent="0.3">
      <c r="B492" s="70" t="s">
        <v>1049</v>
      </c>
      <c r="D492" s="42">
        <f>'2025_03_28 Boom Pricing'!$E$10+'2025_03_28 Boom Pricing'!$E$38+'2025_03_28 Boom Pricing'!$E$47+'2025_03_28 Boom Pricing'!$E$27</f>
        <v>36663.599999999999</v>
      </c>
      <c r="E492" s="115">
        <f t="shared" si="17"/>
        <v>18331.8</v>
      </c>
    </row>
    <row r="493" spans="1:11" x14ac:dyDescent="0.3">
      <c r="B493" s="70" t="s">
        <v>1051</v>
      </c>
      <c r="D493" s="42">
        <f>'2025_03_28 Boom Pricing'!$E$10+'2025_03_28 Boom Pricing'!$E$39+'2025_03_28 Boom Pricing'!$E$47+'2025_03_28 Boom Pricing'!$E$27</f>
        <v>36663.599999999999</v>
      </c>
      <c r="E493" s="115">
        <f t="shared" si="17"/>
        <v>18331.8</v>
      </c>
      <c r="J493" s="42"/>
      <c r="K493" s="58"/>
    </row>
    <row r="494" spans="1:11" x14ac:dyDescent="0.3">
      <c r="B494" s="70" t="s">
        <v>1053</v>
      </c>
      <c r="D494" s="42">
        <f>'2025_03_28 Boom Pricing'!$E$10+'2025_03_28 Boom Pricing'!$E$40+'2025_03_28 Boom Pricing'!$E$47+'2025_03_28 Boom Pricing'!$E$27</f>
        <v>36663.599999999999</v>
      </c>
      <c r="E494" s="115">
        <f t="shared" si="17"/>
        <v>18331.8</v>
      </c>
      <c r="J494" s="42"/>
      <c r="K494" s="58">
        <f>J494*(1-0.5)</f>
        <v>0</v>
      </c>
    </row>
    <row r="495" spans="1:11" x14ac:dyDescent="0.3">
      <c r="B495" s="70" t="s">
        <v>1055</v>
      </c>
      <c r="D495" s="42">
        <f>'2025_03_28 Boom Pricing'!$E$10+'2025_03_28 Boom Pricing'!$E$41+'2025_03_28 Boom Pricing'!$E$47+'2025_03_28 Boom Pricing'!$E$27</f>
        <v>36663.599999999999</v>
      </c>
      <c r="E495" s="115">
        <f t="shared" si="17"/>
        <v>18331.8</v>
      </c>
      <c r="H495" s="70"/>
      <c r="J495" s="42"/>
      <c r="K495" s="58">
        <f>J495*(1-0.5)</f>
        <v>0</v>
      </c>
    </row>
    <row r="496" spans="1:11" x14ac:dyDescent="0.3">
      <c r="B496" s="70" t="s">
        <v>1057</v>
      </c>
      <c r="D496" s="42">
        <f>'2025_03_28 Boom Pricing'!$E$10+'2025_03_28 Boom Pricing'!$E$42+'2025_03_28 Boom Pricing'!$E$47+'2025_03_28 Boom Pricing'!$E$27</f>
        <v>38255.146666666667</v>
      </c>
      <c r="E496" s="115">
        <f t="shared" si="17"/>
        <v>19127.573333333334</v>
      </c>
      <c r="J496" s="42"/>
      <c r="K496" s="58">
        <f>J496*(1-0.5)</f>
        <v>0</v>
      </c>
    </row>
    <row r="497" spans="1:11" ht="16.2" thickBot="1" x14ac:dyDescent="0.35">
      <c r="A497" s="133"/>
      <c r="B497" s="134" t="s">
        <v>1059</v>
      </c>
      <c r="C497" s="133"/>
      <c r="D497" s="135">
        <f>'2025_03_28 Boom Pricing'!$E$10+'2025_03_28 Boom Pricing'!$E$43+'2025_03_28 Boom Pricing'!$E$47+'2025_03_28 Boom Pricing'!$E$27</f>
        <v>39955.573333333334</v>
      </c>
      <c r="E497" s="136">
        <f t="shared" si="17"/>
        <v>19977.786666666667</v>
      </c>
      <c r="J497" s="42"/>
      <c r="K497" s="58">
        <f>J497*(1-0.5)</f>
        <v>0</v>
      </c>
    </row>
    <row r="498" spans="1:11" x14ac:dyDescent="0.3">
      <c r="B498" s="70" t="s">
        <v>1061</v>
      </c>
      <c r="D498" s="42">
        <f>'2025_03_28 Boom Pricing'!$E$10+'2025_03_28 Boom Pricing'!$E$38+'2025_03_28 Boom Pricing'!$E$48+'2025_03_28 Boom Pricing'!$E$23</f>
        <v>28632.906666666673</v>
      </c>
      <c r="E498" s="115">
        <f t="shared" si="17"/>
        <v>14316.453333333337</v>
      </c>
      <c r="J498" s="42"/>
      <c r="K498" s="58">
        <f>J498*(1-0.5)</f>
        <v>0</v>
      </c>
    </row>
    <row r="499" spans="1:11" x14ac:dyDescent="0.3">
      <c r="B499" s="70" t="s">
        <v>1063</v>
      </c>
      <c r="D499" s="42">
        <f>'2025_03_28 Boom Pricing'!$E$10+'2025_03_28 Boom Pricing'!$E$39+'2025_03_28 Boom Pricing'!$E$48+'2025_03_28 Boom Pricing'!$E$23</f>
        <v>28632.906666666673</v>
      </c>
      <c r="E499" s="115">
        <f t="shared" si="17"/>
        <v>14316.453333333337</v>
      </c>
      <c r="J499" s="42"/>
      <c r="K499" s="65"/>
    </row>
    <row r="500" spans="1:11" x14ac:dyDescent="0.3">
      <c r="B500" s="70" t="s">
        <v>1065</v>
      </c>
      <c r="D500" s="42">
        <f>'2025_03_28 Boom Pricing'!$E$10+'2025_03_28 Boom Pricing'!$E$40+'2025_03_28 Boom Pricing'!$E$48+'2025_03_28 Boom Pricing'!$E$23</f>
        <v>28632.906666666673</v>
      </c>
      <c r="E500" s="115">
        <f t="shared" si="17"/>
        <v>14316.453333333337</v>
      </c>
      <c r="H500" s="70"/>
      <c r="J500" s="42"/>
      <c r="K500" s="58">
        <f t="shared" ref="K500:K512" si="18">J500*(1-0.5)</f>
        <v>0</v>
      </c>
    </row>
    <row r="501" spans="1:11" x14ac:dyDescent="0.3">
      <c r="B501" s="70" t="s">
        <v>1067</v>
      </c>
      <c r="D501" s="42">
        <f>'2025_03_28 Boom Pricing'!$E$10+'2025_03_28 Boom Pricing'!$E$41+'2025_03_28 Boom Pricing'!$E$48+'2025_03_28 Boom Pricing'!$E$23</f>
        <v>28632.906666666673</v>
      </c>
      <c r="E501" s="115">
        <f t="shared" si="17"/>
        <v>14316.453333333337</v>
      </c>
      <c r="H501" s="70"/>
      <c r="J501" s="42"/>
      <c r="K501" s="58">
        <f t="shared" si="18"/>
        <v>0</v>
      </c>
    </row>
    <row r="502" spans="1:11" x14ac:dyDescent="0.3">
      <c r="B502" s="70" t="s">
        <v>1069</v>
      </c>
      <c r="D502" s="42">
        <f>'2025_03_28 Boom Pricing'!$E$10+'2025_03_28 Boom Pricing'!$E$42+'2025_03_28 Boom Pricing'!$E$48+'2025_03_28 Boom Pricing'!$E$23</f>
        <v>30224.453333333338</v>
      </c>
      <c r="E502" s="115">
        <f t="shared" si="17"/>
        <v>15112.226666666669</v>
      </c>
      <c r="H502" s="70"/>
      <c r="J502" s="42"/>
      <c r="K502" s="58">
        <f t="shared" si="18"/>
        <v>0</v>
      </c>
    </row>
    <row r="503" spans="1:11" x14ac:dyDescent="0.3">
      <c r="A503" s="48"/>
      <c r="B503" s="116" t="s">
        <v>1071</v>
      </c>
      <c r="C503" s="48"/>
      <c r="D503" s="119">
        <f>'2025_03_28 Boom Pricing'!$E$10+'2025_03_28 Boom Pricing'!$E$43+'2025_03_28 Boom Pricing'!$E$48+'2025_03_28 Boom Pricing'!$E$23</f>
        <v>31924.880000000005</v>
      </c>
      <c r="E503" s="117">
        <f t="shared" si="17"/>
        <v>15962.440000000002</v>
      </c>
      <c r="H503" s="70"/>
      <c r="J503" s="42"/>
      <c r="K503" s="58">
        <f t="shared" si="18"/>
        <v>0</v>
      </c>
    </row>
    <row r="504" spans="1:11" x14ac:dyDescent="0.3">
      <c r="B504" s="70" t="s">
        <v>1073</v>
      </c>
      <c r="D504" s="42">
        <f>'2025_03_28 Boom Pricing'!$E$10+'2025_03_28 Boom Pricing'!$E$38+'2025_03_28 Boom Pricing'!$E$48+'2025_03_28 Boom Pricing'!$E$24</f>
        <v>30607.813333333335</v>
      </c>
      <c r="E504" s="115">
        <f t="shared" si="17"/>
        <v>15303.906666666668</v>
      </c>
      <c r="H504" s="70"/>
      <c r="J504" s="42"/>
      <c r="K504" s="58">
        <f t="shared" si="18"/>
        <v>0</v>
      </c>
    </row>
    <row r="505" spans="1:11" x14ac:dyDescent="0.3">
      <c r="B505" s="70" t="s">
        <v>1075</v>
      </c>
      <c r="D505" s="42">
        <f>'2025_03_28 Boom Pricing'!$E$10+'2025_03_28 Boom Pricing'!$E$39+'2025_03_28 Boom Pricing'!$E$48+'2025_03_28 Boom Pricing'!$E$24</f>
        <v>30607.813333333335</v>
      </c>
      <c r="E505" s="115">
        <f t="shared" si="17"/>
        <v>15303.906666666668</v>
      </c>
      <c r="H505" s="70"/>
      <c r="J505" s="42"/>
      <c r="K505" s="58">
        <f t="shared" si="18"/>
        <v>0</v>
      </c>
    </row>
    <row r="506" spans="1:11" x14ac:dyDescent="0.3">
      <c r="B506" s="70" t="s">
        <v>1077</v>
      </c>
      <c r="D506" s="42">
        <f>'2025_03_28 Boom Pricing'!$E$10+'2025_03_28 Boom Pricing'!$E$40+'2025_03_28 Boom Pricing'!$E$48+'2025_03_28 Boom Pricing'!$E$24</f>
        <v>30607.813333333335</v>
      </c>
      <c r="E506" s="115">
        <f t="shared" si="17"/>
        <v>15303.906666666668</v>
      </c>
      <c r="H506" s="70"/>
      <c r="J506" s="42"/>
      <c r="K506" s="58">
        <f t="shared" si="18"/>
        <v>0</v>
      </c>
    </row>
    <row r="507" spans="1:11" x14ac:dyDescent="0.3">
      <c r="B507" s="70" t="s">
        <v>1079</v>
      </c>
      <c r="D507" s="42">
        <f>'2025_03_28 Boom Pricing'!$E$10+'2025_03_28 Boom Pricing'!$E$41+'2025_03_28 Boom Pricing'!$E$48+'2025_03_28 Boom Pricing'!$E$24</f>
        <v>30607.813333333335</v>
      </c>
      <c r="E507" s="115">
        <f t="shared" si="17"/>
        <v>15303.906666666668</v>
      </c>
      <c r="H507" s="70"/>
      <c r="J507" s="42"/>
      <c r="K507" s="58">
        <f t="shared" si="18"/>
        <v>0</v>
      </c>
    </row>
    <row r="508" spans="1:11" x14ac:dyDescent="0.3">
      <c r="B508" s="70" t="s">
        <v>1081</v>
      </c>
      <c r="D508" s="42">
        <f>'2025_03_28 Boom Pricing'!$E$10+'2025_03_28 Boom Pricing'!$E$42+'2025_03_28 Boom Pricing'!$E$48+'2025_03_28 Boom Pricing'!$E$24</f>
        <v>32199.360000000001</v>
      </c>
      <c r="E508" s="115">
        <f t="shared" si="17"/>
        <v>16099.68</v>
      </c>
      <c r="H508" s="70"/>
      <c r="J508" s="42"/>
      <c r="K508" s="58">
        <f t="shared" si="18"/>
        <v>0</v>
      </c>
    </row>
    <row r="509" spans="1:11" x14ac:dyDescent="0.3">
      <c r="A509" s="48"/>
      <c r="B509" s="116" t="s">
        <v>1083</v>
      </c>
      <c r="C509" s="48"/>
      <c r="D509" s="119">
        <f>'2025_03_28 Boom Pricing'!$E$10+'2025_03_28 Boom Pricing'!$E$43+'2025_03_28 Boom Pricing'!$E$48+'2025_03_28 Boom Pricing'!$E$24</f>
        <v>33899.786666666667</v>
      </c>
      <c r="E509" s="117">
        <f t="shared" si="17"/>
        <v>16949.893333333333</v>
      </c>
      <c r="H509" s="70"/>
      <c r="J509" s="42"/>
      <c r="K509" s="58">
        <f t="shared" si="18"/>
        <v>0</v>
      </c>
    </row>
    <row r="510" spans="1:11" x14ac:dyDescent="0.3">
      <c r="B510" s="70" t="s">
        <v>1085</v>
      </c>
      <c r="D510" s="42">
        <f>'2025_03_28 Boom Pricing'!$E$10+'2025_03_28 Boom Pricing'!$E$38+'2025_03_28 Boom Pricing'!$E$48+'2025_03_28 Boom Pricing'!$E$25</f>
        <v>32587.653333333335</v>
      </c>
      <c r="E510" s="115">
        <f t="shared" si="17"/>
        <v>16293.826666666668</v>
      </c>
      <c r="H510" s="70"/>
      <c r="J510" s="42"/>
      <c r="K510" s="58">
        <f t="shared" si="18"/>
        <v>0</v>
      </c>
    </row>
    <row r="511" spans="1:11" x14ac:dyDescent="0.3">
      <c r="B511" s="70" t="s">
        <v>1087</v>
      </c>
      <c r="D511" s="42">
        <f>'2025_03_28 Boom Pricing'!$E$10+'2025_03_28 Boom Pricing'!$E$39+'2025_03_28 Boom Pricing'!$E$48+'2025_03_28 Boom Pricing'!$E$25</f>
        <v>32587.653333333335</v>
      </c>
      <c r="E511" s="115">
        <f t="shared" si="17"/>
        <v>16293.826666666668</v>
      </c>
      <c r="H511" s="70"/>
      <c r="J511" s="42"/>
      <c r="K511" s="58">
        <f t="shared" si="18"/>
        <v>0</v>
      </c>
    </row>
    <row r="512" spans="1:11" x14ac:dyDescent="0.3">
      <c r="B512" s="70" t="s">
        <v>1089</v>
      </c>
      <c r="D512" s="42">
        <f>'2025_03_28 Boom Pricing'!$E$10+'2025_03_28 Boom Pricing'!$E$40+'2025_03_28 Boom Pricing'!$E$48+'2025_03_28 Boom Pricing'!$E$25</f>
        <v>32587.653333333335</v>
      </c>
      <c r="E512" s="115">
        <f t="shared" si="17"/>
        <v>16293.826666666668</v>
      </c>
      <c r="H512" s="70"/>
      <c r="J512" s="42"/>
      <c r="K512" s="58">
        <f t="shared" si="18"/>
        <v>0</v>
      </c>
    </row>
    <row r="513" spans="1:11" x14ac:dyDescent="0.3">
      <c r="B513" s="70" t="s">
        <v>1091</v>
      </c>
      <c r="D513" s="42">
        <f>'2025_03_28 Boom Pricing'!$E$10+'2025_03_28 Boom Pricing'!$E$41+'2025_03_28 Boom Pricing'!$E$48+'2025_03_28 Boom Pricing'!$E$25</f>
        <v>32587.653333333335</v>
      </c>
      <c r="E513" s="115">
        <f t="shared" si="17"/>
        <v>16293.826666666668</v>
      </c>
      <c r="H513" s="70"/>
      <c r="J513" s="42"/>
      <c r="K513" s="58">
        <f t="shared" ref="K513:K560" si="19">J513*(1-0.5)</f>
        <v>0</v>
      </c>
    </row>
    <row r="514" spans="1:11" x14ac:dyDescent="0.3">
      <c r="B514" s="70" t="s">
        <v>1093</v>
      </c>
      <c r="D514" s="42">
        <f>'2025_03_28 Boom Pricing'!$E$10+'2025_03_28 Boom Pricing'!$E$42+'2025_03_28 Boom Pricing'!$E$48+'2025_03_28 Boom Pricing'!$E$25</f>
        <v>34179.200000000004</v>
      </c>
      <c r="E514" s="115">
        <f t="shared" si="17"/>
        <v>17089.600000000002</v>
      </c>
      <c r="H514" s="70"/>
      <c r="J514" s="42"/>
      <c r="K514" s="58">
        <f t="shared" si="19"/>
        <v>0</v>
      </c>
    </row>
    <row r="515" spans="1:11" x14ac:dyDescent="0.3">
      <c r="A515" s="48"/>
      <c r="B515" s="116" t="s">
        <v>1095</v>
      </c>
      <c r="C515" s="48"/>
      <c r="D515" s="119">
        <f>'2025_03_28 Boom Pricing'!$E$10+'2025_03_28 Boom Pricing'!$E$43+'2025_03_28 Boom Pricing'!$E$48+'2025_03_28 Boom Pricing'!$E$25</f>
        <v>35879.626666666671</v>
      </c>
      <c r="E515" s="117">
        <f t="shared" si="17"/>
        <v>17939.813333333335</v>
      </c>
      <c r="H515" s="70"/>
      <c r="J515" s="42"/>
      <c r="K515" s="58">
        <f t="shared" si="19"/>
        <v>0</v>
      </c>
    </row>
    <row r="516" spans="1:11" x14ac:dyDescent="0.3">
      <c r="B516" s="70" t="s">
        <v>1097</v>
      </c>
      <c r="D516" s="42">
        <f>'2025_03_28 Boom Pricing'!$E$10+'2025_03_28 Boom Pricing'!$E430+'2025_03_28 Boom Pricing'!$E$47+'2025_03_28 Boom Pricing'!$E$26</f>
        <v>34629.440000000002</v>
      </c>
      <c r="E516" s="115">
        <f t="shared" si="17"/>
        <v>17314.72</v>
      </c>
      <c r="H516" s="70"/>
      <c r="J516" s="42"/>
      <c r="K516" s="58">
        <f t="shared" si="19"/>
        <v>0</v>
      </c>
    </row>
    <row r="517" spans="1:11" x14ac:dyDescent="0.3">
      <c r="B517" s="70" t="s">
        <v>1099</v>
      </c>
      <c r="D517" s="42">
        <f>'2025_03_28 Boom Pricing'!$E$10+'2025_03_28 Boom Pricing'!$E431+'2025_03_28 Boom Pricing'!$E$47+'2025_03_28 Boom Pricing'!$E$26</f>
        <v>34629.440000000002</v>
      </c>
      <c r="E517" s="115">
        <f t="shared" si="17"/>
        <v>17314.72</v>
      </c>
      <c r="H517" s="70"/>
      <c r="J517" s="42"/>
      <c r="K517" s="58">
        <f t="shared" si="19"/>
        <v>0</v>
      </c>
    </row>
    <row r="518" spans="1:11" x14ac:dyDescent="0.3">
      <c r="B518" s="70" t="s">
        <v>1101</v>
      </c>
      <c r="D518" s="42">
        <f>'2025_03_28 Boom Pricing'!$E$10+'2025_03_28 Boom Pricing'!$E432+'2025_03_28 Boom Pricing'!$E$47+'2025_03_28 Boom Pricing'!$E$26</f>
        <v>34629.440000000002</v>
      </c>
      <c r="E518" s="115">
        <f t="shared" si="17"/>
        <v>17314.72</v>
      </c>
      <c r="H518" s="70"/>
      <c r="J518" s="42"/>
      <c r="K518" s="58">
        <f t="shared" si="19"/>
        <v>0</v>
      </c>
    </row>
    <row r="519" spans="1:11" x14ac:dyDescent="0.3">
      <c r="B519" s="70" t="s">
        <v>1103</v>
      </c>
      <c r="D519" s="42">
        <f>'2025_03_28 Boom Pricing'!$E$10+'2025_03_28 Boom Pricing'!$E433+'2025_03_28 Boom Pricing'!$E$47+'2025_03_28 Boom Pricing'!$E$26</f>
        <v>34629.440000000002</v>
      </c>
      <c r="E519" s="115">
        <f t="shared" si="17"/>
        <v>17314.72</v>
      </c>
      <c r="H519" s="70"/>
      <c r="J519" s="42"/>
      <c r="K519" s="58">
        <f t="shared" si="19"/>
        <v>0</v>
      </c>
    </row>
    <row r="520" spans="1:11" x14ac:dyDescent="0.3">
      <c r="B520" s="70" t="s">
        <v>1105</v>
      </c>
      <c r="D520" s="42">
        <f>'2025_03_28 Boom Pricing'!$E$10+'2025_03_28 Boom Pricing'!$E434+'2025_03_28 Boom Pricing'!$E$47+'2025_03_28 Boom Pricing'!$E$26</f>
        <v>34629.440000000002</v>
      </c>
      <c r="E520" s="115">
        <f t="shared" si="17"/>
        <v>17314.72</v>
      </c>
      <c r="H520" s="70"/>
      <c r="J520" s="42"/>
      <c r="K520" s="58">
        <f t="shared" si="19"/>
        <v>0</v>
      </c>
    </row>
    <row r="521" spans="1:11" x14ac:dyDescent="0.3">
      <c r="A521" s="48"/>
      <c r="B521" s="116" t="s">
        <v>1107</v>
      </c>
      <c r="C521" s="48"/>
      <c r="D521" s="119">
        <f>'2025_03_28 Boom Pricing'!$E$10+'2025_03_28 Boom Pricing'!$E435+'2025_03_28 Boom Pricing'!$E$47+'2025_03_28 Boom Pricing'!$E$26</f>
        <v>34629.440000000002</v>
      </c>
      <c r="E521" s="117">
        <f t="shared" si="17"/>
        <v>17314.72</v>
      </c>
      <c r="H521" s="70"/>
      <c r="J521" s="42"/>
      <c r="K521" s="58">
        <f t="shared" si="19"/>
        <v>0</v>
      </c>
    </row>
    <row r="522" spans="1:11" x14ac:dyDescent="0.3">
      <c r="B522" s="70" t="s">
        <v>1109</v>
      </c>
      <c r="D522" s="42">
        <f>'2025_03_28 Boom Pricing'!$E$10+'2025_03_28 Boom Pricing'!$E$38+'2025_03_28 Boom Pricing'!$E$48+'2025_03_28 Boom Pricing'!$E$27</f>
        <v>36660.933333333334</v>
      </c>
      <c r="E522" s="115">
        <f t="shared" si="17"/>
        <v>18330.466666666667</v>
      </c>
      <c r="H522" s="70"/>
      <c r="J522" s="42"/>
      <c r="K522" s="58">
        <f t="shared" si="19"/>
        <v>0</v>
      </c>
    </row>
    <row r="523" spans="1:11" x14ac:dyDescent="0.3">
      <c r="B523" s="70" t="s">
        <v>1111</v>
      </c>
      <c r="D523" s="42">
        <f>'2025_03_28 Boom Pricing'!$E$10+'2025_03_28 Boom Pricing'!$E$39+'2025_03_28 Boom Pricing'!$E$48+'2025_03_28 Boom Pricing'!$E$27</f>
        <v>36660.933333333334</v>
      </c>
      <c r="E523" s="115">
        <f t="shared" si="17"/>
        <v>18330.466666666667</v>
      </c>
      <c r="H523" s="70"/>
      <c r="J523" s="42"/>
      <c r="K523" s="58">
        <f t="shared" si="19"/>
        <v>0</v>
      </c>
    </row>
    <row r="524" spans="1:11" x14ac:dyDescent="0.3">
      <c r="B524" s="70" t="s">
        <v>1113</v>
      </c>
      <c r="D524" s="42">
        <f>'2025_03_28 Boom Pricing'!$E$10+'2025_03_28 Boom Pricing'!$E$40+'2025_03_28 Boom Pricing'!$E$48+'2025_03_28 Boom Pricing'!$E$27</f>
        <v>36660.933333333334</v>
      </c>
      <c r="E524" s="115">
        <f t="shared" si="17"/>
        <v>18330.466666666667</v>
      </c>
      <c r="H524" s="70"/>
      <c r="J524" s="42"/>
      <c r="K524" s="58">
        <f t="shared" si="19"/>
        <v>0</v>
      </c>
    </row>
    <row r="525" spans="1:11" x14ac:dyDescent="0.3">
      <c r="B525" s="70" t="s">
        <v>1115</v>
      </c>
      <c r="D525" s="42">
        <f>'2025_03_28 Boom Pricing'!$E$10+'2025_03_28 Boom Pricing'!$E$41+'2025_03_28 Boom Pricing'!$E$48+'2025_03_28 Boom Pricing'!$E$27</f>
        <v>36660.933333333334</v>
      </c>
      <c r="E525" s="115">
        <f t="shared" si="17"/>
        <v>18330.466666666667</v>
      </c>
      <c r="H525" s="70"/>
      <c r="J525" s="42"/>
      <c r="K525" s="58">
        <f t="shared" si="19"/>
        <v>0</v>
      </c>
    </row>
    <row r="526" spans="1:11" x14ac:dyDescent="0.3">
      <c r="B526" s="70" t="s">
        <v>1117</v>
      </c>
      <c r="D526" s="42">
        <f>'2025_03_28 Boom Pricing'!$E$10+'2025_03_28 Boom Pricing'!$E$42+'2025_03_28 Boom Pricing'!$E$48+'2025_03_28 Boom Pricing'!$E$27</f>
        <v>38252.479999999996</v>
      </c>
      <c r="E526" s="115">
        <f t="shared" si="17"/>
        <v>19126.239999999998</v>
      </c>
      <c r="H526" s="70"/>
      <c r="J526" s="42"/>
      <c r="K526" s="58">
        <f t="shared" si="19"/>
        <v>0</v>
      </c>
    </row>
    <row r="527" spans="1:11" ht="16.2" thickBot="1" x14ac:dyDescent="0.35">
      <c r="A527" s="133"/>
      <c r="B527" s="134" t="s">
        <v>1119</v>
      </c>
      <c r="C527" s="133"/>
      <c r="D527" s="135">
        <f>'2025_03_28 Boom Pricing'!$E$10+'2025_03_28 Boom Pricing'!$E$43+'2025_03_28 Boom Pricing'!$E$48+'2025_03_28 Boom Pricing'!$E$27</f>
        <v>39952.906666666662</v>
      </c>
      <c r="E527" s="136">
        <f t="shared" si="17"/>
        <v>19976.453333333331</v>
      </c>
      <c r="H527" s="70"/>
      <c r="J527" s="42"/>
      <c r="K527" s="58">
        <f t="shared" si="19"/>
        <v>0</v>
      </c>
    </row>
    <row r="528" spans="1:11" x14ac:dyDescent="0.3">
      <c r="B528" s="70" t="s">
        <v>1121</v>
      </c>
      <c r="D528" s="137">
        <f>'2025_03_28 Boom Pricing'!$E$10+'2025_03_28 Boom Pricing'!$E$38+'2025_03_28 Boom Pricing'!$E$49+'2025_03_28 Boom Pricing'!$E$23</f>
        <v>28632.906666666673</v>
      </c>
      <c r="E528" s="115">
        <f t="shared" si="17"/>
        <v>14316.453333333337</v>
      </c>
      <c r="H528" s="70"/>
      <c r="J528" s="42"/>
      <c r="K528" s="58">
        <f t="shared" si="19"/>
        <v>0</v>
      </c>
    </row>
    <row r="529" spans="1:11" x14ac:dyDescent="0.3">
      <c r="B529" s="70" t="s">
        <v>1123</v>
      </c>
      <c r="D529" s="42">
        <f>'2025_03_28 Boom Pricing'!$E$10+'2025_03_28 Boom Pricing'!$E$39+'2025_03_28 Boom Pricing'!$E$49+'2025_03_28 Boom Pricing'!$E$23</f>
        <v>28632.906666666673</v>
      </c>
      <c r="E529" s="115">
        <f t="shared" si="17"/>
        <v>14316.453333333337</v>
      </c>
      <c r="H529" s="70"/>
      <c r="J529" s="42"/>
      <c r="K529" s="58">
        <f t="shared" si="19"/>
        <v>0</v>
      </c>
    </row>
    <row r="530" spans="1:11" x14ac:dyDescent="0.3">
      <c r="B530" s="70" t="s">
        <v>1125</v>
      </c>
      <c r="D530" s="42">
        <f>'2025_03_28 Boom Pricing'!$E$10+'2025_03_28 Boom Pricing'!$E$40+'2025_03_28 Boom Pricing'!$E$49+'2025_03_28 Boom Pricing'!$E$23</f>
        <v>28632.906666666673</v>
      </c>
      <c r="E530" s="115">
        <f t="shared" si="17"/>
        <v>14316.453333333337</v>
      </c>
      <c r="J530" s="42"/>
      <c r="K530" s="65"/>
    </row>
    <row r="531" spans="1:11" x14ac:dyDescent="0.3">
      <c r="B531" s="70" t="s">
        <v>1127</v>
      </c>
      <c r="D531" s="42">
        <f>'2025_03_28 Boom Pricing'!$E$10+'2025_03_28 Boom Pricing'!$E$41+'2025_03_28 Boom Pricing'!$E$49+'2025_03_28 Boom Pricing'!$E$23</f>
        <v>28632.906666666673</v>
      </c>
      <c r="E531" s="115">
        <f t="shared" si="17"/>
        <v>14316.453333333337</v>
      </c>
      <c r="H531" s="70"/>
      <c r="J531" s="42"/>
      <c r="K531" s="58">
        <f t="shared" si="19"/>
        <v>0</v>
      </c>
    </row>
    <row r="532" spans="1:11" x14ac:dyDescent="0.3">
      <c r="B532" s="70" t="s">
        <v>1129</v>
      </c>
      <c r="D532" s="42">
        <f>'2025_03_28 Boom Pricing'!$E$10+'2025_03_28 Boom Pricing'!$E$42+'2025_03_28 Boom Pricing'!$E$49+'2025_03_28 Boom Pricing'!$E$23</f>
        <v>30224.453333333338</v>
      </c>
      <c r="E532" s="115">
        <f t="shared" ref="E532:E595" si="20">D532*(1-0.5)</f>
        <v>15112.226666666669</v>
      </c>
      <c r="H532" s="70"/>
      <c r="J532" s="42"/>
      <c r="K532" s="58">
        <f t="shared" si="19"/>
        <v>0</v>
      </c>
    </row>
    <row r="533" spans="1:11" x14ac:dyDescent="0.3">
      <c r="A533" s="48"/>
      <c r="B533" s="116" t="s">
        <v>1131</v>
      </c>
      <c r="C533" s="48"/>
      <c r="D533" s="119">
        <f>'2025_03_28 Boom Pricing'!$E$10+'2025_03_28 Boom Pricing'!$E$43+'2025_03_28 Boom Pricing'!$E$49+'2025_03_28 Boom Pricing'!$E$23</f>
        <v>31924.880000000005</v>
      </c>
      <c r="E533" s="117">
        <f t="shared" si="20"/>
        <v>15962.440000000002</v>
      </c>
      <c r="H533" s="70"/>
      <c r="J533" s="42"/>
      <c r="K533" s="58">
        <f t="shared" si="19"/>
        <v>0</v>
      </c>
    </row>
    <row r="534" spans="1:11" x14ac:dyDescent="0.3">
      <c r="B534" s="70" t="s">
        <v>1133</v>
      </c>
      <c r="D534" s="42">
        <f>'2025_03_28 Boom Pricing'!$E$10+'2025_03_28 Boom Pricing'!$E$38+'2025_03_28 Boom Pricing'!$E$49+'2025_03_28 Boom Pricing'!$E$24</f>
        <v>30607.813333333335</v>
      </c>
      <c r="E534" s="115">
        <f t="shared" si="20"/>
        <v>15303.906666666668</v>
      </c>
      <c r="H534" s="70"/>
      <c r="J534" s="42"/>
      <c r="K534" s="58">
        <f t="shared" si="19"/>
        <v>0</v>
      </c>
    </row>
    <row r="535" spans="1:11" x14ac:dyDescent="0.3">
      <c r="B535" s="70" t="s">
        <v>1135</v>
      </c>
      <c r="D535" s="42">
        <f>'2025_03_28 Boom Pricing'!$E$10+'2025_03_28 Boom Pricing'!$E$39+'2025_03_28 Boom Pricing'!$E$49+'2025_03_28 Boom Pricing'!$E$24</f>
        <v>30607.813333333335</v>
      </c>
      <c r="E535" s="115">
        <f t="shared" si="20"/>
        <v>15303.906666666668</v>
      </c>
      <c r="H535" s="70"/>
      <c r="J535" s="42"/>
      <c r="K535" s="58">
        <f t="shared" si="19"/>
        <v>0</v>
      </c>
    </row>
    <row r="536" spans="1:11" x14ac:dyDescent="0.3">
      <c r="B536" s="70" t="s">
        <v>1137</v>
      </c>
      <c r="D536" s="42">
        <f>'2025_03_28 Boom Pricing'!$E$10+'2025_03_28 Boom Pricing'!$E$40+'2025_03_28 Boom Pricing'!$E$49+'2025_03_28 Boom Pricing'!$E$24</f>
        <v>30607.813333333335</v>
      </c>
      <c r="E536" s="115">
        <f t="shared" si="20"/>
        <v>15303.906666666668</v>
      </c>
      <c r="H536" s="70"/>
      <c r="J536" s="42"/>
      <c r="K536" s="58">
        <f t="shared" si="19"/>
        <v>0</v>
      </c>
    </row>
    <row r="537" spans="1:11" x14ac:dyDescent="0.3">
      <c r="B537" s="70" t="s">
        <v>1139</v>
      </c>
      <c r="D537" s="42">
        <f>'2025_03_28 Boom Pricing'!$E$10+'2025_03_28 Boom Pricing'!$E$41+'2025_03_28 Boom Pricing'!$E$49+'2025_03_28 Boom Pricing'!$E$24</f>
        <v>30607.813333333335</v>
      </c>
      <c r="E537" s="115">
        <f t="shared" si="20"/>
        <v>15303.906666666668</v>
      </c>
      <c r="H537" s="70"/>
      <c r="J537" s="42"/>
      <c r="K537" s="58">
        <f t="shared" si="19"/>
        <v>0</v>
      </c>
    </row>
    <row r="538" spans="1:11" x14ac:dyDescent="0.3">
      <c r="B538" s="70" t="s">
        <v>1141</v>
      </c>
      <c r="D538" s="42">
        <f>'2025_03_28 Boom Pricing'!$E$10+'2025_03_28 Boom Pricing'!$E$42+'2025_03_28 Boom Pricing'!$E$49+'2025_03_28 Boom Pricing'!$E$24</f>
        <v>32199.360000000001</v>
      </c>
      <c r="E538" s="115">
        <f t="shared" si="20"/>
        <v>16099.68</v>
      </c>
      <c r="H538" s="70"/>
      <c r="J538" s="42"/>
      <c r="K538" s="58">
        <f t="shared" si="19"/>
        <v>0</v>
      </c>
    </row>
    <row r="539" spans="1:11" x14ac:dyDescent="0.3">
      <c r="A539" s="48"/>
      <c r="B539" s="116" t="s">
        <v>1143</v>
      </c>
      <c r="C539" s="48"/>
      <c r="D539" s="119">
        <f>'2025_03_28 Boom Pricing'!$E$10+'2025_03_28 Boom Pricing'!$E$43+'2025_03_28 Boom Pricing'!$E$49+'2025_03_28 Boom Pricing'!$E$24</f>
        <v>33899.786666666667</v>
      </c>
      <c r="E539" s="117">
        <f t="shared" si="20"/>
        <v>16949.893333333333</v>
      </c>
      <c r="H539" s="70"/>
      <c r="J539" s="42"/>
      <c r="K539" s="58">
        <f t="shared" si="19"/>
        <v>0</v>
      </c>
    </row>
    <row r="540" spans="1:11" x14ac:dyDescent="0.3">
      <c r="B540" s="70" t="s">
        <v>1145</v>
      </c>
      <c r="D540" s="42">
        <f>'2025_03_28 Boom Pricing'!$E$10+'2025_03_28 Boom Pricing'!$E$38+'2025_03_28 Boom Pricing'!$E$49+'2025_03_28 Boom Pricing'!$E$25</f>
        <v>32587.653333333335</v>
      </c>
      <c r="E540" s="115">
        <f t="shared" si="20"/>
        <v>16293.826666666668</v>
      </c>
      <c r="H540" s="70"/>
      <c r="J540" s="42"/>
      <c r="K540" s="58">
        <f t="shared" si="19"/>
        <v>0</v>
      </c>
    </row>
    <row r="541" spans="1:11" x14ac:dyDescent="0.3">
      <c r="B541" s="70" t="s">
        <v>1147</v>
      </c>
      <c r="D541" s="42">
        <f>'2025_03_28 Boom Pricing'!$E$10+'2025_03_28 Boom Pricing'!$E$39+'2025_03_28 Boom Pricing'!$E$49+'2025_03_28 Boom Pricing'!$E$25</f>
        <v>32587.653333333335</v>
      </c>
      <c r="E541" s="115">
        <f t="shared" si="20"/>
        <v>16293.826666666668</v>
      </c>
      <c r="H541" s="70"/>
      <c r="J541" s="42"/>
      <c r="K541" s="58">
        <f t="shared" si="19"/>
        <v>0</v>
      </c>
    </row>
    <row r="542" spans="1:11" x14ac:dyDescent="0.3">
      <c r="B542" s="70" t="s">
        <v>1149</v>
      </c>
      <c r="D542" s="42">
        <f>'2025_03_28 Boom Pricing'!$E$10+'2025_03_28 Boom Pricing'!$E$40+'2025_03_28 Boom Pricing'!$E$49+'2025_03_28 Boom Pricing'!$E$25</f>
        <v>32587.653333333335</v>
      </c>
      <c r="E542" s="115">
        <f t="shared" si="20"/>
        <v>16293.826666666668</v>
      </c>
      <c r="H542" s="70"/>
      <c r="J542" s="42"/>
      <c r="K542" s="58">
        <f t="shared" si="19"/>
        <v>0</v>
      </c>
    </row>
    <row r="543" spans="1:11" x14ac:dyDescent="0.3">
      <c r="B543" s="70" t="s">
        <v>1151</v>
      </c>
      <c r="D543" s="42">
        <f>'2025_03_28 Boom Pricing'!$E$10+'2025_03_28 Boom Pricing'!$E$41+'2025_03_28 Boom Pricing'!$E$49+'2025_03_28 Boom Pricing'!$E$25</f>
        <v>32587.653333333335</v>
      </c>
      <c r="E543" s="115">
        <f t="shared" si="20"/>
        <v>16293.826666666668</v>
      </c>
      <c r="H543" s="70"/>
      <c r="J543" s="42"/>
      <c r="K543" s="58">
        <f t="shared" si="19"/>
        <v>0</v>
      </c>
    </row>
    <row r="544" spans="1:11" x14ac:dyDescent="0.3">
      <c r="B544" s="70" t="s">
        <v>1153</v>
      </c>
      <c r="D544" s="42">
        <f>'2025_03_28 Boom Pricing'!$E$10+'2025_03_28 Boom Pricing'!$E$42+'2025_03_28 Boom Pricing'!$E$49+'2025_03_28 Boom Pricing'!$E$25</f>
        <v>34179.200000000004</v>
      </c>
      <c r="E544" s="115">
        <f t="shared" si="20"/>
        <v>17089.600000000002</v>
      </c>
      <c r="H544" s="70"/>
      <c r="J544" s="42"/>
      <c r="K544" s="58">
        <f t="shared" si="19"/>
        <v>0</v>
      </c>
    </row>
    <row r="545" spans="1:11" x14ac:dyDescent="0.3">
      <c r="A545" s="48"/>
      <c r="B545" s="116" t="s">
        <v>1155</v>
      </c>
      <c r="C545" s="48"/>
      <c r="D545" s="119">
        <f>'2025_03_28 Boom Pricing'!$E$10+'2025_03_28 Boom Pricing'!$E$43+'2025_03_28 Boom Pricing'!$E$49+'2025_03_28 Boom Pricing'!$E$25</f>
        <v>35879.626666666671</v>
      </c>
      <c r="E545" s="117">
        <f t="shared" si="20"/>
        <v>17939.813333333335</v>
      </c>
      <c r="H545" s="70"/>
      <c r="J545" s="42"/>
      <c r="K545" s="58">
        <f t="shared" si="19"/>
        <v>0</v>
      </c>
    </row>
    <row r="546" spans="1:11" x14ac:dyDescent="0.3">
      <c r="B546" s="70" t="s">
        <v>1157</v>
      </c>
      <c r="D546" s="42">
        <f>'2025_03_28 Boom Pricing'!$E$10+'2025_03_28 Boom Pricing'!$E$38+'2025_03_28 Boom Pricing'!$E$48+'2025_03_28 Boom Pricing'!$E$26</f>
        <v>34626.773333333331</v>
      </c>
      <c r="E546" s="115">
        <f t="shared" si="20"/>
        <v>17313.386666666665</v>
      </c>
      <c r="H546" s="70"/>
      <c r="J546" s="42"/>
      <c r="K546" s="58">
        <f t="shared" si="19"/>
        <v>0</v>
      </c>
    </row>
    <row r="547" spans="1:11" x14ac:dyDescent="0.3">
      <c r="B547" s="70" t="s">
        <v>1159</v>
      </c>
      <c r="D547" s="42">
        <f>'2025_03_28 Boom Pricing'!$E$10+'2025_03_28 Boom Pricing'!$E$39+'2025_03_28 Boom Pricing'!$E$48+'2025_03_28 Boom Pricing'!$E$26</f>
        <v>34626.773333333331</v>
      </c>
      <c r="E547" s="115">
        <f t="shared" si="20"/>
        <v>17313.386666666665</v>
      </c>
      <c r="H547" s="70"/>
      <c r="J547" s="42"/>
      <c r="K547" s="58">
        <f t="shared" si="19"/>
        <v>0</v>
      </c>
    </row>
    <row r="548" spans="1:11" x14ac:dyDescent="0.3">
      <c r="B548" s="70" t="s">
        <v>1161</v>
      </c>
      <c r="D548" s="42">
        <f>'2025_03_28 Boom Pricing'!$E$10+'2025_03_28 Boom Pricing'!$E$40+'2025_03_28 Boom Pricing'!$E$48+'2025_03_28 Boom Pricing'!$E$26</f>
        <v>34626.773333333331</v>
      </c>
      <c r="E548" s="115">
        <f t="shared" si="20"/>
        <v>17313.386666666665</v>
      </c>
      <c r="H548" s="70"/>
      <c r="J548" s="42"/>
      <c r="K548" s="58">
        <f t="shared" si="19"/>
        <v>0</v>
      </c>
    </row>
    <row r="549" spans="1:11" x14ac:dyDescent="0.3">
      <c r="B549" s="70" t="s">
        <v>1163</v>
      </c>
      <c r="D549" s="42">
        <f>'2025_03_28 Boom Pricing'!$E$10+'2025_03_28 Boom Pricing'!$E$41+'2025_03_28 Boom Pricing'!$E$48+'2025_03_28 Boom Pricing'!$E$26</f>
        <v>34626.773333333331</v>
      </c>
      <c r="E549" s="115">
        <f t="shared" si="20"/>
        <v>17313.386666666665</v>
      </c>
      <c r="H549" s="70"/>
      <c r="J549" s="42"/>
      <c r="K549" s="58">
        <f t="shared" si="19"/>
        <v>0</v>
      </c>
    </row>
    <row r="550" spans="1:11" x14ac:dyDescent="0.3">
      <c r="B550" s="70" t="s">
        <v>1165</v>
      </c>
      <c r="D550" s="42">
        <f>'2025_03_28 Boom Pricing'!$E$10+'2025_03_28 Boom Pricing'!$E$42+'2025_03_28 Boom Pricing'!$E$48+'2025_03_28 Boom Pricing'!$E$26</f>
        <v>36218.32</v>
      </c>
      <c r="E550" s="115">
        <f t="shared" si="20"/>
        <v>18109.16</v>
      </c>
      <c r="H550" s="70"/>
      <c r="J550" s="42"/>
      <c r="K550" s="58">
        <f t="shared" si="19"/>
        <v>0</v>
      </c>
    </row>
    <row r="551" spans="1:11" x14ac:dyDescent="0.3">
      <c r="A551" s="48"/>
      <c r="B551" s="116" t="s">
        <v>1167</v>
      </c>
      <c r="C551" s="48"/>
      <c r="D551" s="119">
        <f>'2025_03_28 Boom Pricing'!$E$10+'2025_03_28 Boom Pricing'!$E$43+'2025_03_28 Boom Pricing'!$E$48+'2025_03_28 Boom Pricing'!$E$26</f>
        <v>37918.746666666666</v>
      </c>
      <c r="E551" s="117">
        <f t="shared" si="20"/>
        <v>18959.373333333333</v>
      </c>
      <c r="H551" s="70"/>
      <c r="J551" s="42"/>
      <c r="K551" s="58">
        <f t="shared" si="19"/>
        <v>0</v>
      </c>
    </row>
    <row r="552" spans="1:11" x14ac:dyDescent="0.3">
      <c r="B552" s="70" t="s">
        <v>1169</v>
      </c>
      <c r="D552" s="42">
        <f>'2025_03_28 Boom Pricing'!$E$10+'2025_03_28 Boom Pricing'!$E$38+'2025_03_28 Boom Pricing'!$E$49+'2025_03_28 Boom Pricing'!$E$27</f>
        <v>36660.933333333334</v>
      </c>
      <c r="E552" s="115">
        <f t="shared" si="20"/>
        <v>18330.466666666667</v>
      </c>
      <c r="H552" s="70"/>
      <c r="J552" s="42"/>
      <c r="K552" s="58">
        <f t="shared" si="19"/>
        <v>0</v>
      </c>
    </row>
    <row r="553" spans="1:11" x14ac:dyDescent="0.3">
      <c r="B553" s="70" t="s">
        <v>1171</v>
      </c>
      <c r="D553" s="42">
        <f>'2025_03_28 Boom Pricing'!$E$10+'2025_03_28 Boom Pricing'!$E$39+'2025_03_28 Boom Pricing'!$E$49+'2025_03_28 Boom Pricing'!$E$27</f>
        <v>36660.933333333334</v>
      </c>
      <c r="E553" s="115">
        <f t="shared" si="20"/>
        <v>18330.466666666667</v>
      </c>
      <c r="H553" s="70"/>
      <c r="J553" s="42"/>
      <c r="K553" s="58">
        <f t="shared" si="19"/>
        <v>0</v>
      </c>
    </row>
    <row r="554" spans="1:11" x14ac:dyDescent="0.3">
      <c r="B554" s="70" t="s">
        <v>1173</v>
      </c>
      <c r="D554" s="42">
        <f>'2025_03_28 Boom Pricing'!$E$10+'2025_03_28 Boom Pricing'!$E$40+'2025_03_28 Boom Pricing'!$E$49+'2025_03_28 Boom Pricing'!$E$27</f>
        <v>36660.933333333334</v>
      </c>
      <c r="E554" s="115">
        <f t="shared" si="20"/>
        <v>18330.466666666667</v>
      </c>
      <c r="H554" s="70"/>
      <c r="J554" s="42"/>
      <c r="K554" s="58">
        <f t="shared" si="19"/>
        <v>0</v>
      </c>
    </row>
    <row r="555" spans="1:11" x14ac:dyDescent="0.3">
      <c r="B555" s="70" t="s">
        <v>1175</v>
      </c>
      <c r="D555" s="42">
        <f>'2025_03_28 Boom Pricing'!$E$10+'2025_03_28 Boom Pricing'!$E$41+'2025_03_28 Boom Pricing'!$E$49+'2025_03_28 Boom Pricing'!$E$27</f>
        <v>36660.933333333334</v>
      </c>
      <c r="E555" s="115">
        <f t="shared" si="20"/>
        <v>18330.466666666667</v>
      </c>
      <c r="H555" s="70"/>
      <c r="J555" s="42"/>
      <c r="K555" s="58">
        <f t="shared" si="19"/>
        <v>0</v>
      </c>
    </row>
    <row r="556" spans="1:11" x14ac:dyDescent="0.3">
      <c r="B556" s="70" t="s">
        <v>1177</v>
      </c>
      <c r="D556" s="42">
        <f>'2025_03_28 Boom Pricing'!$E$10+'2025_03_28 Boom Pricing'!$E$42+'2025_03_28 Boom Pricing'!$E$49+'2025_03_28 Boom Pricing'!$E$27</f>
        <v>38252.479999999996</v>
      </c>
      <c r="E556" s="115">
        <f t="shared" si="20"/>
        <v>19126.239999999998</v>
      </c>
      <c r="H556" s="70"/>
      <c r="J556" s="42"/>
      <c r="K556" s="58">
        <f t="shared" si="19"/>
        <v>0</v>
      </c>
    </row>
    <row r="557" spans="1:11" ht="16.2" thickBot="1" x14ac:dyDescent="0.35">
      <c r="A557" s="133"/>
      <c r="B557" s="134" t="s">
        <v>1179</v>
      </c>
      <c r="C557" s="133"/>
      <c r="D557" s="135">
        <f>'2025_03_28 Boom Pricing'!$E$10+'2025_03_28 Boom Pricing'!$E$43+'2025_03_28 Boom Pricing'!$E$49+'2025_03_28 Boom Pricing'!$E$27</f>
        <v>39952.906666666662</v>
      </c>
      <c r="E557" s="136">
        <f t="shared" si="20"/>
        <v>19976.453333333331</v>
      </c>
      <c r="H557" s="70"/>
      <c r="J557" s="42"/>
      <c r="K557" s="58">
        <f t="shared" si="19"/>
        <v>0</v>
      </c>
    </row>
    <row r="558" spans="1:11" x14ac:dyDescent="0.3">
      <c r="B558" s="70" t="s">
        <v>1181</v>
      </c>
      <c r="D558" s="42">
        <f>'2025_03_28 Boom Pricing'!$E$10+'2025_03_28 Boom Pricing'!$E$38+'2025_03_28 Boom Pricing'!$E$50+'2025_03_28 Boom Pricing'!$E$23</f>
        <v>28632.906666666673</v>
      </c>
      <c r="E558" s="115">
        <f t="shared" si="20"/>
        <v>14316.453333333337</v>
      </c>
      <c r="H558" s="70"/>
      <c r="J558" s="42"/>
      <c r="K558" s="58">
        <f t="shared" si="19"/>
        <v>0</v>
      </c>
    </row>
    <row r="559" spans="1:11" x14ac:dyDescent="0.3">
      <c r="B559" s="70" t="s">
        <v>1183</v>
      </c>
      <c r="D559" s="42">
        <f>'2025_03_28 Boom Pricing'!$E$10+'2025_03_28 Boom Pricing'!$E$39+'2025_03_28 Boom Pricing'!$E$50+'2025_03_28 Boom Pricing'!$E$23</f>
        <v>28632.906666666673</v>
      </c>
      <c r="E559" s="115">
        <f t="shared" si="20"/>
        <v>14316.453333333337</v>
      </c>
      <c r="H559" s="70"/>
      <c r="J559" s="42"/>
      <c r="K559" s="58">
        <f t="shared" si="19"/>
        <v>0</v>
      </c>
    </row>
    <row r="560" spans="1:11" x14ac:dyDescent="0.3">
      <c r="B560" s="70" t="s">
        <v>1185</v>
      </c>
      <c r="D560" s="42">
        <f>'2025_03_28 Boom Pricing'!$E$10+'2025_03_28 Boom Pricing'!$E$40+'2025_03_28 Boom Pricing'!$E$50+'2025_03_28 Boom Pricing'!$E$23</f>
        <v>28632.906666666673</v>
      </c>
      <c r="E560" s="115">
        <f t="shared" si="20"/>
        <v>14316.453333333337</v>
      </c>
      <c r="H560" s="70"/>
      <c r="J560" s="42"/>
      <c r="K560" s="58">
        <f t="shared" si="19"/>
        <v>0</v>
      </c>
    </row>
    <row r="561" spans="1:11" x14ac:dyDescent="0.3">
      <c r="B561" s="70" t="s">
        <v>1187</v>
      </c>
      <c r="D561" s="42">
        <f>'2025_03_28 Boom Pricing'!$E$10+'2025_03_28 Boom Pricing'!$E$41+'2025_03_28 Boom Pricing'!$E$50+'2025_03_28 Boom Pricing'!$E$23</f>
        <v>28632.906666666673</v>
      </c>
      <c r="E561" s="115">
        <f t="shared" si="20"/>
        <v>14316.453333333337</v>
      </c>
      <c r="K561" s="65"/>
    </row>
    <row r="562" spans="1:11" x14ac:dyDescent="0.3">
      <c r="B562" s="70" t="s">
        <v>1189</v>
      </c>
      <c r="D562" s="42">
        <f>'2025_03_28 Boom Pricing'!$E$10+'2025_03_28 Boom Pricing'!$E$42+'2025_03_28 Boom Pricing'!$E$50+'2025_03_28 Boom Pricing'!$E$23</f>
        <v>30224.453333333338</v>
      </c>
      <c r="E562" s="115">
        <f t="shared" si="20"/>
        <v>15112.226666666669</v>
      </c>
      <c r="K562" s="58">
        <f t="shared" ref="K562:K567" si="21">D654*(1-0.5)</f>
        <v>25338.666666666668</v>
      </c>
    </row>
    <row r="563" spans="1:11" x14ac:dyDescent="0.3">
      <c r="A563" s="48"/>
      <c r="B563" s="116" t="s">
        <v>1191</v>
      </c>
      <c r="C563" s="48"/>
      <c r="D563" s="119">
        <f>'2025_03_28 Boom Pricing'!$E$10+'2025_03_28 Boom Pricing'!$E$43+'2025_03_28 Boom Pricing'!$E$50+'2025_03_28 Boom Pricing'!$E$23</f>
        <v>31924.880000000005</v>
      </c>
      <c r="E563" s="117">
        <f t="shared" si="20"/>
        <v>15962.440000000002</v>
      </c>
      <c r="K563" s="58">
        <f t="shared" si="21"/>
        <v>25338.666666666668</v>
      </c>
    </row>
    <row r="564" spans="1:11" x14ac:dyDescent="0.3">
      <c r="B564" s="70" t="s">
        <v>1193</v>
      </c>
      <c r="D564" s="42">
        <f>'2025_03_28 Boom Pricing'!$E$10+'2025_03_28 Boom Pricing'!$E$38+'2025_03_28 Boom Pricing'!$E$50+'2025_03_28 Boom Pricing'!$E$24</f>
        <v>30607.813333333335</v>
      </c>
      <c r="E564" s="115">
        <f t="shared" si="20"/>
        <v>15303.906666666668</v>
      </c>
      <c r="K564" s="58">
        <f t="shared" si="21"/>
        <v>25338.666666666668</v>
      </c>
    </row>
    <row r="565" spans="1:11" x14ac:dyDescent="0.3">
      <c r="B565" s="70" t="s">
        <v>1195</v>
      </c>
      <c r="D565" s="42">
        <f>'2025_03_28 Boom Pricing'!$E$10+'2025_03_28 Boom Pricing'!$E$39+'2025_03_28 Boom Pricing'!$E$50+'2025_03_28 Boom Pricing'!$E$24</f>
        <v>30607.813333333335</v>
      </c>
      <c r="E565" s="115">
        <f t="shared" si="20"/>
        <v>15303.906666666668</v>
      </c>
      <c r="K565" s="58">
        <f t="shared" si="21"/>
        <v>26134.440000000002</v>
      </c>
    </row>
    <row r="566" spans="1:11" x14ac:dyDescent="0.3">
      <c r="B566" s="70" t="s">
        <v>1197</v>
      </c>
      <c r="D566" s="42">
        <f>'2025_03_28 Boom Pricing'!$E$10+'2025_03_28 Boom Pricing'!$E$40+'2025_03_28 Boom Pricing'!$E$50+'2025_03_28 Boom Pricing'!$E$24</f>
        <v>30607.813333333335</v>
      </c>
      <c r="E566" s="115">
        <f t="shared" si="20"/>
        <v>15303.906666666668</v>
      </c>
      <c r="K566" s="58">
        <f t="shared" si="21"/>
        <v>26984.653333333335</v>
      </c>
    </row>
    <row r="567" spans="1:11" x14ac:dyDescent="0.3">
      <c r="B567" s="70" t="s">
        <v>1199</v>
      </c>
      <c r="D567" s="42">
        <f>'2025_03_28 Boom Pricing'!$E$10+'2025_03_28 Boom Pricing'!$E$41+'2025_03_28 Boom Pricing'!$E$50+'2025_03_28 Boom Pricing'!$E$24</f>
        <v>30607.813333333335</v>
      </c>
      <c r="E567" s="115">
        <f t="shared" si="20"/>
        <v>15303.906666666668</v>
      </c>
      <c r="K567" s="58">
        <f t="shared" si="21"/>
        <v>25338.666666666668</v>
      </c>
    </row>
    <row r="568" spans="1:11" x14ac:dyDescent="0.3">
      <c r="B568" s="70" t="s">
        <v>1201</v>
      </c>
      <c r="D568" s="42">
        <f>'2025_03_28 Boom Pricing'!$E$10+'2025_03_28 Boom Pricing'!$E$42+'2025_03_28 Boom Pricing'!$E$50+'2025_03_28 Boom Pricing'!$E$24</f>
        <v>32199.360000000001</v>
      </c>
      <c r="E568" s="115">
        <f t="shared" si="20"/>
        <v>16099.68</v>
      </c>
      <c r="K568" s="65"/>
    </row>
    <row r="569" spans="1:11" x14ac:dyDescent="0.3">
      <c r="A569" s="48"/>
      <c r="B569" s="116" t="s">
        <v>1203</v>
      </c>
      <c r="C569" s="48"/>
      <c r="D569" s="119">
        <f>'2025_03_28 Boom Pricing'!$E$10+'2025_03_28 Boom Pricing'!$E$43+'2025_03_28 Boom Pricing'!$E$50+'2025_03_28 Boom Pricing'!$E$24</f>
        <v>33899.786666666667</v>
      </c>
      <c r="E569" s="117">
        <f t="shared" si="20"/>
        <v>16949.893333333333</v>
      </c>
    </row>
    <row r="570" spans="1:11" x14ac:dyDescent="0.3">
      <c r="B570" s="70" t="s">
        <v>1205</v>
      </c>
      <c r="D570" s="42">
        <f>'2025_03_28 Boom Pricing'!$E$10+'2025_03_28 Boom Pricing'!$E$38+'2025_03_28 Boom Pricing'!$E$50+'2025_03_28 Boom Pricing'!$E$25</f>
        <v>32587.653333333335</v>
      </c>
      <c r="E570" s="115">
        <f t="shared" si="20"/>
        <v>16293.826666666668</v>
      </c>
    </row>
    <row r="571" spans="1:11" x14ac:dyDescent="0.3">
      <c r="B571" s="70" t="s">
        <v>1207</v>
      </c>
      <c r="D571" s="42">
        <f>'2025_03_28 Boom Pricing'!$E$10+'2025_03_28 Boom Pricing'!$E$39+'2025_03_28 Boom Pricing'!$E$50+'2025_03_28 Boom Pricing'!$E$25</f>
        <v>32587.653333333335</v>
      </c>
      <c r="E571" s="115">
        <f t="shared" si="20"/>
        <v>16293.826666666668</v>
      </c>
    </row>
    <row r="572" spans="1:11" x14ac:dyDescent="0.3">
      <c r="B572" s="70" t="s">
        <v>1209</v>
      </c>
      <c r="D572" s="42">
        <f>'2025_03_28 Boom Pricing'!$E$10+'2025_03_28 Boom Pricing'!$E$40+'2025_03_28 Boom Pricing'!$E$50+'2025_03_28 Boom Pricing'!$E$25</f>
        <v>32587.653333333335</v>
      </c>
      <c r="E572" s="115">
        <f t="shared" si="20"/>
        <v>16293.826666666668</v>
      </c>
    </row>
    <row r="573" spans="1:11" x14ac:dyDescent="0.3">
      <c r="B573" s="70" t="s">
        <v>1211</v>
      </c>
      <c r="D573" s="42">
        <f>'2025_03_28 Boom Pricing'!$E$10+'2025_03_28 Boom Pricing'!$E$41+'2025_03_28 Boom Pricing'!$E$50+'2025_03_28 Boom Pricing'!$E$25</f>
        <v>32587.653333333335</v>
      </c>
      <c r="E573" s="115">
        <f t="shared" si="20"/>
        <v>16293.826666666668</v>
      </c>
      <c r="K573" s="58"/>
    </row>
    <row r="574" spans="1:11" x14ac:dyDescent="0.3">
      <c r="B574" s="70" t="s">
        <v>1213</v>
      </c>
      <c r="D574" s="42">
        <f>'2025_03_28 Boom Pricing'!$E$10+'2025_03_28 Boom Pricing'!$E$42+'2025_03_28 Boom Pricing'!$E$50+'2025_03_28 Boom Pricing'!$E$25</f>
        <v>34179.200000000004</v>
      </c>
      <c r="E574" s="115">
        <f t="shared" si="20"/>
        <v>17089.600000000002</v>
      </c>
      <c r="K574" s="58">
        <f>D666*(1-0.5)</f>
        <v>0</v>
      </c>
    </row>
    <row r="575" spans="1:11" x14ac:dyDescent="0.3">
      <c r="A575" s="48"/>
      <c r="B575" s="116" t="s">
        <v>1215</v>
      </c>
      <c r="C575" s="48"/>
      <c r="D575" s="119">
        <f>'2025_03_28 Boom Pricing'!$E$10+'2025_03_28 Boom Pricing'!$E$43+'2025_03_28 Boom Pricing'!$E$50+'2025_03_28 Boom Pricing'!$E$25</f>
        <v>35879.626666666671</v>
      </c>
      <c r="E575" s="117">
        <f t="shared" si="20"/>
        <v>17939.813333333335</v>
      </c>
      <c r="K575" s="58">
        <f>D667*(1-0.5)</f>
        <v>125.90666666666706</v>
      </c>
    </row>
    <row r="576" spans="1:11" x14ac:dyDescent="0.3">
      <c r="B576" s="70" t="s">
        <v>1217</v>
      </c>
      <c r="D576" s="42">
        <f>'2025_03_28 Boom Pricing'!$E$10+'2025_03_28 Boom Pricing'!$E$38+'2025_03_28 Boom Pricing'!$E$50+'2025_03_28 Boom Pricing'!$E$26</f>
        <v>34626.773333333331</v>
      </c>
      <c r="E576" s="115">
        <f t="shared" si="20"/>
        <v>17313.386666666665</v>
      </c>
      <c r="K576" s="58">
        <f>D668*(1-0.5)</f>
        <v>246.86666666666622</v>
      </c>
    </row>
    <row r="577" spans="1:11" x14ac:dyDescent="0.3">
      <c r="B577" s="70" t="s">
        <v>1219</v>
      </c>
      <c r="D577" s="42">
        <f>'2025_03_28 Boom Pricing'!$E$10+'2025_03_28 Boom Pricing'!$E$39+'2025_03_28 Boom Pricing'!$E$50+'2025_03_28 Boom Pricing'!$E$26</f>
        <v>34626.773333333331</v>
      </c>
      <c r="E577" s="115">
        <f t="shared" si="20"/>
        <v>17313.386666666665</v>
      </c>
      <c r="K577" s="58"/>
    </row>
    <row r="578" spans="1:11" x14ac:dyDescent="0.3">
      <c r="B578" s="70" t="s">
        <v>1221</v>
      </c>
      <c r="D578" s="42">
        <f>'2025_03_28 Boom Pricing'!$E$10+'2025_03_28 Boom Pricing'!$E$40+'2025_03_28 Boom Pricing'!$E$50+'2025_03_28 Boom Pricing'!$E$26</f>
        <v>34626.773333333331</v>
      </c>
      <c r="E578" s="115">
        <f t="shared" si="20"/>
        <v>17313.386666666665</v>
      </c>
      <c r="K578" s="58">
        <f>D670*(1-0.5)</f>
        <v>0</v>
      </c>
    </row>
    <row r="579" spans="1:11" x14ac:dyDescent="0.3">
      <c r="B579" s="70" t="s">
        <v>1223</v>
      </c>
      <c r="D579" s="42">
        <f>'2025_03_28 Boom Pricing'!$E$10+'2025_03_28 Boom Pricing'!$E$41+'2025_03_28 Boom Pricing'!$E$50+'2025_03_28 Boom Pricing'!$E$26</f>
        <v>34626.773333333331</v>
      </c>
      <c r="E579" s="115">
        <f t="shared" si="20"/>
        <v>17313.386666666665</v>
      </c>
      <c r="K579" s="58">
        <f>D671*(1-0.5)</f>
        <v>254.2666666666652</v>
      </c>
    </row>
    <row r="580" spans="1:11" x14ac:dyDescent="0.3">
      <c r="B580" s="70" t="s">
        <v>1225</v>
      </c>
      <c r="D580" s="42">
        <f>'2025_03_28 Boom Pricing'!$E$10+'2025_03_28 Boom Pricing'!$E$42+'2025_03_28 Boom Pricing'!$E$50+'2025_03_28 Boom Pricing'!$E$26</f>
        <v>36218.32</v>
      </c>
      <c r="E580" s="115">
        <f t="shared" si="20"/>
        <v>18109.16</v>
      </c>
      <c r="K580" s="58">
        <f>D672*(1-0.5)</f>
        <v>607.29333333333261</v>
      </c>
    </row>
    <row r="581" spans="1:11" x14ac:dyDescent="0.3">
      <c r="A581" s="48"/>
      <c r="B581" s="116" t="s">
        <v>1227</v>
      </c>
      <c r="C581" s="48"/>
      <c r="D581" s="119">
        <f>'2025_03_28 Boom Pricing'!$E$10+'2025_03_28 Boom Pricing'!$E$43+'2025_03_28 Boom Pricing'!$E$50+'2025_03_28 Boom Pricing'!$E$26</f>
        <v>37918.746666666666</v>
      </c>
      <c r="E581" s="117">
        <f t="shared" si="20"/>
        <v>18959.373333333333</v>
      </c>
      <c r="K581" s="58"/>
    </row>
    <row r="582" spans="1:11" x14ac:dyDescent="0.3">
      <c r="B582" s="70" t="s">
        <v>1229</v>
      </c>
      <c r="D582" s="42">
        <f>'2025_03_28 Boom Pricing'!$E$10+'2025_03_28 Boom Pricing'!$E$38+'2025_03_28 Boom Pricing'!$E$50+'2025_03_28 Boom Pricing'!$E$27</f>
        <v>36660.933333333334</v>
      </c>
      <c r="E582" s="115">
        <f t="shared" si="20"/>
        <v>18330.466666666667</v>
      </c>
      <c r="K582" s="58">
        <f>D674*(1-0.5)</f>
        <v>395</v>
      </c>
    </row>
    <row r="583" spans="1:11" x14ac:dyDescent="0.3">
      <c r="B583" s="70" t="s">
        <v>1231</v>
      </c>
      <c r="D583" s="42">
        <f>'2025_03_28 Boom Pricing'!$E$10+'2025_03_28 Boom Pricing'!$E$39+'2025_03_28 Boom Pricing'!$E$50+'2025_03_28 Boom Pricing'!$E$27</f>
        <v>36660.933333333334</v>
      </c>
      <c r="E583" s="115">
        <f t="shared" si="20"/>
        <v>18330.466666666667</v>
      </c>
      <c r="K583" s="58">
        <f>D675*(1-0.5)</f>
        <v>271.56000000000012</v>
      </c>
    </row>
    <row r="584" spans="1:11" x14ac:dyDescent="0.3">
      <c r="B584" s="70" t="s">
        <v>1233</v>
      </c>
      <c r="D584" s="42">
        <f>'2025_03_28 Boom Pricing'!$E$10+'2025_03_28 Boom Pricing'!$E$40+'2025_03_28 Boom Pricing'!$E$50+'2025_03_28 Boom Pricing'!$E$27</f>
        <v>36660.933333333334</v>
      </c>
      <c r="E584" s="115">
        <f t="shared" si="20"/>
        <v>18330.466666666667</v>
      </c>
      <c r="K584" s="58">
        <f>D676*(1-0.5)</f>
        <v>498.66666666666669</v>
      </c>
    </row>
    <row r="585" spans="1:11" x14ac:dyDescent="0.3">
      <c r="B585" s="70" t="s">
        <v>1235</v>
      </c>
      <c r="D585" s="42">
        <f>'2025_03_28 Boom Pricing'!$E$10+'2025_03_28 Boom Pricing'!$E$41+'2025_03_28 Boom Pricing'!$E$50+'2025_03_28 Boom Pricing'!$E$27</f>
        <v>36660.933333333334</v>
      </c>
      <c r="E585" s="115">
        <f t="shared" si="20"/>
        <v>18330.466666666667</v>
      </c>
      <c r="K585" s="58">
        <f>D677*(1-0.5)</f>
        <v>0</v>
      </c>
    </row>
    <row r="586" spans="1:11" x14ac:dyDescent="0.3">
      <c r="B586" s="70" t="s">
        <v>1237</v>
      </c>
      <c r="D586" s="42">
        <f>'2025_03_28 Boom Pricing'!$E$10+'2025_03_28 Boom Pricing'!$E$42+'2025_03_28 Boom Pricing'!$E$50+'2025_03_28 Boom Pricing'!$E$27</f>
        <v>38252.479999999996</v>
      </c>
      <c r="E586" s="115">
        <f t="shared" si="20"/>
        <v>19126.239999999998</v>
      </c>
      <c r="K586" s="58"/>
    </row>
    <row r="587" spans="1:11" ht="16.2" thickBot="1" x14ac:dyDescent="0.35">
      <c r="A587" s="133"/>
      <c r="B587" s="134" t="s">
        <v>1239</v>
      </c>
      <c r="C587" s="133"/>
      <c r="D587" s="135">
        <f>'2025_03_28 Boom Pricing'!$E$10+'2025_03_28 Boom Pricing'!$E$43+'2025_03_28 Boom Pricing'!$E$50+'2025_03_28 Boom Pricing'!$E$27</f>
        <v>39952.906666666662</v>
      </c>
      <c r="E587" s="136">
        <f t="shared" si="20"/>
        <v>19976.453333333331</v>
      </c>
      <c r="K587" s="58">
        <f t="shared" ref="K587:K593" si="22">D679*(1-0.5)</f>
        <v>1052.9599999999991</v>
      </c>
    </row>
    <row r="588" spans="1:11" x14ac:dyDescent="0.3">
      <c r="B588" s="70" t="s">
        <v>1241</v>
      </c>
      <c r="D588" s="42">
        <f>'2025_03_28 Boom Pricing'!$E$10+'2025_03_28 Boom Pricing'!$E$38+'2025_03_28 Boom Pricing'!$E$51+'2025_03_28 Boom Pricing'!$E$23</f>
        <v>28632.906666666673</v>
      </c>
      <c r="E588" s="115">
        <f t="shared" si="20"/>
        <v>14316.453333333337</v>
      </c>
      <c r="K588" s="58">
        <f t="shared" si="22"/>
        <v>385.10666666666663</v>
      </c>
    </row>
    <row r="589" spans="1:11" x14ac:dyDescent="0.3">
      <c r="B589" s="70" t="s">
        <v>1243</v>
      </c>
      <c r="D589" s="42">
        <f>'2025_03_28 Boom Pricing'!$E$10+'2025_03_28 Boom Pricing'!$E$39+'2025_03_28 Boom Pricing'!$E$51+'2025_03_28 Boom Pricing'!$E$23</f>
        <v>28632.906666666673</v>
      </c>
      <c r="E589" s="115">
        <f t="shared" si="20"/>
        <v>14316.453333333337</v>
      </c>
      <c r="K589" s="58">
        <f t="shared" si="22"/>
        <v>0</v>
      </c>
    </row>
    <row r="590" spans="1:11" x14ac:dyDescent="0.3">
      <c r="B590" s="70" t="s">
        <v>1245</v>
      </c>
      <c r="D590" s="42">
        <f>'2025_03_28 Boom Pricing'!$E$10+'2025_03_28 Boom Pricing'!$E$40+'2025_03_28 Boom Pricing'!$E$51+'2025_03_28 Boom Pricing'!$E$23</f>
        <v>28632.906666666673</v>
      </c>
      <c r="E590" s="115">
        <f t="shared" si="20"/>
        <v>14316.453333333337</v>
      </c>
      <c r="K590" s="58">
        <f t="shared" si="22"/>
        <v>0</v>
      </c>
    </row>
    <row r="591" spans="1:11" x14ac:dyDescent="0.3">
      <c r="B591" s="70" t="s">
        <v>1247</v>
      </c>
      <c r="D591" s="42">
        <f>'2025_03_28 Boom Pricing'!$E$10+'2025_03_28 Boom Pricing'!$E$41+'2025_03_28 Boom Pricing'!$E$51+'2025_03_28 Boom Pricing'!$E$23</f>
        <v>28632.906666666673</v>
      </c>
      <c r="E591" s="115">
        <f t="shared" si="20"/>
        <v>14316.453333333337</v>
      </c>
      <c r="K591" s="58">
        <f t="shared" si="22"/>
        <v>672.31111111110988</v>
      </c>
    </row>
    <row r="592" spans="1:11" x14ac:dyDescent="0.3">
      <c r="B592" s="70" t="s">
        <v>1249</v>
      </c>
      <c r="D592" s="42">
        <f>'2025_03_28 Boom Pricing'!$E$10+'2025_03_28 Boom Pricing'!$E$42+'2025_03_28 Boom Pricing'!$E$51+'2025_03_28 Boom Pricing'!$E$23</f>
        <v>30224.453333333338</v>
      </c>
      <c r="E592" s="115">
        <f t="shared" si="20"/>
        <v>15112.226666666669</v>
      </c>
      <c r="K592" s="58">
        <f t="shared" si="22"/>
        <v>1022.8577777777763</v>
      </c>
    </row>
    <row r="593" spans="1:11" x14ac:dyDescent="0.3">
      <c r="A593" s="48"/>
      <c r="B593" s="116" t="s">
        <v>1251</v>
      </c>
      <c r="C593" s="48"/>
      <c r="D593" s="119">
        <f>'2025_03_28 Boom Pricing'!$E$10+'2025_03_28 Boom Pricing'!$E$43+'2025_03_28 Boom Pricing'!$E$51+'2025_03_28 Boom Pricing'!$E$23</f>
        <v>31924.880000000005</v>
      </c>
      <c r="E593" s="117">
        <f t="shared" si="20"/>
        <v>15962.440000000002</v>
      </c>
      <c r="K593" s="58">
        <f t="shared" si="22"/>
        <v>116.02666666666727</v>
      </c>
    </row>
    <row r="594" spans="1:11" x14ac:dyDescent="0.3">
      <c r="B594" s="70" t="s">
        <v>1253</v>
      </c>
      <c r="D594" s="42">
        <f>'2025_03_28 Boom Pricing'!$E$10+'2025_03_28 Boom Pricing'!$E$38+'2025_03_28 Boom Pricing'!$E$51+'2025_03_28 Boom Pricing'!$E$24</f>
        <v>30607.813333333335</v>
      </c>
      <c r="E594" s="115">
        <f t="shared" si="20"/>
        <v>15303.906666666668</v>
      </c>
    </row>
    <row r="595" spans="1:11" x14ac:dyDescent="0.3">
      <c r="B595" s="70" t="s">
        <v>1255</v>
      </c>
      <c r="D595" s="42">
        <f>'2025_03_28 Boom Pricing'!$E$10+'2025_03_28 Boom Pricing'!$E$39+'2025_03_28 Boom Pricing'!$E$51+'2025_03_28 Boom Pricing'!$E$24</f>
        <v>30607.813333333335</v>
      </c>
      <c r="E595" s="115">
        <f t="shared" si="20"/>
        <v>15303.906666666668</v>
      </c>
    </row>
    <row r="596" spans="1:11" x14ac:dyDescent="0.3">
      <c r="B596" s="70" t="s">
        <v>1257</v>
      </c>
      <c r="D596" s="42">
        <f>'2025_03_28 Boom Pricing'!$E$10+'2025_03_28 Boom Pricing'!$E$40+'2025_03_28 Boom Pricing'!$E$51+'2025_03_28 Boom Pricing'!$E$24</f>
        <v>30607.813333333335</v>
      </c>
      <c r="E596" s="115">
        <f t="shared" ref="E596:E647" si="23">D596*(1-0.5)</f>
        <v>15303.906666666668</v>
      </c>
    </row>
    <row r="597" spans="1:11" x14ac:dyDescent="0.3">
      <c r="B597" s="70" t="s">
        <v>1259</v>
      </c>
      <c r="D597" s="42">
        <f>'2025_03_28 Boom Pricing'!$E$10+'2025_03_28 Boom Pricing'!$E$41+'2025_03_28 Boom Pricing'!$E$51+'2025_03_28 Boom Pricing'!$E$24</f>
        <v>30607.813333333335</v>
      </c>
      <c r="E597" s="115">
        <f t="shared" si="23"/>
        <v>15303.906666666668</v>
      </c>
    </row>
    <row r="598" spans="1:11" x14ac:dyDescent="0.3">
      <c r="B598" s="70" t="s">
        <v>1261</v>
      </c>
      <c r="D598" s="42">
        <f>'2025_03_28 Boom Pricing'!$E$10+'2025_03_28 Boom Pricing'!$E$42+'2025_03_28 Boom Pricing'!$E$51+'2025_03_28 Boom Pricing'!$E$24</f>
        <v>32199.360000000001</v>
      </c>
      <c r="E598" s="115">
        <f t="shared" si="23"/>
        <v>16099.68</v>
      </c>
    </row>
    <row r="599" spans="1:11" x14ac:dyDescent="0.3">
      <c r="A599" s="48"/>
      <c r="B599" s="116" t="s">
        <v>1263</v>
      </c>
      <c r="C599" s="48"/>
      <c r="D599" s="119">
        <f>'2025_03_28 Boom Pricing'!$E$10+'2025_03_28 Boom Pricing'!$E$43+'2025_03_28 Boom Pricing'!$E$51+'2025_03_28 Boom Pricing'!$E$24</f>
        <v>33899.786666666667</v>
      </c>
      <c r="E599" s="117">
        <f t="shared" si="23"/>
        <v>16949.893333333333</v>
      </c>
    </row>
    <row r="600" spans="1:11" x14ac:dyDescent="0.3">
      <c r="B600" s="70" t="s">
        <v>1265</v>
      </c>
      <c r="D600" s="42">
        <f>'2025_03_28 Boom Pricing'!$E$10+'2025_03_28 Boom Pricing'!$E$38+'2025_03_28 Boom Pricing'!$E$51+'2025_03_28 Boom Pricing'!$E$25</f>
        <v>32587.653333333335</v>
      </c>
      <c r="E600" s="115">
        <f t="shared" si="23"/>
        <v>16293.826666666668</v>
      </c>
    </row>
    <row r="601" spans="1:11" x14ac:dyDescent="0.3">
      <c r="B601" s="70" t="s">
        <v>1267</v>
      </c>
      <c r="D601" s="42">
        <f>'2025_03_28 Boom Pricing'!$E$10+'2025_03_28 Boom Pricing'!$E$39+'2025_03_28 Boom Pricing'!$E$51+'2025_03_28 Boom Pricing'!$E$25</f>
        <v>32587.653333333335</v>
      </c>
      <c r="E601" s="115">
        <f t="shared" si="23"/>
        <v>16293.826666666668</v>
      </c>
    </row>
    <row r="602" spans="1:11" x14ac:dyDescent="0.3">
      <c r="B602" s="70" t="s">
        <v>1269</v>
      </c>
      <c r="D602" s="42">
        <f>'2025_03_28 Boom Pricing'!$E$10+'2025_03_28 Boom Pricing'!$E$40+'2025_03_28 Boom Pricing'!$E$51+'2025_03_28 Boom Pricing'!$E$25</f>
        <v>32587.653333333335</v>
      </c>
      <c r="E602" s="115">
        <f t="shared" si="23"/>
        <v>16293.826666666668</v>
      </c>
    </row>
    <row r="603" spans="1:11" x14ac:dyDescent="0.3">
      <c r="B603" s="70" t="s">
        <v>1271</v>
      </c>
      <c r="D603" s="42">
        <f>'2025_03_28 Boom Pricing'!$E$10+'2025_03_28 Boom Pricing'!$E$41+'2025_03_28 Boom Pricing'!$E$51+'2025_03_28 Boom Pricing'!$E$25</f>
        <v>32587.653333333335</v>
      </c>
      <c r="E603" s="115">
        <f t="shared" si="23"/>
        <v>16293.826666666668</v>
      </c>
    </row>
    <row r="604" spans="1:11" x14ac:dyDescent="0.3">
      <c r="B604" s="70" t="s">
        <v>1273</v>
      </c>
      <c r="D604" s="42">
        <f>'2025_03_28 Boom Pricing'!$E$10+'2025_03_28 Boom Pricing'!$E$42+'2025_03_28 Boom Pricing'!$E$51+'2025_03_28 Boom Pricing'!$E$25</f>
        <v>34179.200000000004</v>
      </c>
      <c r="E604" s="115">
        <f t="shared" si="23"/>
        <v>17089.600000000002</v>
      </c>
    </row>
    <row r="605" spans="1:11" x14ac:dyDescent="0.3">
      <c r="A605" s="48"/>
      <c r="B605" s="116" t="s">
        <v>1275</v>
      </c>
      <c r="C605" s="48"/>
      <c r="D605" s="119">
        <f>'2025_03_28 Boom Pricing'!$E$10+'2025_03_28 Boom Pricing'!$E$43+'2025_03_28 Boom Pricing'!$E$51+'2025_03_28 Boom Pricing'!$E$25</f>
        <v>35879.626666666671</v>
      </c>
      <c r="E605" s="117">
        <f t="shared" si="23"/>
        <v>17939.813333333335</v>
      </c>
    </row>
    <row r="606" spans="1:11" x14ac:dyDescent="0.3">
      <c r="B606" s="70" t="s">
        <v>1277</v>
      </c>
      <c r="D606" s="105">
        <f>'2025_03_28 Boom Pricing'!$E$10+'2025_03_28 Boom Pricing'!$E$38+'2025_03_28 Boom Pricing'!$E$51+'2025_03_28 Boom Pricing'!$E$26</f>
        <v>34626.773333333331</v>
      </c>
      <c r="E606" s="115">
        <f t="shared" si="23"/>
        <v>17313.386666666665</v>
      </c>
    </row>
    <row r="607" spans="1:11" x14ac:dyDescent="0.3">
      <c r="B607" s="70" t="s">
        <v>1279</v>
      </c>
      <c r="D607" s="105">
        <f>'2025_03_28 Boom Pricing'!$E$10+'2025_03_28 Boom Pricing'!$E$39+'2025_03_28 Boom Pricing'!$E$51+'2025_03_28 Boom Pricing'!$E$26</f>
        <v>34626.773333333331</v>
      </c>
      <c r="E607" s="115">
        <f t="shared" si="23"/>
        <v>17313.386666666665</v>
      </c>
    </row>
    <row r="608" spans="1:11" x14ac:dyDescent="0.3">
      <c r="B608" s="70" t="s">
        <v>1281</v>
      </c>
      <c r="D608" s="105">
        <f>'2025_03_28 Boom Pricing'!$E$10+'2025_03_28 Boom Pricing'!$E$40+'2025_03_28 Boom Pricing'!$E$51+'2025_03_28 Boom Pricing'!$E$26</f>
        <v>34626.773333333331</v>
      </c>
      <c r="E608" s="115">
        <f t="shared" si="23"/>
        <v>17313.386666666665</v>
      </c>
    </row>
    <row r="609" spans="1:5" x14ac:dyDescent="0.3">
      <c r="B609" s="70" t="s">
        <v>1283</v>
      </c>
      <c r="D609" s="105">
        <f>'2025_03_28 Boom Pricing'!$E$10+'2025_03_28 Boom Pricing'!$E$41+'2025_03_28 Boom Pricing'!$E$51+'2025_03_28 Boom Pricing'!$E$26</f>
        <v>34626.773333333331</v>
      </c>
      <c r="E609" s="115">
        <f t="shared" si="23"/>
        <v>17313.386666666665</v>
      </c>
    </row>
    <row r="610" spans="1:5" x14ac:dyDescent="0.3">
      <c r="B610" s="70" t="s">
        <v>1285</v>
      </c>
      <c r="D610" s="105">
        <f>'2025_03_28 Boom Pricing'!$E$10+'2025_03_28 Boom Pricing'!$E$42+'2025_03_28 Boom Pricing'!$E$51+'2025_03_28 Boom Pricing'!$E$26</f>
        <v>36218.32</v>
      </c>
      <c r="E610" s="115">
        <f t="shared" si="23"/>
        <v>18109.16</v>
      </c>
    </row>
    <row r="611" spans="1:5" x14ac:dyDescent="0.3">
      <c r="A611" s="48"/>
      <c r="B611" s="116" t="s">
        <v>1287</v>
      </c>
      <c r="C611" s="48"/>
      <c r="D611" s="138">
        <f>'2025_03_28 Boom Pricing'!$E$10+'2025_03_28 Boom Pricing'!$E$43+'2025_03_28 Boom Pricing'!$E$51+'2025_03_28 Boom Pricing'!$E$26</f>
        <v>37918.746666666666</v>
      </c>
      <c r="E611" s="117">
        <f t="shared" si="23"/>
        <v>18959.373333333333</v>
      </c>
    </row>
    <row r="612" spans="1:5" x14ac:dyDescent="0.3">
      <c r="B612" s="70" t="s">
        <v>1289</v>
      </c>
      <c r="D612" s="42">
        <f>'2025_03_28 Boom Pricing'!$E$10+'2025_03_28 Boom Pricing'!$E$38+'2025_03_28 Boom Pricing'!$E$51+'2025_03_28 Boom Pricing'!$E$27</f>
        <v>36660.933333333334</v>
      </c>
      <c r="E612" s="115">
        <f t="shared" si="23"/>
        <v>18330.466666666667</v>
      </c>
    </row>
    <row r="613" spans="1:5" x14ac:dyDescent="0.3">
      <c r="B613" s="70" t="s">
        <v>1291</v>
      </c>
      <c r="D613" s="42">
        <f>'2025_03_28 Boom Pricing'!$E$10+'2025_03_28 Boom Pricing'!$E$39+'2025_03_28 Boom Pricing'!$E$51+'2025_03_28 Boom Pricing'!$E$27</f>
        <v>36660.933333333334</v>
      </c>
      <c r="E613" s="115">
        <f t="shared" si="23"/>
        <v>18330.466666666667</v>
      </c>
    </row>
    <row r="614" spans="1:5" x14ac:dyDescent="0.3">
      <c r="B614" s="70" t="s">
        <v>1293</v>
      </c>
      <c r="D614" s="42">
        <f>'2025_03_28 Boom Pricing'!$E$10+'2025_03_28 Boom Pricing'!$E$40+'2025_03_28 Boom Pricing'!$E$51+'2025_03_28 Boom Pricing'!$E$27</f>
        <v>36660.933333333334</v>
      </c>
      <c r="E614" s="115">
        <f t="shared" si="23"/>
        <v>18330.466666666667</v>
      </c>
    </row>
    <row r="615" spans="1:5" x14ac:dyDescent="0.3">
      <c r="B615" s="70" t="s">
        <v>1295</v>
      </c>
      <c r="D615" s="42">
        <f>'2025_03_28 Boom Pricing'!$E$10+'2025_03_28 Boom Pricing'!$E$41+'2025_03_28 Boom Pricing'!$E$51+'2025_03_28 Boom Pricing'!$E$27</f>
        <v>36660.933333333334</v>
      </c>
      <c r="E615" s="115">
        <f t="shared" si="23"/>
        <v>18330.466666666667</v>
      </c>
    </row>
    <row r="616" spans="1:5" x14ac:dyDescent="0.3">
      <c r="B616" s="70" t="s">
        <v>1297</v>
      </c>
      <c r="D616" s="42">
        <f>'2025_03_28 Boom Pricing'!$E$10+'2025_03_28 Boom Pricing'!$E$42+'2025_03_28 Boom Pricing'!$E$51+'2025_03_28 Boom Pricing'!$E$27</f>
        <v>38252.479999999996</v>
      </c>
      <c r="E616" s="115">
        <f t="shared" si="23"/>
        <v>19126.239999999998</v>
      </c>
    </row>
    <row r="617" spans="1:5" ht="16.2" thickBot="1" x14ac:dyDescent="0.35">
      <c r="A617" s="133"/>
      <c r="B617" s="134" t="s">
        <v>1299</v>
      </c>
      <c r="C617" s="133"/>
      <c r="D617" s="135">
        <f>'2025_03_28 Boom Pricing'!$E$10+'2025_03_28 Boom Pricing'!$E$43+'2025_03_28 Boom Pricing'!$E$51+'2025_03_28 Boom Pricing'!$E$27</f>
        <v>39952.906666666662</v>
      </c>
      <c r="E617" s="136">
        <f t="shared" si="23"/>
        <v>19976.453333333331</v>
      </c>
    </row>
    <row r="618" spans="1:5" x14ac:dyDescent="0.3">
      <c r="B618" s="70" t="s">
        <v>1301</v>
      </c>
      <c r="D618" s="42">
        <f>'2025_03_28 Boom Pricing'!$E$10+'2025_03_28 Boom Pricing'!$E$38+'2025_03_28 Boom Pricing'!$E$52+'2025_03_28 Boom Pricing'!$E$23</f>
        <v>28632.906666666673</v>
      </c>
      <c r="E618" s="115">
        <f t="shared" si="23"/>
        <v>14316.453333333337</v>
      </c>
    </row>
    <row r="619" spans="1:5" x14ac:dyDescent="0.3">
      <c r="B619" s="70" t="s">
        <v>1303</v>
      </c>
      <c r="D619" s="42">
        <f>'2025_03_28 Boom Pricing'!$E$10+'2025_03_28 Boom Pricing'!$E$39+'2025_03_28 Boom Pricing'!$E$52+'2025_03_28 Boom Pricing'!$E$23</f>
        <v>28632.906666666673</v>
      </c>
      <c r="E619" s="115">
        <f t="shared" si="23"/>
        <v>14316.453333333337</v>
      </c>
    </row>
    <row r="620" spans="1:5" x14ac:dyDescent="0.3">
      <c r="B620" s="70" t="s">
        <v>1305</v>
      </c>
      <c r="D620" s="42">
        <f>'2025_03_28 Boom Pricing'!$E$10+'2025_03_28 Boom Pricing'!$E$40+'2025_03_28 Boom Pricing'!$E$52+'2025_03_28 Boom Pricing'!$E$23</f>
        <v>28632.906666666673</v>
      </c>
      <c r="E620" s="115">
        <f t="shared" si="23"/>
        <v>14316.453333333337</v>
      </c>
    </row>
    <row r="621" spans="1:5" x14ac:dyDescent="0.3">
      <c r="B621" s="70" t="s">
        <v>1307</v>
      </c>
      <c r="D621" s="42">
        <f>'2025_03_28 Boom Pricing'!$E$10+'2025_03_28 Boom Pricing'!$E$41+'2025_03_28 Boom Pricing'!$E$52+'2025_03_28 Boom Pricing'!$E$23</f>
        <v>28632.906666666673</v>
      </c>
      <c r="E621" s="115">
        <f t="shared" si="23"/>
        <v>14316.453333333337</v>
      </c>
    </row>
    <row r="622" spans="1:5" x14ac:dyDescent="0.3">
      <c r="B622" s="70" t="s">
        <v>1309</v>
      </c>
      <c r="D622" s="42">
        <f>'2025_03_28 Boom Pricing'!$E$10+'2025_03_28 Boom Pricing'!$E$42+'2025_03_28 Boom Pricing'!$E$52+'2025_03_28 Boom Pricing'!$E$23</f>
        <v>30224.453333333338</v>
      </c>
      <c r="E622" s="115">
        <f t="shared" si="23"/>
        <v>15112.226666666669</v>
      </c>
    </row>
    <row r="623" spans="1:5" x14ac:dyDescent="0.3">
      <c r="A623" s="48"/>
      <c r="B623" s="116" t="s">
        <v>1311</v>
      </c>
      <c r="C623" s="48"/>
      <c r="D623" s="119">
        <f>'2025_03_28 Boom Pricing'!$E$10+'2025_03_28 Boom Pricing'!$E$43+'2025_03_28 Boom Pricing'!$E$52+'2025_03_28 Boom Pricing'!$E$23</f>
        <v>31924.880000000005</v>
      </c>
      <c r="E623" s="117">
        <f t="shared" si="23"/>
        <v>15962.440000000002</v>
      </c>
    </row>
    <row r="624" spans="1:5" x14ac:dyDescent="0.3">
      <c r="B624" s="70" t="s">
        <v>1313</v>
      </c>
      <c r="D624" s="42">
        <f>'2025_03_28 Boom Pricing'!$E$10+'2025_03_28 Boom Pricing'!$E$38+'2025_03_28 Boom Pricing'!$E$52+'2025_03_28 Boom Pricing'!$E$24</f>
        <v>30607.813333333335</v>
      </c>
      <c r="E624" s="115">
        <f t="shared" si="23"/>
        <v>15303.906666666668</v>
      </c>
    </row>
    <row r="625" spans="1:5" x14ac:dyDescent="0.3">
      <c r="B625" s="70" t="s">
        <v>1315</v>
      </c>
      <c r="D625" s="42">
        <f>'2025_03_28 Boom Pricing'!$E$10+'2025_03_28 Boom Pricing'!$E$39+'2025_03_28 Boom Pricing'!$E$52+'2025_03_28 Boom Pricing'!$E$24</f>
        <v>30607.813333333335</v>
      </c>
      <c r="E625" s="115">
        <f t="shared" si="23"/>
        <v>15303.906666666668</v>
      </c>
    </row>
    <row r="626" spans="1:5" x14ac:dyDescent="0.3">
      <c r="B626" s="70" t="s">
        <v>1317</v>
      </c>
      <c r="D626" s="42">
        <f>'2025_03_28 Boom Pricing'!$E$10+'2025_03_28 Boom Pricing'!$E$40+'2025_03_28 Boom Pricing'!$E$52+'2025_03_28 Boom Pricing'!$E$24</f>
        <v>30607.813333333335</v>
      </c>
      <c r="E626" s="115">
        <f t="shared" si="23"/>
        <v>15303.906666666668</v>
      </c>
    </row>
    <row r="627" spans="1:5" x14ac:dyDescent="0.3">
      <c r="B627" s="70" t="s">
        <v>1319</v>
      </c>
      <c r="D627" s="42">
        <f>'2025_03_28 Boom Pricing'!$E$10+'2025_03_28 Boom Pricing'!$E$41+'2025_03_28 Boom Pricing'!$E$52+'2025_03_28 Boom Pricing'!$E$24</f>
        <v>30607.813333333335</v>
      </c>
      <c r="E627" s="115">
        <f t="shared" si="23"/>
        <v>15303.906666666668</v>
      </c>
    </row>
    <row r="628" spans="1:5" x14ac:dyDescent="0.3">
      <c r="B628" s="70" t="s">
        <v>1321</v>
      </c>
      <c r="D628" s="42">
        <f>'2025_03_28 Boom Pricing'!$E$10+'2025_03_28 Boom Pricing'!$E$42+'2025_03_28 Boom Pricing'!$E$52+'2025_03_28 Boom Pricing'!$E$24</f>
        <v>32199.360000000001</v>
      </c>
      <c r="E628" s="115">
        <f t="shared" si="23"/>
        <v>16099.68</v>
      </c>
    </row>
    <row r="629" spans="1:5" x14ac:dyDescent="0.3">
      <c r="A629" s="48"/>
      <c r="B629" s="116" t="s">
        <v>1323</v>
      </c>
      <c r="C629" s="48"/>
      <c r="D629" s="119">
        <f>'2025_03_28 Boom Pricing'!$E$10+'2025_03_28 Boom Pricing'!$E$43+'2025_03_28 Boom Pricing'!$E$52+'2025_03_28 Boom Pricing'!$E$24</f>
        <v>33899.786666666667</v>
      </c>
      <c r="E629" s="117">
        <f t="shared" si="23"/>
        <v>16949.893333333333</v>
      </c>
    </row>
    <row r="630" spans="1:5" x14ac:dyDescent="0.3">
      <c r="B630" s="70" t="s">
        <v>1325</v>
      </c>
      <c r="D630" s="42">
        <f>'2025_03_28 Boom Pricing'!$E$10+'2025_03_28 Boom Pricing'!$E$38+'2025_03_28 Boom Pricing'!$E$52+'2025_03_28 Boom Pricing'!$E$25</f>
        <v>32587.653333333335</v>
      </c>
      <c r="E630" s="115">
        <f t="shared" si="23"/>
        <v>16293.826666666668</v>
      </c>
    </row>
    <row r="631" spans="1:5" x14ac:dyDescent="0.3">
      <c r="B631" s="70" t="s">
        <v>1327</v>
      </c>
      <c r="D631" s="42">
        <f>'2025_03_28 Boom Pricing'!$E$10+'2025_03_28 Boom Pricing'!$E$39+'2025_03_28 Boom Pricing'!$E$52+'2025_03_28 Boom Pricing'!$E$25</f>
        <v>32587.653333333335</v>
      </c>
      <c r="E631" s="115">
        <f t="shared" si="23"/>
        <v>16293.826666666668</v>
      </c>
    </row>
    <row r="632" spans="1:5" x14ac:dyDescent="0.3">
      <c r="B632" s="70" t="s">
        <v>1329</v>
      </c>
      <c r="D632" s="42">
        <f>'2025_03_28 Boom Pricing'!$E$10+'2025_03_28 Boom Pricing'!$E$40+'2025_03_28 Boom Pricing'!$E$52+'2025_03_28 Boom Pricing'!$E$25</f>
        <v>32587.653333333335</v>
      </c>
      <c r="E632" s="115">
        <f t="shared" si="23"/>
        <v>16293.826666666668</v>
      </c>
    </row>
    <row r="633" spans="1:5" x14ac:dyDescent="0.3">
      <c r="B633" s="70" t="s">
        <v>1331</v>
      </c>
      <c r="D633" s="42">
        <f>'2025_03_28 Boom Pricing'!$E$10+'2025_03_28 Boom Pricing'!$E$41+'2025_03_28 Boom Pricing'!$E$52+'2025_03_28 Boom Pricing'!$E$25</f>
        <v>32587.653333333335</v>
      </c>
      <c r="E633" s="115">
        <f t="shared" si="23"/>
        <v>16293.826666666668</v>
      </c>
    </row>
    <row r="634" spans="1:5" x14ac:dyDescent="0.3">
      <c r="B634" s="70" t="s">
        <v>1333</v>
      </c>
      <c r="D634" s="42">
        <f>'2025_03_28 Boom Pricing'!$E$10+'2025_03_28 Boom Pricing'!$E$42+'2025_03_28 Boom Pricing'!$E$52+'2025_03_28 Boom Pricing'!$E$25</f>
        <v>34179.200000000004</v>
      </c>
      <c r="E634" s="115">
        <f t="shared" si="23"/>
        <v>17089.600000000002</v>
      </c>
    </row>
    <row r="635" spans="1:5" x14ac:dyDescent="0.3">
      <c r="A635" s="48"/>
      <c r="B635" s="116" t="s">
        <v>1335</v>
      </c>
      <c r="C635" s="48"/>
      <c r="D635" s="119">
        <f>'2025_03_28 Boom Pricing'!$E$10+'2025_03_28 Boom Pricing'!$E$43+'2025_03_28 Boom Pricing'!$E$52+'2025_03_28 Boom Pricing'!$E$25</f>
        <v>35879.626666666671</v>
      </c>
      <c r="E635" s="117">
        <f t="shared" si="23"/>
        <v>17939.813333333335</v>
      </c>
    </row>
    <row r="636" spans="1:5" x14ac:dyDescent="0.3">
      <c r="B636" s="70" t="s">
        <v>1337</v>
      </c>
      <c r="D636" s="42">
        <f>'2025_03_28 Boom Pricing'!$E$10+'2025_03_28 Boom Pricing'!$E$38+'2025_03_28 Boom Pricing'!$E$52+'2025_03_28 Boom Pricing'!$E$26</f>
        <v>34626.773333333331</v>
      </c>
      <c r="E636" s="115">
        <f t="shared" si="23"/>
        <v>17313.386666666665</v>
      </c>
    </row>
    <row r="637" spans="1:5" x14ac:dyDescent="0.3">
      <c r="B637" s="70" t="s">
        <v>1339</v>
      </c>
      <c r="D637" s="42">
        <f>'2025_03_28 Boom Pricing'!$E$10+'2025_03_28 Boom Pricing'!$E$39+'2025_03_28 Boom Pricing'!$E$52+'2025_03_28 Boom Pricing'!$E$26</f>
        <v>34626.773333333331</v>
      </c>
      <c r="E637" s="115">
        <f t="shared" si="23"/>
        <v>17313.386666666665</v>
      </c>
    </row>
    <row r="638" spans="1:5" x14ac:dyDescent="0.3">
      <c r="B638" s="70" t="s">
        <v>1341</v>
      </c>
      <c r="D638" s="42">
        <f>'2025_03_28 Boom Pricing'!$E$10+'2025_03_28 Boom Pricing'!$E$40+'2025_03_28 Boom Pricing'!$E$52+'2025_03_28 Boom Pricing'!$E$26</f>
        <v>34626.773333333331</v>
      </c>
      <c r="E638" s="115">
        <f t="shared" si="23"/>
        <v>17313.386666666665</v>
      </c>
    </row>
    <row r="639" spans="1:5" x14ac:dyDescent="0.3">
      <c r="B639" s="70" t="s">
        <v>1343</v>
      </c>
      <c r="D639" s="42">
        <f>'2025_03_28 Boom Pricing'!$E$10+'2025_03_28 Boom Pricing'!$E$41+'2025_03_28 Boom Pricing'!$E$52+'2025_03_28 Boom Pricing'!$E$26</f>
        <v>34626.773333333331</v>
      </c>
      <c r="E639" s="115">
        <f t="shared" si="23"/>
        <v>17313.386666666665</v>
      </c>
    </row>
    <row r="640" spans="1:5" x14ac:dyDescent="0.3">
      <c r="B640" s="70" t="s">
        <v>1345</v>
      </c>
      <c r="D640" s="42">
        <f>'2025_03_28 Boom Pricing'!$E$10+'2025_03_28 Boom Pricing'!$E$42+'2025_03_28 Boom Pricing'!$E$52+'2025_03_28 Boom Pricing'!$E$26</f>
        <v>36218.32</v>
      </c>
      <c r="E640" s="115">
        <f t="shared" si="23"/>
        <v>18109.16</v>
      </c>
    </row>
    <row r="641" spans="1:5" x14ac:dyDescent="0.3">
      <c r="A641" s="48"/>
      <c r="B641" s="116" t="s">
        <v>1347</v>
      </c>
      <c r="C641" s="48"/>
      <c r="D641" s="119">
        <f>'2025_03_28 Boom Pricing'!$E$10+'2025_03_28 Boom Pricing'!$E$43+'2025_03_28 Boom Pricing'!$E$52+'2025_03_28 Boom Pricing'!$E$26</f>
        <v>37918.746666666666</v>
      </c>
      <c r="E641" s="117">
        <f t="shared" si="23"/>
        <v>18959.373333333333</v>
      </c>
    </row>
    <row r="642" spans="1:5" x14ac:dyDescent="0.3">
      <c r="B642" s="70" t="s">
        <v>1349</v>
      </c>
      <c r="D642" s="42">
        <f>'2025_03_28 Boom Pricing'!$E$10+'2025_03_28 Boom Pricing'!$E$38+'2025_03_28 Boom Pricing'!$E$52+'2025_03_28 Boom Pricing'!$E$27</f>
        <v>36660.933333333334</v>
      </c>
      <c r="E642" s="115">
        <f t="shared" si="23"/>
        <v>18330.466666666667</v>
      </c>
    </row>
    <row r="643" spans="1:5" x14ac:dyDescent="0.3">
      <c r="B643" s="70" t="s">
        <v>1351</v>
      </c>
      <c r="D643" s="42">
        <f>'2025_03_28 Boom Pricing'!$E$10+'2025_03_28 Boom Pricing'!$E$39+'2025_03_28 Boom Pricing'!$E$52+'2025_03_28 Boom Pricing'!$E$27</f>
        <v>36660.933333333334</v>
      </c>
      <c r="E643" s="115">
        <f t="shared" si="23"/>
        <v>18330.466666666667</v>
      </c>
    </row>
    <row r="644" spans="1:5" x14ac:dyDescent="0.3">
      <c r="B644" s="70" t="s">
        <v>1353</v>
      </c>
      <c r="D644" s="42">
        <f>'2025_03_28 Boom Pricing'!$E$10+'2025_03_28 Boom Pricing'!$E$40+'2025_03_28 Boom Pricing'!$E$52+'2025_03_28 Boom Pricing'!$E$27</f>
        <v>36660.933333333334</v>
      </c>
      <c r="E644" s="115">
        <f t="shared" si="23"/>
        <v>18330.466666666667</v>
      </c>
    </row>
    <row r="645" spans="1:5" x14ac:dyDescent="0.3">
      <c r="B645" s="70" t="s">
        <v>1355</v>
      </c>
      <c r="D645" s="42">
        <f>'2025_03_28 Boom Pricing'!$E$10+'2025_03_28 Boom Pricing'!$E$41+'2025_03_28 Boom Pricing'!$E$52+'2025_03_28 Boom Pricing'!$E$27</f>
        <v>36660.933333333334</v>
      </c>
      <c r="E645" s="115">
        <f t="shared" si="23"/>
        <v>18330.466666666667</v>
      </c>
    </row>
    <row r="646" spans="1:5" x14ac:dyDescent="0.3">
      <c r="B646" s="70" t="s">
        <v>1357</v>
      </c>
      <c r="D646" s="42">
        <f>'2025_03_28 Boom Pricing'!$E$10+'2025_03_28 Boom Pricing'!$E$42+'2025_03_28 Boom Pricing'!$E$52+'2025_03_28 Boom Pricing'!$E$27</f>
        <v>38252.479999999996</v>
      </c>
      <c r="E646" s="115">
        <f t="shared" si="23"/>
        <v>19126.239999999998</v>
      </c>
    </row>
    <row r="647" spans="1:5" x14ac:dyDescent="0.3">
      <c r="B647" s="70" t="s">
        <v>1359</v>
      </c>
      <c r="D647" s="42">
        <f>'2025_03_28 Boom Pricing'!$E$10+'2025_03_28 Boom Pricing'!$E$43+'2025_03_28 Boom Pricing'!$E$52+'2025_03_28 Boom Pricing'!$E$27</f>
        <v>39952.906666666662</v>
      </c>
      <c r="E647" s="115">
        <f t="shared" si="23"/>
        <v>19976.453333333331</v>
      </c>
    </row>
    <row r="648" spans="1:5" x14ac:dyDescent="0.3">
      <c r="A648" s="65"/>
      <c r="B648" s="65"/>
      <c r="C648" s="65"/>
      <c r="D648" s="81"/>
      <c r="E648" s="81"/>
    </row>
    <row r="649" spans="1:5" x14ac:dyDescent="0.3">
      <c r="B649" s="70" t="s">
        <v>1643</v>
      </c>
      <c r="D649" s="42">
        <f>'2025_03_28 Boom Pricing'!$E$11+'2025_03_28 Boom Pricing'!E38</f>
        <v>45711.893333333333</v>
      </c>
      <c r="E649" s="115">
        <f>D649*(1-0.5)</f>
        <v>22855.946666666667</v>
      </c>
    </row>
    <row r="650" spans="1:5" x14ac:dyDescent="0.3">
      <c r="B650" s="70" t="s">
        <v>1644</v>
      </c>
      <c r="D650" s="42">
        <f>'2025_03_28 Boom Pricing'!$E$11+'2025_03_28 Boom Pricing'!E39</f>
        <v>45711.893333333333</v>
      </c>
      <c r="E650" s="115">
        <f>D650*(1-0.5)</f>
        <v>22855.946666666667</v>
      </c>
    </row>
    <row r="651" spans="1:5" x14ac:dyDescent="0.3">
      <c r="B651" s="70" t="s">
        <v>1645</v>
      </c>
      <c r="D651" s="42">
        <f>'2025_03_28 Boom Pricing'!$E$11+'2025_03_28 Boom Pricing'!E40</f>
        <v>45711.893333333333</v>
      </c>
      <c r="E651" s="115">
        <f>D651*(1-0.5)</f>
        <v>22855.946666666667</v>
      </c>
    </row>
    <row r="652" spans="1:5" x14ac:dyDescent="0.3">
      <c r="B652" s="70" t="s">
        <v>1646</v>
      </c>
      <c r="D652" s="42">
        <f>'2025_03_28 Boom Pricing'!$E$11+'2025_03_28 Boom Pricing'!E41</f>
        <v>45711.893333333333</v>
      </c>
      <c r="E652" s="115">
        <f>D652*(1-0.5)</f>
        <v>22855.946666666667</v>
      </c>
    </row>
    <row r="653" spans="1:5" x14ac:dyDescent="0.3">
      <c r="A653" s="65"/>
      <c r="B653" s="65"/>
      <c r="C653" s="65"/>
      <c r="D653" s="81"/>
      <c r="E653" s="81"/>
    </row>
    <row r="654" spans="1:5" x14ac:dyDescent="0.3">
      <c r="B654" s="70" t="s">
        <v>1647</v>
      </c>
      <c r="D654" s="42">
        <f>'2025_03_28 Boom Pricing'!$E$12+'2025_03_28 Boom Pricing'!E39</f>
        <v>50677.333333333336</v>
      </c>
      <c r="E654" s="115">
        <f t="shared" ref="E654:E659" si="24">D654*(1-0.5)</f>
        <v>25338.666666666668</v>
      </c>
    </row>
    <row r="655" spans="1:5" x14ac:dyDescent="0.3">
      <c r="B655" s="70" t="s">
        <v>1648</v>
      </c>
      <c r="D655" s="42">
        <f>'2025_03_28 Boom Pricing'!$E$12+'2025_03_28 Boom Pricing'!E40</f>
        <v>50677.333333333336</v>
      </c>
      <c r="E655" s="115">
        <f t="shared" si="24"/>
        <v>25338.666666666668</v>
      </c>
    </row>
    <row r="656" spans="1:5" x14ac:dyDescent="0.3">
      <c r="B656" s="70" t="s">
        <v>1649</v>
      </c>
      <c r="D656" s="42">
        <f>'2025_03_28 Boom Pricing'!$E$12+'2025_03_28 Boom Pricing'!E41</f>
        <v>50677.333333333336</v>
      </c>
      <c r="E656" s="115">
        <f t="shared" si="24"/>
        <v>25338.666666666668</v>
      </c>
    </row>
    <row r="657" spans="1:5" x14ac:dyDescent="0.3">
      <c r="B657" s="70" t="s">
        <v>1650</v>
      </c>
      <c r="D657" s="42">
        <f>'2025_03_28 Boom Pricing'!$E$12+'2025_03_28 Boom Pricing'!E42</f>
        <v>52268.880000000005</v>
      </c>
      <c r="E657" s="115">
        <f t="shared" si="24"/>
        <v>26134.440000000002</v>
      </c>
    </row>
    <row r="658" spans="1:5" x14ac:dyDescent="0.3">
      <c r="B658" s="70" t="s">
        <v>1651</v>
      </c>
      <c r="D658" s="42">
        <f>'2025_03_28 Boom Pricing'!$E$12+'2025_03_28 Boom Pricing'!E43</f>
        <v>53969.306666666671</v>
      </c>
      <c r="E658" s="115">
        <f t="shared" si="24"/>
        <v>26984.653333333335</v>
      </c>
    </row>
    <row r="659" spans="1:5" x14ac:dyDescent="0.3">
      <c r="B659" s="70" t="s">
        <v>1652</v>
      </c>
      <c r="D659" s="42">
        <f>'2025_03_28 Boom Pricing'!$E$12+'2025_03_28 Boom Pricing'!E44</f>
        <v>50677.333333333336</v>
      </c>
      <c r="E659" s="115">
        <f t="shared" si="24"/>
        <v>25338.666666666668</v>
      </c>
    </row>
    <row r="660" spans="1:5" x14ac:dyDescent="0.3">
      <c r="A660" s="64" t="s">
        <v>1380</v>
      </c>
      <c r="B660" s="65"/>
      <c r="C660" s="65"/>
      <c r="D660" s="81"/>
      <c r="E660" s="81"/>
    </row>
    <row r="661" spans="1:5" x14ac:dyDescent="0.3">
      <c r="A661" s="32" t="s">
        <v>1381</v>
      </c>
      <c r="E661" s="115"/>
    </row>
    <row r="662" spans="1:5" x14ac:dyDescent="0.3">
      <c r="A662">
        <v>100</v>
      </c>
      <c r="B662" t="s">
        <v>1383</v>
      </c>
      <c r="C662" s="143" t="s">
        <v>2235</v>
      </c>
      <c r="D662" s="42">
        <f>'2025_03_28 Boom Pricing'!E17</f>
        <v>4097.9733333333334</v>
      </c>
      <c r="E662" s="115">
        <f>D662*(1-0.5)</f>
        <v>2048.9866666666667</v>
      </c>
    </row>
    <row r="663" spans="1:5" x14ac:dyDescent="0.3">
      <c r="A663">
        <v>101</v>
      </c>
      <c r="B663" t="s">
        <v>1385</v>
      </c>
      <c r="C663" t="s">
        <v>2236</v>
      </c>
      <c r="D663" s="42">
        <f>'2025_03_28 Boom Pricing'!E18</f>
        <v>4097.9733333333334</v>
      </c>
      <c r="E663" s="115">
        <f>D663*(1-0.5)</f>
        <v>2048.9866666666667</v>
      </c>
    </row>
    <row r="664" spans="1:5" x14ac:dyDescent="0.3">
      <c r="A664">
        <v>102</v>
      </c>
      <c r="B664" t="s">
        <v>1387</v>
      </c>
      <c r="D664" s="42">
        <f>'2025_03_28 Boom Pricing'!E19</f>
        <v>0</v>
      </c>
      <c r="E664" s="115">
        <f>D664*(1-0.5)</f>
        <v>0</v>
      </c>
    </row>
    <row r="665" spans="1:5" x14ac:dyDescent="0.3">
      <c r="A665" s="32" t="s">
        <v>1653</v>
      </c>
      <c r="B665" s="120"/>
      <c r="E665" s="115"/>
    </row>
    <row r="666" spans="1:5" x14ac:dyDescent="0.3">
      <c r="A666">
        <v>103</v>
      </c>
      <c r="B666" s="70" t="s">
        <v>1390</v>
      </c>
      <c r="D666" s="42">
        <f>'2025_03_28 Boom Pricing'!E30</f>
        <v>0</v>
      </c>
      <c r="E666" s="115">
        <f t="shared" ref="E666:E685" si="25">D666*(1-0.5)</f>
        <v>0</v>
      </c>
    </row>
    <row r="667" spans="1:5" x14ac:dyDescent="0.3">
      <c r="A667">
        <v>104</v>
      </c>
      <c r="B667" s="70" t="s">
        <v>1392</v>
      </c>
      <c r="D667" s="42">
        <f>'2025_03_28 Boom Pricing'!E31</f>
        <v>251.81333333333413</v>
      </c>
      <c r="E667" s="115">
        <f t="shared" si="25"/>
        <v>125.90666666666706</v>
      </c>
    </row>
    <row r="668" spans="1:5" x14ac:dyDescent="0.3">
      <c r="A668">
        <v>105</v>
      </c>
      <c r="B668" s="70" t="s">
        <v>1394</v>
      </c>
      <c r="D668" s="42">
        <f>'2025_03_28 Boom Pricing'!E32</f>
        <v>493.73333333333244</v>
      </c>
      <c r="E668" s="115">
        <f t="shared" si="25"/>
        <v>246.86666666666622</v>
      </c>
    </row>
    <row r="669" spans="1:5" x14ac:dyDescent="0.3">
      <c r="A669" s="32" t="s">
        <v>1654</v>
      </c>
      <c r="B669" s="120"/>
      <c r="E669" s="115"/>
    </row>
    <row r="670" spans="1:5" x14ac:dyDescent="0.3">
      <c r="A670">
        <v>106</v>
      </c>
      <c r="B670" s="70" t="s">
        <v>1390</v>
      </c>
      <c r="D670" s="42">
        <f>'2025_03_28 Boom Pricing'!E33</f>
        <v>0</v>
      </c>
      <c r="E670" s="115">
        <f t="shared" si="25"/>
        <v>0</v>
      </c>
    </row>
    <row r="671" spans="1:5" x14ac:dyDescent="0.3">
      <c r="A671">
        <v>107</v>
      </c>
      <c r="B671" s="70" t="s">
        <v>1392</v>
      </c>
      <c r="D671" s="42">
        <f>'2025_03_28 Boom Pricing'!E34</f>
        <v>508.5333333333304</v>
      </c>
      <c r="E671" s="115">
        <f t="shared" si="25"/>
        <v>254.2666666666652</v>
      </c>
    </row>
    <row r="672" spans="1:5" x14ac:dyDescent="0.3">
      <c r="A672">
        <v>108</v>
      </c>
      <c r="B672" s="70" t="s">
        <v>1394</v>
      </c>
      <c r="D672" s="42">
        <f>'2025_03_28 Boom Pricing'!E35</f>
        <v>1214.5866666666652</v>
      </c>
      <c r="E672" s="115">
        <f t="shared" si="25"/>
        <v>607.29333333333261</v>
      </c>
    </row>
    <row r="673" spans="1:5" x14ac:dyDescent="0.3">
      <c r="A673" s="76" t="s">
        <v>1399</v>
      </c>
      <c r="B673" s="76"/>
      <c r="E673" s="115"/>
    </row>
    <row r="674" spans="1:5" x14ac:dyDescent="0.3">
      <c r="A674">
        <v>109</v>
      </c>
      <c r="B674" s="70" t="s">
        <v>81</v>
      </c>
      <c r="D674" s="42">
        <f>'2025_03_28 Boom Pricing'!E54</f>
        <v>790</v>
      </c>
      <c r="E674" s="115">
        <f t="shared" si="25"/>
        <v>395</v>
      </c>
    </row>
    <row r="675" spans="1:5" x14ac:dyDescent="0.3">
      <c r="A675">
        <v>110</v>
      </c>
      <c r="B675" t="s">
        <v>86</v>
      </c>
      <c r="D675" s="42">
        <f>'2025_03_28 Boom Pricing'!E55</f>
        <v>543.12000000000023</v>
      </c>
      <c r="E675" s="115">
        <f t="shared" si="25"/>
        <v>271.56000000000012</v>
      </c>
    </row>
    <row r="676" spans="1:5" x14ac:dyDescent="0.3">
      <c r="A676">
        <v>111</v>
      </c>
      <c r="B676" t="s">
        <v>91</v>
      </c>
      <c r="D676" s="42">
        <f>'2025_03_28 Boom Pricing'!E56</f>
        <v>997.33333333333337</v>
      </c>
      <c r="E676" s="115">
        <f t="shared" si="25"/>
        <v>498.66666666666669</v>
      </c>
    </row>
    <row r="677" spans="1:5" x14ac:dyDescent="0.3">
      <c r="A677">
        <v>112</v>
      </c>
      <c r="B677" t="s">
        <v>94</v>
      </c>
      <c r="D677" s="42">
        <f>'2025_03_28 Boom Pricing'!E53</f>
        <v>0</v>
      </c>
      <c r="E677" s="115">
        <f t="shared" si="25"/>
        <v>0</v>
      </c>
    </row>
    <row r="678" spans="1:5" x14ac:dyDescent="0.3">
      <c r="A678" s="76" t="s">
        <v>72</v>
      </c>
      <c r="B678" s="76"/>
      <c r="E678" s="115"/>
    </row>
    <row r="679" spans="1:5" x14ac:dyDescent="0.3">
      <c r="A679">
        <v>113</v>
      </c>
      <c r="B679" t="s">
        <v>98</v>
      </c>
      <c r="D679" s="42">
        <f>'2025_03_28 Boom Pricing'!E57</f>
        <v>2105.9199999999983</v>
      </c>
      <c r="E679" s="115">
        <f t="shared" si="25"/>
        <v>1052.9599999999991</v>
      </c>
    </row>
    <row r="680" spans="1:5" x14ac:dyDescent="0.3">
      <c r="A680">
        <v>114</v>
      </c>
      <c r="B680" t="s">
        <v>1406</v>
      </c>
      <c r="D680" s="42">
        <f>'2025_03_28 Boom Pricing'!E58</f>
        <v>770.21333333333325</v>
      </c>
      <c r="E680" s="115">
        <f t="shared" si="25"/>
        <v>385.10666666666663</v>
      </c>
    </row>
    <row r="681" spans="1:5" x14ac:dyDescent="0.3">
      <c r="A681">
        <v>115</v>
      </c>
      <c r="B681" t="s">
        <v>1408</v>
      </c>
      <c r="D681" s="42">
        <f>'2025_03_28 Boom Pricing'!J17</f>
        <v>0</v>
      </c>
      <c r="E681" s="115">
        <f t="shared" si="25"/>
        <v>0</v>
      </c>
    </row>
    <row r="682" spans="1:5" x14ac:dyDescent="0.3">
      <c r="A682">
        <v>116</v>
      </c>
      <c r="B682" t="s">
        <v>1410</v>
      </c>
      <c r="D682" s="42">
        <f>'2025_03_28 Boom Pricing'!E84</f>
        <v>0</v>
      </c>
      <c r="E682" s="115">
        <f t="shared" si="25"/>
        <v>0</v>
      </c>
    </row>
    <row r="683" spans="1:5" x14ac:dyDescent="0.3">
      <c r="A683">
        <v>117</v>
      </c>
      <c r="B683" t="s">
        <v>1412</v>
      </c>
      <c r="D683" s="42">
        <f>'2025_03_28 Boom Pricing'!E78</f>
        <v>1344.6222222222198</v>
      </c>
      <c r="E683" s="115">
        <f t="shared" si="25"/>
        <v>672.31111111110988</v>
      </c>
    </row>
    <row r="684" spans="1:5" x14ac:dyDescent="0.3">
      <c r="A684">
        <v>118</v>
      </c>
      <c r="B684" t="s">
        <v>1414</v>
      </c>
      <c r="D684" s="42">
        <f>'2025_03_28 Boom Pricing'!E71</f>
        <v>2045.7155555555526</v>
      </c>
      <c r="E684" s="115">
        <f t="shared" si="25"/>
        <v>1022.8577777777763</v>
      </c>
    </row>
    <row r="685" spans="1:5" x14ac:dyDescent="0.3">
      <c r="A685">
        <v>119</v>
      </c>
      <c r="B685" t="s">
        <v>1416</v>
      </c>
      <c r="D685" s="42">
        <f>'2025_03_28 Boom Pricing'!E85</f>
        <v>232.05333333333454</v>
      </c>
      <c r="E685" s="115">
        <f t="shared" si="25"/>
        <v>116.02666666666727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4FE3C-B2CB-4012-B373-5662F1F1AAFC}">
  <dimension ref="A1:T183"/>
  <sheetViews>
    <sheetView zoomScale="69" zoomScaleNormal="69" workbookViewId="0">
      <selection activeCell="B7" sqref="B7"/>
    </sheetView>
  </sheetViews>
  <sheetFormatPr defaultColWidth="11" defaultRowHeight="15.6" x14ac:dyDescent="0.3"/>
  <cols>
    <col min="1" max="1" width="19.3984375" customWidth="1"/>
    <col min="2" max="2" width="31" customWidth="1"/>
    <col min="3" max="3" width="16" hidden="1" customWidth="1"/>
    <col min="4" max="4" width="17.8984375" hidden="1" customWidth="1"/>
    <col min="5" max="5" width="16.3984375" customWidth="1"/>
    <col min="6" max="27" width="14.8984375" customWidth="1"/>
    <col min="28" max="30" width="13" customWidth="1"/>
  </cols>
  <sheetData>
    <row r="1" spans="1:9" x14ac:dyDescent="0.3">
      <c r="A1" s="48" t="s">
        <v>1655</v>
      </c>
    </row>
    <row r="2" spans="1:9" x14ac:dyDescent="0.3">
      <c r="B2" s="86" t="s">
        <v>1655</v>
      </c>
      <c r="C2" s="48" t="s">
        <v>1656</v>
      </c>
      <c r="D2" s="48" t="s">
        <v>1657</v>
      </c>
      <c r="E2" s="48" t="s">
        <v>2</v>
      </c>
      <c r="G2" s="48" t="s">
        <v>1658</v>
      </c>
      <c r="H2" s="48" t="s">
        <v>1659</v>
      </c>
      <c r="I2" s="48" t="s">
        <v>1660</v>
      </c>
    </row>
    <row r="3" spans="1:9" x14ac:dyDescent="0.3">
      <c r="B3" s="37"/>
    </row>
    <row r="4" spans="1:9" x14ac:dyDescent="0.3">
      <c r="B4" t="s">
        <v>2245</v>
      </c>
      <c r="C4" s="42">
        <f>'[1]Ondal Configs'!C2</f>
        <v>12369.17</v>
      </c>
      <c r="D4" s="42">
        <f t="shared" ref="D4:D13" si="0">C4*(1-$I$4)</f>
        <v>9895.3360000000011</v>
      </c>
      <c r="E4" s="42">
        <f>D4/(1-0.4)*2</f>
        <v>32984.453333333338</v>
      </c>
      <c r="F4" t="s">
        <v>1714</v>
      </c>
      <c r="G4" t="s">
        <v>1661</v>
      </c>
      <c r="H4" t="s">
        <v>1662</v>
      </c>
      <c r="I4" s="72">
        <v>0.2</v>
      </c>
    </row>
    <row r="5" spans="1:9" x14ac:dyDescent="0.3">
      <c r="B5" t="s">
        <v>2249</v>
      </c>
      <c r="C5" s="42">
        <f>'[1]Ondal Configs'!D2</f>
        <v>13842.03</v>
      </c>
      <c r="D5" s="42">
        <f t="shared" si="0"/>
        <v>11073.624000000002</v>
      </c>
      <c r="E5" s="42">
        <f t="shared" ref="E5:E10" si="1">D5/(1-0.4)*2</f>
        <v>36912.080000000009</v>
      </c>
      <c r="F5" t="s">
        <v>1714</v>
      </c>
      <c r="G5" t="s">
        <v>1662</v>
      </c>
      <c r="H5" t="s">
        <v>1662</v>
      </c>
    </row>
    <row r="6" spans="1:9" x14ac:dyDescent="0.3">
      <c r="B6" t="s">
        <v>2250</v>
      </c>
      <c r="C6" s="42">
        <f>'[1]Ondal Configs'!E2</f>
        <v>11692.64</v>
      </c>
      <c r="D6" s="42">
        <f t="shared" si="0"/>
        <v>9354.1119999999992</v>
      </c>
      <c r="E6" s="42">
        <f t="shared" si="1"/>
        <v>31180.373333333333</v>
      </c>
      <c r="F6" t="s">
        <v>1714</v>
      </c>
      <c r="G6" t="s">
        <v>1661</v>
      </c>
      <c r="H6" t="s">
        <v>1662</v>
      </c>
    </row>
    <row r="7" spans="1:9" x14ac:dyDescent="0.3">
      <c r="B7" t="s">
        <v>2248</v>
      </c>
      <c r="C7" s="42">
        <f>'[1]Ondal Configs'!F2</f>
        <v>13462.94</v>
      </c>
      <c r="D7" s="42">
        <f t="shared" si="0"/>
        <v>10770.352000000001</v>
      </c>
      <c r="E7" s="42">
        <f t="shared" si="1"/>
        <v>35901.17333333334</v>
      </c>
      <c r="F7" t="s">
        <v>1714</v>
      </c>
      <c r="G7" t="s">
        <v>1662</v>
      </c>
      <c r="H7" t="s">
        <v>1662</v>
      </c>
    </row>
    <row r="8" spans="1:9" x14ac:dyDescent="0.3">
      <c r="B8" t="s">
        <v>2247</v>
      </c>
      <c r="C8" s="42">
        <f>'[1]Ondal Configs'!G2</f>
        <v>8012.5</v>
      </c>
      <c r="D8" s="42">
        <f t="shared" si="0"/>
        <v>6410</v>
      </c>
      <c r="E8" s="42">
        <f t="shared" si="1"/>
        <v>21366.666666666668</v>
      </c>
      <c r="F8" t="s">
        <v>1714</v>
      </c>
      <c r="G8" t="s">
        <v>1661</v>
      </c>
      <c r="H8" t="s">
        <v>1661</v>
      </c>
    </row>
    <row r="9" spans="1:9" x14ac:dyDescent="0.3">
      <c r="B9" t="s">
        <v>2252</v>
      </c>
      <c r="C9" s="42">
        <f>'[1]Ondal Configs'!H2</f>
        <v>9362.8799999999992</v>
      </c>
      <c r="D9" s="42">
        <f t="shared" si="0"/>
        <v>7490.3040000000001</v>
      </c>
      <c r="E9" s="42">
        <f t="shared" si="1"/>
        <v>24967.68</v>
      </c>
      <c r="F9" t="s">
        <v>1714</v>
      </c>
      <c r="G9" t="s">
        <v>1662</v>
      </c>
      <c r="H9" t="s">
        <v>1661</v>
      </c>
    </row>
    <row r="10" spans="1:9" x14ac:dyDescent="0.3">
      <c r="B10" t="s">
        <v>167</v>
      </c>
      <c r="C10" s="42">
        <f>'[1]Ondal Configs'!I2</f>
        <v>10737.34</v>
      </c>
      <c r="D10" s="42">
        <f t="shared" si="0"/>
        <v>8589.8720000000012</v>
      </c>
      <c r="E10" s="42">
        <f t="shared" si="1"/>
        <v>28632.906666666673</v>
      </c>
      <c r="G10" t="s">
        <v>1662</v>
      </c>
      <c r="H10" t="s">
        <v>1661</v>
      </c>
    </row>
    <row r="11" spans="1:9" x14ac:dyDescent="0.3">
      <c r="B11" t="s">
        <v>1663</v>
      </c>
      <c r="C11" s="42">
        <v>17141.96</v>
      </c>
      <c r="D11" s="42">
        <f t="shared" si="0"/>
        <v>13713.567999999999</v>
      </c>
      <c r="E11" s="42">
        <f>D11/(1-0.4)*2</f>
        <v>45711.893333333333</v>
      </c>
      <c r="G11" t="s">
        <v>1662</v>
      </c>
      <c r="H11" t="s">
        <v>1662</v>
      </c>
    </row>
    <row r="12" spans="1:9" x14ac:dyDescent="0.3">
      <c r="B12" t="s">
        <v>1664</v>
      </c>
      <c r="C12" s="42">
        <v>19004</v>
      </c>
      <c r="D12" s="42">
        <f t="shared" si="0"/>
        <v>15203.2</v>
      </c>
      <c r="E12" s="42">
        <f>D12/(1-0.4)*2</f>
        <v>50677.333333333336</v>
      </c>
      <c r="G12" t="s">
        <v>1662</v>
      </c>
      <c r="H12" t="s">
        <v>1662</v>
      </c>
    </row>
    <row r="13" spans="1:9" x14ac:dyDescent="0.3">
      <c r="B13" s="111" t="str">
        <f>"'Future' Boom"</f>
        <v>'Future' Boom</v>
      </c>
      <c r="C13" s="42">
        <v>0</v>
      </c>
      <c r="D13" s="42">
        <f t="shared" si="0"/>
        <v>0</v>
      </c>
      <c r="E13" s="42">
        <f>D13/(1-0.4)*2</f>
        <v>0</v>
      </c>
      <c r="G13" t="s">
        <v>1661</v>
      </c>
      <c r="H13" t="s">
        <v>1661</v>
      </c>
    </row>
    <row r="14" spans="1:9" x14ac:dyDescent="0.3">
      <c r="C14" s="42"/>
      <c r="D14" s="42"/>
      <c r="E14" s="42"/>
    </row>
    <row r="15" spans="1:9" x14ac:dyDescent="0.3">
      <c r="A15" s="48" t="s">
        <v>1665</v>
      </c>
      <c r="B15" s="37" t="s">
        <v>1587</v>
      </c>
      <c r="C15" s="48" t="s">
        <v>1656</v>
      </c>
      <c r="D15" s="48" t="s">
        <v>1657</v>
      </c>
      <c r="E15" s="48" t="s">
        <v>2</v>
      </c>
    </row>
    <row r="16" spans="1:9" x14ac:dyDescent="0.3">
      <c r="I16" t="s">
        <v>1666</v>
      </c>
    </row>
    <row r="17" spans="1:10" x14ac:dyDescent="0.3">
      <c r="A17" s="83" t="s">
        <v>1667</v>
      </c>
      <c r="B17" t="s">
        <v>2243</v>
      </c>
      <c r="C17" s="42">
        <f>SUM(C166:C168)</f>
        <v>1536.74</v>
      </c>
      <c r="D17" s="42">
        <f>C17*(1-$I$4)</f>
        <v>1229.3920000000001</v>
      </c>
      <c r="E17" s="42">
        <f>D17/(1-0.4)*2</f>
        <v>4097.9733333333334</v>
      </c>
      <c r="I17" t="s">
        <v>1668</v>
      </c>
      <c r="J17" s="42">
        <v>0</v>
      </c>
    </row>
    <row r="18" spans="1:10" x14ac:dyDescent="0.3">
      <c r="A18" s="83" t="s">
        <v>1669</v>
      </c>
      <c r="B18" t="s">
        <v>1385</v>
      </c>
      <c r="C18" s="42">
        <f>SUM(C166:C168)</f>
        <v>1536.74</v>
      </c>
      <c r="D18" s="42">
        <f>C18*(1-$I$4)</f>
        <v>1229.3920000000001</v>
      </c>
      <c r="E18" s="42">
        <f>D18/(1-0.4)*2</f>
        <v>4097.9733333333334</v>
      </c>
    </row>
    <row r="19" spans="1:10" x14ac:dyDescent="0.3">
      <c r="A19" s="83" t="s">
        <v>1670</v>
      </c>
      <c r="B19" t="s">
        <v>1387</v>
      </c>
      <c r="C19">
        <v>0</v>
      </c>
      <c r="D19" s="42">
        <f>C19*(1-$I$4)</f>
        <v>0</v>
      </c>
      <c r="E19" s="42">
        <f>D19/(1-0.4)*2</f>
        <v>0</v>
      </c>
    </row>
    <row r="21" spans="1:10" x14ac:dyDescent="0.3">
      <c r="B21" s="37" t="s">
        <v>11</v>
      </c>
    </row>
    <row r="22" spans="1:10" x14ac:dyDescent="0.3">
      <c r="B22" s="37"/>
    </row>
    <row r="23" spans="1:10" x14ac:dyDescent="0.3">
      <c r="B23" s="91" t="s">
        <v>2246</v>
      </c>
      <c r="C23" s="42">
        <v>0</v>
      </c>
      <c r="D23" s="42">
        <f>C23*(1-$I$4)</f>
        <v>0</v>
      </c>
      <c r="E23" s="42">
        <f>D23/(1-0.4)*2</f>
        <v>0</v>
      </c>
      <c r="F23" t="s">
        <v>1710</v>
      </c>
    </row>
    <row r="24" spans="1:10" x14ac:dyDescent="0.3">
      <c r="B24" s="91" t="s">
        <v>2246</v>
      </c>
      <c r="C24" s="42">
        <f>C100+$C$130*2</f>
        <v>740.58999999999833</v>
      </c>
      <c r="D24" s="42">
        <f>C24*(1-$I$4)</f>
        <v>592.47199999999873</v>
      </c>
      <c r="E24" s="42">
        <f>D24/(1-0.4)*2</f>
        <v>1974.9066666666624</v>
      </c>
      <c r="F24" t="s">
        <v>1711</v>
      </c>
    </row>
    <row r="25" spans="1:10" x14ac:dyDescent="0.3">
      <c r="B25" s="91" t="s">
        <v>2246</v>
      </c>
      <c r="C25" s="42">
        <f>C101+$C$130*4</f>
        <v>1483.0299999999988</v>
      </c>
      <c r="D25" s="42">
        <f>C25*(1-$I$4)</f>
        <v>1186.4239999999991</v>
      </c>
      <c r="E25" s="42">
        <f>D25/(1-0.4)*2</f>
        <v>3954.7466666666637</v>
      </c>
      <c r="F25" t="s">
        <v>1712</v>
      </c>
    </row>
    <row r="26" spans="1:10" x14ac:dyDescent="0.3">
      <c r="B26" s="91" t="s">
        <v>2246</v>
      </c>
      <c r="C26" s="42">
        <f>C102+$C$130*6</f>
        <v>2247.6999999999971</v>
      </c>
      <c r="D26" s="42">
        <f>C26*(1-$I$4)</f>
        <v>1798.1599999999978</v>
      </c>
      <c r="E26" s="42">
        <f>D26/(1-0.4)*2</f>
        <v>5993.8666666666595</v>
      </c>
      <c r="F26" t="s">
        <v>1713</v>
      </c>
    </row>
    <row r="27" spans="1:10" x14ac:dyDescent="0.3">
      <c r="B27" s="91" t="s">
        <v>2246</v>
      </c>
      <c r="C27" s="42">
        <f>C103+$C$130*8</f>
        <v>3010.5099999999966</v>
      </c>
      <c r="D27" s="42">
        <f>C27*(1-$I$4)</f>
        <v>2408.4079999999972</v>
      </c>
      <c r="E27" s="42">
        <f>D27/(1-0.4)*2</f>
        <v>8028.0266666666575</v>
      </c>
      <c r="F27" t="s">
        <v>1714</v>
      </c>
    </row>
    <row r="28" spans="1:10" x14ac:dyDescent="0.3">
      <c r="B28" s="37" t="s">
        <v>1671</v>
      </c>
      <c r="C28" s="42"/>
      <c r="D28" s="42"/>
      <c r="E28" s="42"/>
    </row>
    <row r="29" spans="1:10" x14ac:dyDescent="0.3">
      <c r="B29" s="37"/>
      <c r="C29" s="42"/>
      <c r="D29" s="42"/>
      <c r="E29" s="42"/>
    </row>
    <row r="30" spans="1:10" x14ac:dyDescent="0.3">
      <c r="B30" s="91" t="s">
        <v>2253</v>
      </c>
      <c r="C30" s="42">
        <v>0</v>
      </c>
      <c r="D30" s="42">
        <f t="shared" ref="D30:D35" si="2">C30*(1-$I$4)</f>
        <v>0</v>
      </c>
      <c r="E30" s="42">
        <f t="shared" ref="E30:E35" si="3">D30/(1-0.4)*2</f>
        <v>0</v>
      </c>
      <c r="F30" t="s">
        <v>19</v>
      </c>
    </row>
    <row r="31" spans="1:10" x14ac:dyDescent="0.3">
      <c r="B31" s="91" t="s">
        <v>2253</v>
      </c>
      <c r="C31" s="42">
        <f>C106</f>
        <v>94.430000000000291</v>
      </c>
      <c r="D31" s="42">
        <f t="shared" si="2"/>
        <v>75.544000000000239</v>
      </c>
      <c r="E31" s="42">
        <f t="shared" si="3"/>
        <v>251.81333333333413</v>
      </c>
      <c r="F31" t="s">
        <v>28</v>
      </c>
    </row>
    <row r="32" spans="1:10" x14ac:dyDescent="0.3">
      <c r="B32" s="91" t="s">
        <v>2253</v>
      </c>
      <c r="C32" s="42">
        <f>C107</f>
        <v>185.14999999999964</v>
      </c>
      <c r="D32" s="42">
        <f t="shared" si="2"/>
        <v>148.11999999999972</v>
      </c>
      <c r="E32" s="42">
        <f t="shared" si="3"/>
        <v>493.73333333333244</v>
      </c>
      <c r="F32" t="s">
        <v>36</v>
      </c>
    </row>
    <row r="33" spans="2:6" x14ac:dyDescent="0.3">
      <c r="B33" t="s">
        <v>2244</v>
      </c>
      <c r="C33" s="42">
        <f>C104</f>
        <v>0</v>
      </c>
      <c r="D33" s="42">
        <f t="shared" si="2"/>
        <v>0</v>
      </c>
      <c r="E33" s="42">
        <f t="shared" si="3"/>
        <v>0</v>
      </c>
      <c r="F33" t="s">
        <v>19</v>
      </c>
    </row>
    <row r="34" spans="2:6" x14ac:dyDescent="0.3">
      <c r="B34" t="s">
        <v>2244</v>
      </c>
      <c r="C34" s="42">
        <f>C110</f>
        <v>190.69999999999891</v>
      </c>
      <c r="D34" s="42">
        <f t="shared" si="2"/>
        <v>152.55999999999912</v>
      </c>
      <c r="E34" s="42">
        <f t="shared" si="3"/>
        <v>508.5333333333304</v>
      </c>
      <c r="F34" t="s">
        <v>28</v>
      </c>
    </row>
    <row r="35" spans="2:6" x14ac:dyDescent="0.3">
      <c r="B35" t="s">
        <v>2244</v>
      </c>
      <c r="C35" s="42">
        <f>C111</f>
        <v>455.46999999999935</v>
      </c>
      <c r="D35" s="42">
        <f t="shared" si="2"/>
        <v>364.37599999999952</v>
      </c>
      <c r="E35" s="42">
        <f t="shared" si="3"/>
        <v>1214.5866666666652</v>
      </c>
      <c r="F35" t="s">
        <v>36</v>
      </c>
    </row>
    <row r="36" spans="2:6" x14ac:dyDescent="0.3">
      <c r="B36" s="37" t="s">
        <v>1672</v>
      </c>
      <c r="C36" s="42"/>
      <c r="D36" s="42"/>
      <c r="E36" s="42"/>
    </row>
    <row r="37" spans="2:6" x14ac:dyDescent="0.3">
      <c r="B37" s="37"/>
      <c r="C37" s="42"/>
      <c r="D37" s="42"/>
      <c r="E37" s="42"/>
    </row>
    <row r="38" spans="2:6" x14ac:dyDescent="0.3">
      <c r="B38" t="s">
        <v>2251</v>
      </c>
      <c r="C38" s="42">
        <v>0</v>
      </c>
      <c r="D38" s="42">
        <f t="shared" ref="D38:D43" si="4">C38*(1-$I$4)</f>
        <v>0</v>
      </c>
      <c r="E38" s="42">
        <f t="shared" ref="E38:E43" si="5">D38/(1-0.4)*2</f>
        <v>0</v>
      </c>
      <c r="F38" t="s">
        <v>2237</v>
      </c>
    </row>
    <row r="39" spans="2:6" x14ac:dyDescent="0.3">
      <c r="B39" t="s">
        <v>2251</v>
      </c>
      <c r="C39" s="42">
        <v>0</v>
      </c>
      <c r="D39" s="42">
        <f t="shared" si="4"/>
        <v>0</v>
      </c>
      <c r="E39" s="42">
        <f t="shared" si="5"/>
        <v>0</v>
      </c>
      <c r="F39" t="s">
        <v>2238</v>
      </c>
    </row>
    <row r="40" spans="2:6" x14ac:dyDescent="0.3">
      <c r="B40" t="s">
        <v>2251</v>
      </c>
      <c r="C40" s="42">
        <v>0</v>
      </c>
      <c r="D40" s="42">
        <f t="shared" si="4"/>
        <v>0</v>
      </c>
      <c r="E40" s="42">
        <f t="shared" si="5"/>
        <v>0</v>
      </c>
      <c r="F40" t="s">
        <v>2239</v>
      </c>
    </row>
    <row r="41" spans="2:6" x14ac:dyDescent="0.3">
      <c r="B41" t="s">
        <v>2251</v>
      </c>
      <c r="C41" s="42">
        <v>0</v>
      </c>
      <c r="D41" s="42">
        <f t="shared" si="4"/>
        <v>0</v>
      </c>
      <c r="E41" s="42">
        <f t="shared" si="5"/>
        <v>0</v>
      </c>
      <c r="F41" t="s">
        <v>1716</v>
      </c>
    </row>
    <row r="42" spans="2:6" x14ac:dyDescent="0.3">
      <c r="B42" t="s">
        <v>2251</v>
      </c>
      <c r="C42" s="42">
        <f>C122</f>
        <v>596.82999999999993</v>
      </c>
      <c r="D42" s="42">
        <f t="shared" si="4"/>
        <v>477.46399999999994</v>
      </c>
      <c r="E42" s="42">
        <f t="shared" si="5"/>
        <v>1591.5466666666666</v>
      </c>
      <c r="F42" t="s">
        <v>2240</v>
      </c>
    </row>
    <row r="43" spans="2:6" x14ac:dyDescent="0.3">
      <c r="B43" t="s">
        <v>2251</v>
      </c>
      <c r="C43" s="42">
        <f>C123</f>
        <v>1234.4899999999998</v>
      </c>
      <c r="D43" s="42">
        <f t="shared" si="4"/>
        <v>987.59199999999987</v>
      </c>
      <c r="E43" s="42">
        <f t="shared" si="5"/>
        <v>3291.9733333333329</v>
      </c>
      <c r="F43" t="s">
        <v>1719</v>
      </c>
    </row>
    <row r="44" spans="2:6" x14ac:dyDescent="0.3">
      <c r="B44" s="37" t="s">
        <v>1673</v>
      </c>
      <c r="C44" s="42"/>
      <c r="D44" s="42"/>
      <c r="E44" s="42"/>
    </row>
    <row r="45" spans="2:6" x14ac:dyDescent="0.3">
      <c r="B45" s="37"/>
      <c r="C45" s="42"/>
      <c r="D45" s="42"/>
      <c r="E45" s="42"/>
    </row>
    <row r="46" spans="2:6" x14ac:dyDescent="0.3">
      <c r="B46" t="s">
        <v>1674</v>
      </c>
      <c r="C46" s="42">
        <v>0</v>
      </c>
      <c r="D46" s="42">
        <f>C46*(1-$I$4)</f>
        <v>0</v>
      </c>
      <c r="E46" s="42">
        <f>D46/(1-0.4)*2</f>
        <v>0</v>
      </c>
    </row>
    <row r="47" spans="2:6" x14ac:dyDescent="0.3">
      <c r="B47" t="s">
        <v>1673</v>
      </c>
      <c r="C47" s="42">
        <v>1</v>
      </c>
      <c r="D47" s="42">
        <f>C47*(1-$I$4)</f>
        <v>0.8</v>
      </c>
      <c r="E47" s="42">
        <f>D47/(1-0.4)*2</f>
        <v>2.666666666666667</v>
      </c>
      <c r="F47" t="s">
        <v>2237</v>
      </c>
    </row>
    <row r="48" spans="2:6" x14ac:dyDescent="0.3">
      <c r="B48" t="s">
        <v>1673</v>
      </c>
      <c r="C48" s="42">
        <v>0</v>
      </c>
      <c r="D48" s="42">
        <f>C48*(1-$I$4)</f>
        <v>0</v>
      </c>
      <c r="E48" s="42">
        <f>D48/(1-0.4)*2</f>
        <v>0</v>
      </c>
      <c r="F48" t="s">
        <v>2238</v>
      </c>
    </row>
    <row r="49" spans="2:6" x14ac:dyDescent="0.3">
      <c r="B49" t="s">
        <v>1673</v>
      </c>
      <c r="C49" s="42">
        <v>0</v>
      </c>
      <c r="D49" s="42">
        <f>C49*(1-$I$4)</f>
        <v>0</v>
      </c>
      <c r="E49" s="42">
        <f>D49/(1-0.4)*2</f>
        <v>0</v>
      </c>
      <c r="F49" t="s">
        <v>1714</v>
      </c>
    </row>
    <row r="50" spans="2:6" x14ac:dyDescent="0.3">
      <c r="B50" t="s">
        <v>1673</v>
      </c>
      <c r="C50" s="42">
        <v>0</v>
      </c>
      <c r="D50" s="42">
        <f>C50*(1-$I$4)</f>
        <v>0</v>
      </c>
      <c r="E50" s="42">
        <f>D50/(1-0.4)*2</f>
        <v>0</v>
      </c>
      <c r="F50" t="s">
        <v>1716</v>
      </c>
    </row>
    <row r="51" spans="2:6" x14ac:dyDescent="0.3">
      <c r="C51" s="42"/>
      <c r="D51" s="42"/>
      <c r="E51" s="42"/>
    </row>
    <row r="52" spans="2:6" x14ac:dyDescent="0.3">
      <c r="B52" s="37" t="s">
        <v>1399</v>
      </c>
      <c r="C52" s="42"/>
      <c r="D52" s="42"/>
      <c r="E52" s="42"/>
    </row>
    <row r="53" spans="2:6" x14ac:dyDescent="0.3">
      <c r="B53" s="37" t="s">
        <v>1675</v>
      </c>
      <c r="C53" s="42"/>
      <c r="D53" s="42"/>
      <c r="E53" s="42">
        <v>0</v>
      </c>
    </row>
    <row r="54" spans="2:6" x14ac:dyDescent="0.3">
      <c r="B54" t="s">
        <v>1676</v>
      </c>
      <c r="C54" s="42">
        <f>C131-C130</f>
        <v>296.25</v>
      </c>
      <c r="D54" s="42">
        <f>C54*(1-$I$4)</f>
        <v>237</v>
      </c>
      <c r="E54" s="42">
        <f>D54/(1-0.4)*2</f>
        <v>790</v>
      </c>
    </row>
    <row r="55" spans="2:6" x14ac:dyDescent="0.3">
      <c r="B55" t="s">
        <v>1677</v>
      </c>
      <c r="C55" s="42">
        <f>C135-C130</f>
        <v>203.67000000000007</v>
      </c>
      <c r="D55" s="42">
        <f>C55*(1-$I$4)</f>
        <v>162.93600000000006</v>
      </c>
      <c r="E55" s="42">
        <f>D55/(1-0.4)*2</f>
        <v>543.12000000000023</v>
      </c>
    </row>
    <row r="56" spans="2:6" x14ac:dyDescent="0.3">
      <c r="B56" t="s">
        <v>1678</v>
      </c>
      <c r="C56" s="42">
        <f>C137-C130</f>
        <v>374</v>
      </c>
      <c r="D56" s="42">
        <f>C56*(1-$I$4)</f>
        <v>299.2</v>
      </c>
      <c r="E56" s="42">
        <f>D56/(1-0.4)*2</f>
        <v>997.33333333333337</v>
      </c>
    </row>
    <row r="57" spans="2:6" x14ac:dyDescent="0.3">
      <c r="B57" t="s">
        <v>98</v>
      </c>
      <c r="C57" s="42">
        <f>C140</f>
        <v>789.71999999999935</v>
      </c>
      <c r="D57" s="42">
        <f>C57*(1-$I$4)</f>
        <v>631.7759999999995</v>
      </c>
      <c r="E57" s="42">
        <f>D57/(1-0.4)*2</f>
        <v>2105.9199999999983</v>
      </c>
    </row>
    <row r="58" spans="2:6" x14ac:dyDescent="0.3">
      <c r="B58" t="s">
        <v>1679</v>
      </c>
      <c r="C58" s="42">
        <f>C141</f>
        <v>288.82999999999993</v>
      </c>
      <c r="D58" s="42">
        <f>C58*(1-$I$4)</f>
        <v>231.06399999999996</v>
      </c>
      <c r="E58" s="42">
        <f>D58/(1-0.4)*2</f>
        <v>770.21333333333325</v>
      </c>
    </row>
    <row r="59" spans="2:6" x14ac:dyDescent="0.3">
      <c r="B59" s="37" t="s">
        <v>1680</v>
      </c>
      <c r="C59" s="42"/>
      <c r="D59" s="42"/>
      <c r="E59" s="42"/>
    </row>
    <row r="60" spans="2:6" x14ac:dyDescent="0.3">
      <c r="C60" s="42"/>
      <c r="D60" s="42"/>
      <c r="E60" s="42"/>
    </row>
    <row r="61" spans="2:6" x14ac:dyDescent="0.3">
      <c r="B61" t="s">
        <v>1681</v>
      </c>
      <c r="C61" s="42">
        <v>0</v>
      </c>
      <c r="D61" s="42">
        <f t="shared" ref="D61:D67" si="6">C61*(1-$I$4)</f>
        <v>0</v>
      </c>
      <c r="E61" s="42">
        <f t="shared" ref="E61:E67" si="7">D61/(1-0.4)*2</f>
        <v>0</v>
      </c>
    </row>
    <row r="62" spans="2:6" x14ac:dyDescent="0.3">
      <c r="B62" t="s">
        <v>1682</v>
      </c>
      <c r="C62" s="42">
        <v>0</v>
      </c>
      <c r="D62" s="42">
        <f t="shared" si="6"/>
        <v>0</v>
      </c>
      <c r="E62" s="42">
        <f t="shared" si="7"/>
        <v>0</v>
      </c>
    </row>
    <row r="63" spans="2:6" x14ac:dyDescent="0.3">
      <c r="B63" t="s">
        <v>1683</v>
      </c>
      <c r="C63" s="42">
        <v>0</v>
      </c>
      <c r="D63" s="42">
        <f t="shared" si="6"/>
        <v>0</v>
      </c>
      <c r="E63" s="42">
        <f t="shared" si="7"/>
        <v>0</v>
      </c>
    </row>
    <row r="64" spans="2:6" x14ac:dyDescent="0.3">
      <c r="B64" t="s">
        <v>1684</v>
      </c>
      <c r="C64" s="42">
        <v>0</v>
      </c>
      <c r="D64" s="42">
        <f t="shared" si="6"/>
        <v>0</v>
      </c>
      <c r="E64" s="42">
        <f t="shared" si="7"/>
        <v>0</v>
      </c>
    </row>
    <row r="65" spans="2:7" x14ac:dyDescent="0.3">
      <c r="B65" t="s">
        <v>1685</v>
      </c>
      <c r="C65" s="42">
        <v>0</v>
      </c>
      <c r="D65" s="42">
        <f t="shared" si="6"/>
        <v>0</v>
      </c>
      <c r="E65" s="42">
        <f t="shared" si="7"/>
        <v>0</v>
      </c>
    </row>
    <row r="66" spans="2:7" x14ac:dyDescent="0.3">
      <c r="B66" t="s">
        <v>1686</v>
      </c>
      <c r="C66" s="42">
        <v>0</v>
      </c>
      <c r="D66" s="42">
        <f t="shared" si="6"/>
        <v>0</v>
      </c>
      <c r="E66" s="42">
        <f t="shared" si="7"/>
        <v>0</v>
      </c>
    </row>
    <row r="67" spans="2:7" x14ac:dyDescent="0.3">
      <c r="B67" t="s">
        <v>1687</v>
      </c>
      <c r="C67" s="42">
        <v>0</v>
      </c>
      <c r="D67" s="42">
        <f t="shared" si="6"/>
        <v>0</v>
      </c>
      <c r="E67" s="42">
        <f t="shared" si="7"/>
        <v>0</v>
      </c>
    </row>
    <row r="68" spans="2:7" x14ac:dyDescent="0.3">
      <c r="B68" s="37" t="s">
        <v>1688</v>
      </c>
      <c r="C68" s="42"/>
      <c r="D68" s="42"/>
      <c r="E68" s="42"/>
    </row>
    <row r="69" spans="2:7" x14ac:dyDescent="0.3">
      <c r="B69" s="37"/>
      <c r="C69" s="42"/>
      <c r="D69" s="42"/>
      <c r="E69" s="42"/>
    </row>
    <row r="70" spans="2:7" x14ac:dyDescent="0.3">
      <c r="B70" t="s">
        <v>1689</v>
      </c>
      <c r="C70" s="42">
        <v>0</v>
      </c>
      <c r="D70" s="42">
        <f>C70*(1-$I$4)</f>
        <v>0</v>
      </c>
      <c r="E70" s="42">
        <f>D70/(1-0.4)*2</f>
        <v>0</v>
      </c>
      <c r="G70" s="42"/>
    </row>
    <row r="71" spans="2:7" x14ac:dyDescent="0.3">
      <c r="B71" t="s">
        <v>1690</v>
      </c>
      <c r="C71" s="42">
        <f>SUM(C149*3,C150,C147)/3</f>
        <v>767.14333333333218</v>
      </c>
      <c r="D71" s="42">
        <f>C71*(1-$I$4)</f>
        <v>613.71466666666572</v>
      </c>
      <c r="E71" s="42">
        <f>D71/(1-0.4)*2</f>
        <v>2045.7155555555526</v>
      </c>
      <c r="G71" s="42"/>
    </row>
    <row r="72" spans="2:7" x14ac:dyDescent="0.3">
      <c r="B72" t="s">
        <v>1691</v>
      </c>
      <c r="C72" s="42">
        <f>SUM(C149*3,C150,C147)/3*2</f>
        <v>1534.2866666666644</v>
      </c>
      <c r="D72" s="42">
        <f>C72*(1-$I$4)</f>
        <v>1227.4293333333314</v>
      </c>
      <c r="E72" s="42">
        <f>D72/(1-0.4)*2</f>
        <v>4091.4311111111051</v>
      </c>
      <c r="G72" s="42"/>
    </row>
    <row r="73" spans="2:7" x14ac:dyDescent="0.3">
      <c r="B73" t="s">
        <v>1692</v>
      </c>
      <c r="C73" s="42">
        <f>SUM(C149*3,C150,C147)/3*3</f>
        <v>2301.4299999999967</v>
      </c>
      <c r="D73" s="42">
        <f>C73*(1-$I$4)</f>
        <v>1841.1439999999975</v>
      </c>
      <c r="E73" s="42">
        <f>D73/(1-0.4)*2</f>
        <v>6137.1466666666583</v>
      </c>
      <c r="G73" s="42"/>
    </row>
    <row r="74" spans="2:7" x14ac:dyDescent="0.3">
      <c r="B74" t="s">
        <v>1693</v>
      </c>
      <c r="C74" s="42">
        <f>SUM(C149*3,C150,C147)/3*4</f>
        <v>3068.5733333333287</v>
      </c>
      <c r="D74" s="42">
        <f>C74*(1-$I$4)</f>
        <v>2454.8586666666629</v>
      </c>
      <c r="E74" s="42">
        <f>D74/(1-0.4)*2</f>
        <v>8182.8622222222102</v>
      </c>
      <c r="G74" s="42"/>
    </row>
    <row r="75" spans="2:7" x14ac:dyDescent="0.3">
      <c r="C75" s="42"/>
      <c r="D75" s="42"/>
      <c r="E75" s="42"/>
      <c r="G75" s="42"/>
    </row>
    <row r="76" spans="2:7" x14ac:dyDescent="0.3">
      <c r="B76" s="37"/>
      <c r="C76" s="42"/>
      <c r="D76" s="42"/>
      <c r="E76" s="42"/>
    </row>
    <row r="77" spans="2:7" x14ac:dyDescent="0.3">
      <c r="B77" t="s">
        <v>1694</v>
      </c>
      <c r="C77" s="42">
        <v>0</v>
      </c>
      <c r="D77" s="42">
        <f>C77*(1-$I$4)</f>
        <v>0</v>
      </c>
      <c r="E77" s="42">
        <f>D77/(1-0.4)*2</f>
        <v>0</v>
      </c>
      <c r="G77" s="42"/>
    </row>
    <row r="78" spans="2:7" x14ac:dyDescent="0.3">
      <c r="B78" t="s">
        <v>1695</v>
      </c>
      <c r="C78" s="42">
        <f>SUM(C148*3,C150,C147)/3</f>
        <v>504.23333333333238</v>
      </c>
      <c r="D78" s="42">
        <f>C78*(1-$I$4)</f>
        <v>403.38666666666592</v>
      </c>
      <c r="E78" s="42">
        <f>D78/(1-0.4)*2</f>
        <v>1344.6222222222198</v>
      </c>
      <c r="G78" s="42"/>
    </row>
    <row r="79" spans="2:7" x14ac:dyDescent="0.3">
      <c r="B79" t="s">
        <v>1696</v>
      </c>
      <c r="C79" s="42">
        <f>SUM(C148*3,C150,C147)/3*2</f>
        <v>1008.4666666666648</v>
      </c>
      <c r="D79" s="42">
        <f>C79*(1-$I$4)</f>
        <v>806.77333333333183</v>
      </c>
      <c r="E79" s="42">
        <f>D79/(1-0.4)*2</f>
        <v>2689.2444444444395</v>
      </c>
      <c r="G79" s="42"/>
    </row>
    <row r="80" spans="2:7" x14ac:dyDescent="0.3">
      <c r="B80" t="s">
        <v>1697</v>
      </c>
      <c r="C80" s="42">
        <f>SUM(C148*3,C150,C147)/3*3</f>
        <v>1512.6999999999971</v>
      </c>
      <c r="D80" s="42">
        <f>C80*(1-$I$4)</f>
        <v>1210.1599999999978</v>
      </c>
      <c r="E80" s="42">
        <f>D80/(1-0.4)*2</f>
        <v>4033.8666666666595</v>
      </c>
      <c r="G80" s="42"/>
    </row>
    <row r="81" spans="1:20" x14ac:dyDescent="0.3">
      <c r="B81" t="s">
        <v>1698</v>
      </c>
      <c r="C81" s="42">
        <f>SUM(C148*3,C150,C147)/3*4</f>
        <v>2016.9333333333295</v>
      </c>
      <c r="D81" s="42">
        <f>C81*(1-$I$4)</f>
        <v>1613.5466666666637</v>
      </c>
      <c r="E81" s="42">
        <f>D81/(1-0.4)*2</f>
        <v>5378.488888888879</v>
      </c>
      <c r="G81" s="42"/>
    </row>
    <row r="82" spans="1:20" x14ac:dyDescent="0.3">
      <c r="C82" s="42"/>
      <c r="D82" s="42"/>
      <c r="E82" s="42"/>
    </row>
    <row r="83" spans="1:20" x14ac:dyDescent="0.3">
      <c r="A83" s="48" t="s">
        <v>1699</v>
      </c>
      <c r="B83" s="48"/>
      <c r="C83" s="48" t="s">
        <v>1656</v>
      </c>
      <c r="D83" s="48" t="s">
        <v>1657</v>
      </c>
      <c r="E83" s="48" t="s">
        <v>2</v>
      </c>
    </row>
    <row r="84" spans="1:20" x14ac:dyDescent="0.3">
      <c r="C84" s="42">
        <v>0</v>
      </c>
      <c r="D84" s="42">
        <f t="shared" ref="D84:D94" si="8">C84*(1-$I$4)</f>
        <v>0</v>
      </c>
      <c r="E84" s="42">
        <f t="shared" ref="E84:E94" si="9">D84/(1-0.4)*2</f>
        <v>0</v>
      </c>
    </row>
    <row r="85" spans="1:20" x14ac:dyDescent="0.3">
      <c r="B85" t="s">
        <v>1700</v>
      </c>
      <c r="C85" s="42">
        <f>12456.19-C4</f>
        <v>87.020000000000437</v>
      </c>
      <c r="D85" s="42">
        <f t="shared" si="8"/>
        <v>69.616000000000355</v>
      </c>
      <c r="E85" s="42">
        <f t="shared" si="9"/>
        <v>232.05333333333454</v>
      </c>
      <c r="F85" t="s">
        <v>1712</v>
      </c>
    </row>
    <row r="86" spans="1:20" ht="15.75" customHeight="1" x14ac:dyDescent="0.3">
      <c r="B86" t="s">
        <v>1701</v>
      </c>
      <c r="C86" s="42">
        <f>C151</f>
        <v>453.6200000000008</v>
      </c>
      <c r="D86" s="42">
        <f t="shared" si="8"/>
        <v>362.89600000000064</v>
      </c>
      <c r="E86" s="42">
        <f t="shared" si="9"/>
        <v>1209.6533333333355</v>
      </c>
    </row>
    <row r="87" spans="1:20" ht="15.75" customHeight="1" x14ac:dyDescent="0.3">
      <c r="B87" t="s">
        <v>1702</v>
      </c>
      <c r="C87" s="42">
        <f>C152</f>
        <v>862.80000000000109</v>
      </c>
      <c r="D87" s="42">
        <f t="shared" si="8"/>
        <v>690.24000000000092</v>
      </c>
      <c r="E87" s="42">
        <f t="shared" si="9"/>
        <v>2300.8000000000034</v>
      </c>
    </row>
    <row r="88" spans="1:20" ht="15.75" customHeight="1" x14ac:dyDescent="0.3">
      <c r="B88" t="s">
        <v>1703</v>
      </c>
      <c r="C88" s="42">
        <f>C153</f>
        <v>738.1200000000008</v>
      </c>
      <c r="D88" s="42">
        <f t="shared" si="8"/>
        <v>590.49600000000066</v>
      </c>
      <c r="E88" s="42">
        <f t="shared" si="9"/>
        <v>1968.3200000000022</v>
      </c>
    </row>
    <row r="89" spans="1:20" ht="15.75" customHeight="1" x14ac:dyDescent="0.3">
      <c r="B89" t="s">
        <v>1704</v>
      </c>
      <c r="C89" s="42">
        <f>C156</f>
        <v>161.08000000000175</v>
      </c>
      <c r="D89" s="42">
        <f t="shared" si="8"/>
        <v>128.8640000000014</v>
      </c>
      <c r="E89" s="42">
        <f t="shared" si="9"/>
        <v>429.54666666667134</v>
      </c>
    </row>
    <row r="90" spans="1:20" ht="15.75" customHeight="1" x14ac:dyDescent="0.3">
      <c r="B90" t="s">
        <v>1705</v>
      </c>
      <c r="C90" s="42">
        <f>C157</f>
        <v>138.8600000000024</v>
      </c>
      <c r="D90" s="42">
        <f t="shared" si="8"/>
        <v>111.08800000000193</v>
      </c>
      <c r="E90" s="42">
        <f t="shared" si="9"/>
        <v>370.29333333333977</v>
      </c>
    </row>
    <row r="91" spans="1:20" ht="15.75" customHeight="1" x14ac:dyDescent="0.3">
      <c r="B91" t="s">
        <v>1706</v>
      </c>
      <c r="C91" s="42">
        <f>C158</f>
        <v>107.39000000000124</v>
      </c>
      <c r="D91" s="42">
        <f t="shared" si="8"/>
        <v>85.912000000001001</v>
      </c>
      <c r="E91" s="42">
        <f t="shared" si="9"/>
        <v>286.37333333333669</v>
      </c>
    </row>
    <row r="92" spans="1:20" ht="15.75" customHeight="1" x14ac:dyDescent="0.3">
      <c r="B92" t="s">
        <v>1707</v>
      </c>
      <c r="C92" s="42">
        <f>C159</f>
        <v>731.34000000000015</v>
      </c>
      <c r="D92" s="42">
        <f t="shared" si="8"/>
        <v>585.07200000000012</v>
      </c>
      <c r="E92" s="42">
        <f t="shared" si="9"/>
        <v>1950.2400000000005</v>
      </c>
    </row>
    <row r="93" spans="1:20" ht="15.75" customHeight="1" x14ac:dyDescent="0.3">
      <c r="B93" t="s">
        <v>1708</v>
      </c>
      <c r="C93" s="42">
        <f>C161</f>
        <v>559.14999999999964</v>
      </c>
      <c r="D93" s="42">
        <f t="shared" si="8"/>
        <v>447.31999999999971</v>
      </c>
      <c r="E93" s="42">
        <f t="shared" si="9"/>
        <v>1491.0666666666657</v>
      </c>
    </row>
    <row r="94" spans="1:20" ht="15.75" customHeight="1" x14ac:dyDescent="0.3">
      <c r="B94" t="s">
        <v>1709</v>
      </c>
      <c r="C94" s="42">
        <v>935.02</v>
      </c>
      <c r="D94" s="42">
        <f t="shared" si="8"/>
        <v>748.01600000000008</v>
      </c>
      <c r="E94" s="42">
        <f t="shared" si="9"/>
        <v>2493.3866666666672</v>
      </c>
    </row>
    <row r="95" spans="1:20" x14ac:dyDescent="0.3">
      <c r="C95" s="42"/>
      <c r="D95" s="42"/>
      <c r="E95" s="42"/>
    </row>
    <row r="96" spans="1:20" x14ac:dyDescent="0.3"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</row>
    <row r="97" spans="1:5" x14ac:dyDescent="0.3">
      <c r="A97" s="48" t="s">
        <v>1665</v>
      </c>
      <c r="B97" s="48"/>
      <c r="C97" s="48" t="s">
        <v>1656</v>
      </c>
      <c r="D97" s="48" t="s">
        <v>1657</v>
      </c>
      <c r="E97" s="48" t="s">
        <v>2</v>
      </c>
    </row>
    <row r="98" spans="1:5" x14ac:dyDescent="0.3">
      <c r="C98" s="42"/>
      <c r="D98" s="42"/>
      <c r="E98" s="42"/>
    </row>
    <row r="99" spans="1:5" x14ac:dyDescent="0.3">
      <c r="A99" t="s">
        <v>11</v>
      </c>
      <c r="B99" t="s">
        <v>1710</v>
      </c>
      <c r="C99" s="42">
        <v>0</v>
      </c>
      <c r="D99" s="42">
        <f>C99*(1-$I$4)</f>
        <v>0</v>
      </c>
      <c r="E99" s="42">
        <f>D99/(1-0.4)*2</f>
        <v>0</v>
      </c>
    </row>
    <row r="100" spans="1:5" x14ac:dyDescent="0.3">
      <c r="B100" t="s">
        <v>1711</v>
      </c>
      <c r="C100" s="42">
        <f>12535.8-C4</f>
        <v>166.6299999999992</v>
      </c>
      <c r="D100" s="42">
        <f>C100*(1-$I$4)</f>
        <v>133.30399999999938</v>
      </c>
      <c r="E100" s="42">
        <f>D100/(1-0.4)*2</f>
        <v>444.34666666666459</v>
      </c>
    </row>
    <row r="101" spans="1:5" x14ac:dyDescent="0.3">
      <c r="B101" t="s">
        <v>1712</v>
      </c>
      <c r="C101" s="42">
        <f>12704.28-C4</f>
        <v>335.11000000000058</v>
      </c>
      <c r="D101" s="42">
        <f>C101*(1-$I$4)</f>
        <v>268.08800000000048</v>
      </c>
      <c r="E101" s="42">
        <f>D101/(1-0.4)*2</f>
        <v>893.62666666666826</v>
      </c>
    </row>
    <row r="102" spans="1:5" ht="15.75" customHeight="1" x14ac:dyDescent="0.3">
      <c r="B102" t="s">
        <v>1713</v>
      </c>
      <c r="C102" s="42">
        <f>12894.99-C4</f>
        <v>525.81999999999971</v>
      </c>
      <c r="D102" s="42">
        <f>C102*(1-$I$4)</f>
        <v>420.65599999999978</v>
      </c>
      <c r="E102" s="42">
        <f>D102/(1-0.4)*2</f>
        <v>1402.186666666666</v>
      </c>
    </row>
    <row r="103" spans="1:5" ht="15.75" customHeight="1" x14ac:dyDescent="0.3">
      <c r="B103" t="s">
        <v>1714</v>
      </c>
      <c r="C103" s="42">
        <f>13083.84-C4</f>
        <v>714.67000000000007</v>
      </c>
      <c r="D103" s="42">
        <f>C103*(1-$I$4)</f>
        <v>571.7360000000001</v>
      </c>
      <c r="E103" s="42">
        <f>D103/(1-0.4)*2</f>
        <v>1905.7866666666671</v>
      </c>
    </row>
    <row r="104" spans="1:5" ht="15.75" customHeight="1" x14ac:dyDescent="0.3">
      <c r="A104" t="s">
        <v>1671</v>
      </c>
      <c r="C104" s="42"/>
      <c r="D104" s="42"/>
      <c r="E104" s="42"/>
    </row>
    <row r="105" spans="1:5" ht="15.75" customHeight="1" x14ac:dyDescent="0.3">
      <c r="B105" t="s">
        <v>19</v>
      </c>
      <c r="C105" s="42">
        <v>0</v>
      </c>
      <c r="D105" s="42">
        <f>C105*(1-$I$4)</f>
        <v>0</v>
      </c>
      <c r="E105" s="42">
        <f>D105/(1-0.4)*2</f>
        <v>0</v>
      </c>
    </row>
    <row r="106" spans="1:5" ht="15.75" customHeight="1" x14ac:dyDescent="0.3">
      <c r="B106" t="s">
        <v>28</v>
      </c>
      <c r="C106" s="42">
        <f>12463.6-C4</f>
        <v>94.430000000000291</v>
      </c>
      <c r="D106" s="42">
        <f>C106*(1-$I$4)</f>
        <v>75.544000000000239</v>
      </c>
      <c r="E106" s="42">
        <f>D106/(1-0.4)*2</f>
        <v>251.81333333333413</v>
      </c>
    </row>
    <row r="107" spans="1:5" ht="15.75" customHeight="1" x14ac:dyDescent="0.3">
      <c r="B107" t="s">
        <v>36</v>
      </c>
      <c r="C107" s="42">
        <f>12554.32-C4</f>
        <v>185.14999999999964</v>
      </c>
      <c r="D107" s="42">
        <f>C107*(1-$I$4)</f>
        <v>148.11999999999972</v>
      </c>
      <c r="E107" s="42">
        <f>D107/(1-0.4)*2</f>
        <v>493.73333333333244</v>
      </c>
    </row>
    <row r="108" spans="1:5" ht="15.75" customHeight="1" x14ac:dyDescent="0.3">
      <c r="A108" t="s">
        <v>1715</v>
      </c>
      <c r="C108" s="42"/>
      <c r="D108" s="42"/>
      <c r="E108" s="42"/>
    </row>
    <row r="109" spans="1:5" ht="15.75" customHeight="1" x14ac:dyDescent="0.3">
      <c r="B109" t="s">
        <v>19</v>
      </c>
      <c r="C109" s="42">
        <v>0</v>
      </c>
      <c r="D109" s="42">
        <f>C109*(1-$I$4)</f>
        <v>0</v>
      </c>
      <c r="E109" s="42">
        <f>D109/(1-0.4)*2</f>
        <v>0</v>
      </c>
    </row>
    <row r="110" spans="1:5" ht="15.75" customHeight="1" x14ac:dyDescent="0.3">
      <c r="B110" t="s">
        <v>28</v>
      </c>
      <c r="C110" s="42">
        <f>14032.73-C5</f>
        <v>190.69999999999891</v>
      </c>
      <c r="D110" s="42">
        <f>C110*(1-$I$4)</f>
        <v>152.55999999999912</v>
      </c>
      <c r="E110" s="42">
        <f>D110/(1-0.4)*2</f>
        <v>508.5333333333304</v>
      </c>
    </row>
    <row r="111" spans="1:5" ht="15.75" customHeight="1" x14ac:dyDescent="0.3">
      <c r="B111" t="s">
        <v>36</v>
      </c>
      <c r="C111" s="42">
        <f>14297.5-C5</f>
        <v>455.46999999999935</v>
      </c>
      <c r="D111" s="42">
        <f>C111*(1-$I$4)</f>
        <v>364.37599999999952</v>
      </c>
      <c r="E111" s="42">
        <f>D111/(1-0.4)*2</f>
        <v>1214.5866666666652</v>
      </c>
    </row>
    <row r="112" spans="1:5" ht="15.75" customHeight="1" x14ac:dyDescent="0.3">
      <c r="A112" t="s">
        <v>1672</v>
      </c>
      <c r="C112" s="42"/>
      <c r="D112" s="42"/>
      <c r="E112" s="42"/>
    </row>
    <row r="113" spans="1:6" ht="15.75" customHeight="1" x14ac:dyDescent="0.3">
      <c r="B113" t="s">
        <v>1712</v>
      </c>
      <c r="C113" s="42">
        <f>12100.89-C4</f>
        <v>-268.28000000000065</v>
      </c>
      <c r="D113" s="42">
        <f>C113*(1-$I$4)</f>
        <v>-214.62400000000054</v>
      </c>
      <c r="E113" s="42">
        <f>D113/(1-0.4)*2</f>
        <v>-715.41333333333512</v>
      </c>
    </row>
    <row r="114" spans="1:6" ht="15.75" customHeight="1" x14ac:dyDescent="0.3">
      <c r="B114" t="s">
        <v>1713</v>
      </c>
      <c r="C114" s="42">
        <f>12151.44-C4</f>
        <v>-217.72999999999956</v>
      </c>
      <c r="D114" s="42">
        <f>C114*(1-$I$4)</f>
        <v>-174.18399999999966</v>
      </c>
      <c r="E114" s="42">
        <f>D114/(1-0.4)*2</f>
        <v>-580.61333333333221</v>
      </c>
    </row>
    <row r="115" spans="1:6" ht="15.75" customHeight="1" x14ac:dyDescent="0.3">
      <c r="B115" t="s">
        <v>1714</v>
      </c>
      <c r="C115" s="42">
        <f>12209.76-C4</f>
        <v>-159.40999999999985</v>
      </c>
      <c r="D115" s="42">
        <f>C115*(1-$I$4)</f>
        <v>-127.52799999999989</v>
      </c>
      <c r="E115" s="42">
        <f>D115/(1-0.4)*2</f>
        <v>-425.09333333333296</v>
      </c>
    </row>
    <row r="116" spans="1:6" ht="15.75" customHeight="1" x14ac:dyDescent="0.3">
      <c r="B116" t="s">
        <v>1716</v>
      </c>
      <c r="C116" s="42">
        <v>0</v>
      </c>
      <c r="D116" s="42">
        <f>C116*(1-$I$4)</f>
        <v>0</v>
      </c>
      <c r="E116" s="42">
        <f>D116/(1-0.4)*2</f>
        <v>0</v>
      </c>
    </row>
    <row r="117" spans="1:6" ht="15.75" customHeight="1" x14ac:dyDescent="0.3">
      <c r="A117" t="s">
        <v>1717</v>
      </c>
      <c r="C117" s="42"/>
      <c r="D117" s="42"/>
      <c r="E117" s="42"/>
    </row>
    <row r="118" spans="1:6" ht="15.75" customHeight="1" x14ac:dyDescent="0.3">
      <c r="B118" t="s">
        <v>1717</v>
      </c>
      <c r="C118" s="42">
        <f>13363.79-C5</f>
        <v>-478.23999999999978</v>
      </c>
      <c r="D118" s="42">
        <f t="shared" ref="D118:D123" si="10">C118*(1-$I$4)</f>
        <v>-382.59199999999987</v>
      </c>
      <c r="E118" s="42">
        <f t="shared" ref="E118:E123" si="11">D118/(1-0.4)*2</f>
        <v>-1275.3066666666664</v>
      </c>
      <c r="F118" t="s">
        <v>1712</v>
      </c>
    </row>
    <row r="119" spans="1:6" ht="15.75" customHeight="1" x14ac:dyDescent="0.3">
      <c r="B119" t="s">
        <v>1717</v>
      </c>
      <c r="C119" s="42">
        <f>13484.32-C5</f>
        <v>-357.71000000000095</v>
      </c>
      <c r="D119" s="42">
        <f t="shared" si="10"/>
        <v>-286.16800000000075</v>
      </c>
      <c r="E119" s="42">
        <f t="shared" si="11"/>
        <v>-953.89333333333582</v>
      </c>
      <c r="F119" t="s">
        <v>1713</v>
      </c>
    </row>
    <row r="120" spans="1:6" ht="15.75" customHeight="1" x14ac:dyDescent="0.3">
      <c r="B120" t="s">
        <v>1717</v>
      </c>
      <c r="C120" s="42">
        <f>13602.91-C5</f>
        <v>-239.1200000000008</v>
      </c>
      <c r="D120" s="42">
        <f t="shared" si="10"/>
        <v>-191.29600000000065</v>
      </c>
      <c r="E120" s="42">
        <f t="shared" si="11"/>
        <v>-637.65333333333547</v>
      </c>
      <c r="F120" t="s">
        <v>1714</v>
      </c>
    </row>
    <row r="121" spans="1:6" ht="15.75" customHeight="1" x14ac:dyDescent="0.3">
      <c r="B121" t="s">
        <v>1717</v>
      </c>
      <c r="C121" s="42">
        <v>0</v>
      </c>
      <c r="D121" s="42">
        <f t="shared" si="10"/>
        <v>0</v>
      </c>
      <c r="E121" s="42">
        <f t="shared" si="11"/>
        <v>0</v>
      </c>
      <c r="F121" t="s">
        <v>1716</v>
      </c>
    </row>
    <row r="122" spans="1:6" ht="15.75" customHeight="1" x14ac:dyDescent="0.3">
      <c r="B122" t="s">
        <v>1717</v>
      </c>
      <c r="C122" s="42">
        <f>14438.86-C5</f>
        <v>596.82999999999993</v>
      </c>
      <c r="D122" s="42">
        <f t="shared" si="10"/>
        <v>477.46399999999994</v>
      </c>
      <c r="E122" s="42">
        <f t="shared" si="11"/>
        <v>1591.5466666666666</v>
      </c>
      <c r="F122" t="s">
        <v>1718</v>
      </c>
    </row>
    <row r="123" spans="1:6" ht="15.75" customHeight="1" x14ac:dyDescent="0.3">
      <c r="B123" t="s">
        <v>1717</v>
      </c>
      <c r="C123" s="42">
        <f>15076.52-C5</f>
        <v>1234.4899999999998</v>
      </c>
      <c r="D123" s="42">
        <f t="shared" si="10"/>
        <v>987.59199999999987</v>
      </c>
      <c r="E123" s="42">
        <f t="shared" si="11"/>
        <v>3291.9733333333329</v>
      </c>
      <c r="F123" t="s">
        <v>1719</v>
      </c>
    </row>
    <row r="124" spans="1:6" ht="15.75" customHeight="1" x14ac:dyDescent="0.3">
      <c r="A124" t="s">
        <v>1720</v>
      </c>
      <c r="C124" s="42"/>
      <c r="D124" s="42"/>
      <c r="E124" s="42"/>
    </row>
    <row r="125" spans="1:6" ht="15.75" customHeight="1" x14ac:dyDescent="0.3">
      <c r="B125" t="s">
        <v>1712</v>
      </c>
      <c r="C125" s="42">
        <f>13363.79-C5</f>
        <v>-478.23999999999978</v>
      </c>
      <c r="D125" s="42">
        <f>C125*(1-$I$4)</f>
        <v>-382.59199999999987</v>
      </c>
      <c r="E125" s="42">
        <f>D125/(1-0.4)*2</f>
        <v>-1275.3066666666664</v>
      </c>
    </row>
    <row r="126" spans="1:6" ht="15.75" customHeight="1" x14ac:dyDescent="0.3">
      <c r="B126" t="s">
        <v>1713</v>
      </c>
      <c r="C126" s="42">
        <f>13484.32-C5</f>
        <v>-357.71000000000095</v>
      </c>
      <c r="D126" s="42">
        <f>C126*(1-$I$4)</f>
        <v>-286.16800000000075</v>
      </c>
      <c r="E126" s="42">
        <f>D126/(1-0.4)*2</f>
        <v>-953.89333333333582</v>
      </c>
    </row>
    <row r="127" spans="1:6" ht="15.75" customHeight="1" x14ac:dyDescent="0.3">
      <c r="B127" t="s">
        <v>1714</v>
      </c>
      <c r="C127" s="42">
        <f>13602.91-C5</f>
        <v>-239.1200000000008</v>
      </c>
      <c r="D127" s="42">
        <f>C127*(1-$I$4)</f>
        <v>-191.29600000000065</v>
      </c>
      <c r="E127" s="42">
        <f>D127/(1-0.4)*2</f>
        <v>-637.65333333333547</v>
      </c>
    </row>
    <row r="128" spans="1:6" ht="15.75" customHeight="1" x14ac:dyDescent="0.3">
      <c r="B128" t="s">
        <v>1716</v>
      </c>
      <c r="C128" s="42">
        <v>0</v>
      </c>
      <c r="D128" s="42">
        <f>C128*(1-$I$4)</f>
        <v>0</v>
      </c>
      <c r="E128" s="42">
        <f>D128/(1-0.4)*2</f>
        <v>0</v>
      </c>
    </row>
    <row r="129" spans="1:8" ht="15.75" customHeight="1" x14ac:dyDescent="0.3">
      <c r="A129" t="s">
        <v>1399</v>
      </c>
      <c r="C129" s="42"/>
      <c r="D129" s="42"/>
      <c r="E129" s="42"/>
    </row>
    <row r="130" spans="1:8" ht="15.75" customHeight="1" x14ac:dyDescent="0.3">
      <c r="B130" t="s">
        <v>1721</v>
      </c>
      <c r="C130" s="42">
        <f>12656.15-C4</f>
        <v>286.97999999999956</v>
      </c>
      <c r="D130" s="42">
        <f t="shared" ref="D130:D141" si="12">C130*(1-$I$4)</f>
        <v>229.58399999999966</v>
      </c>
      <c r="E130" s="42">
        <f t="shared" ref="E130:E141" si="13">D130/(1-0.4)*2</f>
        <v>765.27999999999895</v>
      </c>
    </row>
    <row r="131" spans="1:8" ht="15.75" customHeight="1" x14ac:dyDescent="0.3">
      <c r="B131" t="s">
        <v>1722</v>
      </c>
      <c r="C131" s="42">
        <f>12952.4-C4</f>
        <v>583.22999999999956</v>
      </c>
      <c r="D131" s="42">
        <f t="shared" si="12"/>
        <v>466.58399999999966</v>
      </c>
      <c r="E131" s="42">
        <f t="shared" si="13"/>
        <v>1555.2799999999988</v>
      </c>
      <c r="F131" s="42"/>
      <c r="G131" s="42"/>
      <c r="H131" s="42"/>
    </row>
    <row r="132" spans="1:8" ht="15.75" customHeight="1" x14ac:dyDescent="0.3">
      <c r="B132" t="s">
        <v>1723</v>
      </c>
      <c r="C132" s="42">
        <f>13248.65-C4</f>
        <v>879.47999999999956</v>
      </c>
      <c r="D132" s="42">
        <f t="shared" si="12"/>
        <v>703.58399999999972</v>
      </c>
      <c r="E132" s="42">
        <f t="shared" si="13"/>
        <v>2345.2799999999993</v>
      </c>
      <c r="F132" s="42"/>
      <c r="G132" s="42"/>
      <c r="H132" s="42"/>
    </row>
    <row r="133" spans="1:8" ht="15.75" customHeight="1" x14ac:dyDescent="0.3">
      <c r="B133" t="s">
        <v>1724</v>
      </c>
      <c r="C133" s="42">
        <f>13544.9-C4</f>
        <v>1175.7299999999996</v>
      </c>
      <c r="D133" s="42">
        <f t="shared" si="12"/>
        <v>940.58399999999972</v>
      </c>
      <c r="E133" s="42">
        <f t="shared" si="13"/>
        <v>3135.2799999999993</v>
      </c>
      <c r="F133" s="42"/>
      <c r="G133" s="42"/>
      <c r="H133" s="42"/>
    </row>
    <row r="134" spans="1:8" ht="15.75" customHeight="1" x14ac:dyDescent="0.3">
      <c r="B134" t="s">
        <v>1725</v>
      </c>
      <c r="C134" s="42">
        <f>13841.15-C4</f>
        <v>1471.9799999999996</v>
      </c>
      <c r="D134" s="42">
        <f t="shared" si="12"/>
        <v>1177.5839999999996</v>
      </c>
      <c r="E134" s="42">
        <f t="shared" si="13"/>
        <v>3925.2799999999988</v>
      </c>
      <c r="F134" s="42"/>
      <c r="G134" s="42"/>
      <c r="H134" s="42"/>
    </row>
    <row r="135" spans="1:8" ht="15.75" customHeight="1" x14ac:dyDescent="0.3">
      <c r="B135" t="s">
        <v>2241</v>
      </c>
      <c r="C135" s="42">
        <f>12859.82-C4</f>
        <v>490.64999999999964</v>
      </c>
      <c r="D135" s="42">
        <f t="shared" si="12"/>
        <v>392.51999999999975</v>
      </c>
      <c r="E135" s="42">
        <f t="shared" si="13"/>
        <v>1308.3999999999992</v>
      </c>
    </row>
    <row r="136" spans="1:8" ht="15.75" customHeight="1" x14ac:dyDescent="0.3">
      <c r="B136" t="s">
        <v>1726</v>
      </c>
      <c r="C136" s="42">
        <f>13280.11-C4</f>
        <v>910.94000000000051</v>
      </c>
      <c r="D136" s="42">
        <f t="shared" si="12"/>
        <v>728.75200000000041</v>
      </c>
      <c r="E136" s="42">
        <f t="shared" si="13"/>
        <v>2429.173333333335</v>
      </c>
    </row>
    <row r="137" spans="1:8" ht="15.75" customHeight="1" x14ac:dyDescent="0.3">
      <c r="B137" t="s">
        <v>2242</v>
      </c>
      <c r="C137" s="42">
        <f>13030.15-C4</f>
        <v>660.97999999999956</v>
      </c>
      <c r="D137" s="42">
        <f t="shared" si="12"/>
        <v>528.78399999999965</v>
      </c>
      <c r="E137" s="42">
        <f t="shared" si="13"/>
        <v>1762.6133333333323</v>
      </c>
    </row>
    <row r="138" spans="1:8" ht="15.75" customHeight="1" x14ac:dyDescent="0.3">
      <c r="B138" t="s">
        <v>1727</v>
      </c>
      <c r="C138" s="42">
        <f>13620.77-C4</f>
        <v>1251.6000000000004</v>
      </c>
      <c r="D138" s="42">
        <f t="shared" si="12"/>
        <v>1001.2800000000003</v>
      </c>
      <c r="E138" s="42">
        <f t="shared" si="13"/>
        <v>3337.6000000000013</v>
      </c>
    </row>
    <row r="139" spans="1:8" ht="15.75" customHeight="1" x14ac:dyDescent="0.3">
      <c r="B139" t="s">
        <v>1728</v>
      </c>
      <c r="C139" s="42">
        <f>12533.95-C4</f>
        <v>164.78000000000065</v>
      </c>
      <c r="D139" s="42">
        <f t="shared" si="12"/>
        <v>131.82400000000052</v>
      </c>
      <c r="E139" s="42">
        <f t="shared" si="13"/>
        <v>439.41333333333512</v>
      </c>
    </row>
    <row r="140" spans="1:8" ht="15.75" customHeight="1" x14ac:dyDescent="0.3">
      <c r="B140" t="s">
        <v>98</v>
      </c>
      <c r="C140" s="42">
        <f>13158.89-C4</f>
        <v>789.71999999999935</v>
      </c>
      <c r="D140" s="42">
        <f t="shared" si="12"/>
        <v>631.7759999999995</v>
      </c>
      <c r="E140" s="42">
        <f t="shared" si="13"/>
        <v>2105.9199999999983</v>
      </c>
    </row>
    <row r="141" spans="1:8" ht="15.75" customHeight="1" x14ac:dyDescent="0.3">
      <c r="B141" t="s">
        <v>1679</v>
      </c>
      <c r="C141" s="42">
        <f>12993.11-C4-C101</f>
        <v>288.82999999999993</v>
      </c>
      <c r="D141" s="42">
        <f t="shared" si="12"/>
        <v>231.06399999999996</v>
      </c>
      <c r="E141" s="42">
        <f t="shared" si="13"/>
        <v>770.21333333333325</v>
      </c>
    </row>
    <row r="142" spans="1:8" ht="15.75" customHeight="1" x14ac:dyDescent="0.3">
      <c r="A142" t="s">
        <v>1729</v>
      </c>
      <c r="C142" s="42"/>
      <c r="D142" s="42"/>
      <c r="E142" s="42"/>
    </row>
    <row r="143" spans="1:8" ht="15.75" customHeight="1" x14ac:dyDescent="0.3">
      <c r="A143" s="48" t="s">
        <v>1730</v>
      </c>
      <c r="B143" s="48" t="s">
        <v>1731</v>
      </c>
      <c r="C143" s="48" t="s">
        <v>1656</v>
      </c>
      <c r="D143" s="48" t="s">
        <v>1657</v>
      </c>
      <c r="E143" s="48" t="s">
        <v>2</v>
      </c>
    </row>
    <row r="144" spans="1:8" ht="15.75" customHeight="1" x14ac:dyDescent="0.3">
      <c r="B144" t="s">
        <v>1732</v>
      </c>
      <c r="C144" s="42">
        <f>12700.59-C4</f>
        <v>331.42000000000007</v>
      </c>
      <c r="D144" s="42">
        <f>C144*(1-$I$4)</f>
        <v>265.13600000000008</v>
      </c>
      <c r="E144" s="42">
        <f>D144/(1-0.4)*2</f>
        <v>883.78666666666697</v>
      </c>
    </row>
    <row r="145" spans="1:5" ht="15.75" customHeight="1" x14ac:dyDescent="0.3">
      <c r="B145" t="s">
        <v>1700</v>
      </c>
      <c r="C145" s="42">
        <f>12456.19-C4</f>
        <v>87.020000000000437</v>
      </c>
      <c r="D145" s="42">
        <f t="shared" ref="D145:D153" si="14">C145*(1-$I$4)</f>
        <v>69.616000000000355</v>
      </c>
      <c r="E145" s="42">
        <f t="shared" ref="E145:E153" si="15">D145/(1-0.4)*2</f>
        <v>232.05333333333454</v>
      </c>
    </row>
    <row r="146" spans="1:5" ht="15.75" customHeight="1" x14ac:dyDescent="0.3">
      <c r="B146" t="s">
        <v>1733</v>
      </c>
      <c r="C146" s="42">
        <f>12610.19-C4</f>
        <v>241.02000000000044</v>
      </c>
      <c r="D146" s="42">
        <f t="shared" si="14"/>
        <v>192.81600000000037</v>
      </c>
      <c r="E146" s="42">
        <f t="shared" si="15"/>
        <v>642.72000000000128</v>
      </c>
    </row>
    <row r="147" spans="1:5" ht="15.75" customHeight="1" x14ac:dyDescent="0.3">
      <c r="B147" t="s">
        <v>1734</v>
      </c>
      <c r="C147" s="42">
        <f>12654.31-C4</f>
        <v>285.13999999999942</v>
      </c>
      <c r="D147" s="42">
        <f t="shared" si="14"/>
        <v>228.11199999999954</v>
      </c>
      <c r="E147" s="42">
        <f t="shared" si="15"/>
        <v>760.37333333333186</v>
      </c>
    </row>
    <row r="148" spans="1:5" ht="15.75" customHeight="1" x14ac:dyDescent="0.3">
      <c r="B148" t="s">
        <v>1735</v>
      </c>
      <c r="C148" s="42">
        <f>12961.98-C4-C146</f>
        <v>351.78999999999905</v>
      </c>
      <c r="D148" s="42">
        <f t="shared" si="14"/>
        <v>281.43199999999928</v>
      </c>
      <c r="E148" s="42">
        <f t="shared" si="15"/>
        <v>938.1066666666643</v>
      </c>
    </row>
    <row r="149" spans="1:5" ht="15.75" customHeight="1" x14ac:dyDescent="0.3">
      <c r="B149" t="s">
        <v>1736</v>
      </c>
      <c r="C149" s="42">
        <f>13224.89-C4-C146</f>
        <v>614.69999999999891</v>
      </c>
      <c r="D149" s="42">
        <f t="shared" si="14"/>
        <v>491.75999999999914</v>
      </c>
      <c r="E149" s="42">
        <f t="shared" si="15"/>
        <v>1639.1999999999971</v>
      </c>
    </row>
    <row r="150" spans="1:5" ht="15.75" customHeight="1" x14ac:dyDescent="0.3">
      <c r="B150" t="s">
        <v>1737</v>
      </c>
      <c r="C150" s="42">
        <f>13397.08-C4-C146-C149</f>
        <v>172.19000000000051</v>
      </c>
      <c r="D150" s="42">
        <f t="shared" si="14"/>
        <v>137.75200000000041</v>
      </c>
      <c r="E150" s="42">
        <f t="shared" si="15"/>
        <v>459.17333333333471</v>
      </c>
    </row>
    <row r="151" spans="1:5" ht="15.75" customHeight="1" x14ac:dyDescent="0.3">
      <c r="B151" t="s">
        <v>1738</v>
      </c>
      <c r="C151" s="42">
        <f>13678.51-C4-C146-C149</f>
        <v>453.6200000000008</v>
      </c>
      <c r="D151" s="42">
        <f t="shared" si="14"/>
        <v>362.89600000000064</v>
      </c>
      <c r="E151" s="42">
        <f t="shared" si="15"/>
        <v>1209.6533333333355</v>
      </c>
    </row>
    <row r="152" spans="1:5" ht="15.75" customHeight="1" x14ac:dyDescent="0.3">
      <c r="B152" t="s">
        <v>1739</v>
      </c>
      <c r="C152" s="42">
        <f>14087.69-C4-C149-C146</f>
        <v>862.80000000000109</v>
      </c>
      <c r="D152" s="42">
        <f t="shared" si="14"/>
        <v>690.24000000000092</v>
      </c>
      <c r="E152" s="42">
        <f t="shared" si="15"/>
        <v>2300.8000000000034</v>
      </c>
    </row>
    <row r="153" spans="1:5" ht="15.75" customHeight="1" x14ac:dyDescent="0.3">
      <c r="B153" t="s">
        <v>1740</v>
      </c>
      <c r="C153" s="42">
        <f>13963.01-C4-C149-C146</f>
        <v>738.1200000000008</v>
      </c>
      <c r="D153" s="42">
        <f t="shared" si="14"/>
        <v>590.49600000000066</v>
      </c>
      <c r="E153" s="42">
        <f t="shared" si="15"/>
        <v>1968.3200000000022</v>
      </c>
    </row>
    <row r="154" spans="1:5" ht="15.75" customHeight="1" x14ac:dyDescent="0.3">
      <c r="A154" t="s">
        <v>72</v>
      </c>
      <c r="D154" s="42"/>
      <c r="E154" s="42"/>
    </row>
    <row r="155" spans="1:5" ht="15.75" customHeight="1" x14ac:dyDescent="0.3">
      <c r="A155" s="48" t="s">
        <v>1730</v>
      </c>
      <c r="B155" s="48" t="s">
        <v>1731</v>
      </c>
      <c r="C155" s="48" t="s">
        <v>1656</v>
      </c>
      <c r="D155" s="48" t="s">
        <v>1657</v>
      </c>
      <c r="E155" s="48" t="s">
        <v>2</v>
      </c>
    </row>
    <row r="156" spans="1:5" ht="15.75" customHeight="1" x14ac:dyDescent="0.3">
      <c r="B156" t="s">
        <v>1741</v>
      </c>
      <c r="C156" s="42">
        <f>13430.09-C4-C147-C149</f>
        <v>161.08000000000175</v>
      </c>
      <c r="D156" s="42">
        <f t="shared" ref="D156:D162" si="16">C156*(1-$I$4)</f>
        <v>128.8640000000014</v>
      </c>
      <c r="E156" s="42">
        <f t="shared" ref="E156:E162" si="17">D156/(1-0.4)*2</f>
        <v>429.54666666667134</v>
      </c>
    </row>
    <row r="157" spans="1:5" ht="15.75" customHeight="1" x14ac:dyDescent="0.3">
      <c r="B157" t="s">
        <v>1742</v>
      </c>
      <c r="C157" s="42">
        <f>13407.87-C4-C147-C149</f>
        <v>138.8600000000024</v>
      </c>
      <c r="D157" s="42">
        <f t="shared" si="16"/>
        <v>111.08800000000193</v>
      </c>
      <c r="E157" s="42">
        <f t="shared" si="17"/>
        <v>370.29333333333977</v>
      </c>
    </row>
    <row r="158" spans="1:5" ht="15.75" customHeight="1" x14ac:dyDescent="0.3">
      <c r="B158" t="s">
        <v>1706</v>
      </c>
      <c r="C158" s="42">
        <f>13376.4-C4-C147-C149</f>
        <v>107.39000000000124</v>
      </c>
      <c r="D158" s="42">
        <f t="shared" si="16"/>
        <v>85.912000000001001</v>
      </c>
      <c r="E158" s="42">
        <f t="shared" si="17"/>
        <v>286.37333333333669</v>
      </c>
    </row>
    <row r="159" spans="1:5" ht="15.75" customHeight="1" x14ac:dyDescent="0.3">
      <c r="B159" t="s">
        <v>1707</v>
      </c>
      <c r="C159" s="42">
        <f>13385.65-C4-C147</f>
        <v>731.34000000000015</v>
      </c>
      <c r="D159" s="42">
        <f t="shared" si="16"/>
        <v>585.07200000000012</v>
      </c>
      <c r="E159" s="42">
        <f t="shared" si="17"/>
        <v>1950.2400000000005</v>
      </c>
    </row>
    <row r="160" spans="1:5" ht="15.75" customHeight="1" x14ac:dyDescent="0.3">
      <c r="B160" t="s">
        <v>1743</v>
      </c>
      <c r="C160" s="42">
        <f>12863.52-C4</f>
        <v>494.35000000000036</v>
      </c>
      <c r="D160" s="42">
        <f t="shared" si="16"/>
        <v>395.4800000000003</v>
      </c>
      <c r="E160" s="42">
        <f t="shared" si="17"/>
        <v>1318.2666666666678</v>
      </c>
    </row>
    <row r="161" spans="1:5" ht="15.75" customHeight="1" x14ac:dyDescent="0.3">
      <c r="B161" t="s">
        <v>1744</v>
      </c>
      <c r="C161" s="42">
        <f>12928.32-C4</f>
        <v>559.14999999999964</v>
      </c>
      <c r="D161" s="42">
        <f t="shared" si="16"/>
        <v>447.31999999999971</v>
      </c>
      <c r="E161" s="42">
        <f t="shared" si="17"/>
        <v>1491.0666666666657</v>
      </c>
    </row>
    <row r="162" spans="1:5" ht="15.75" customHeight="1" x14ac:dyDescent="0.3">
      <c r="B162" t="s">
        <v>1745</v>
      </c>
      <c r="C162" s="42">
        <f>13209.75-C4</f>
        <v>840.57999999999993</v>
      </c>
      <c r="D162" s="42">
        <f t="shared" si="16"/>
        <v>672.46399999999994</v>
      </c>
      <c r="E162" s="42">
        <f t="shared" si="17"/>
        <v>2241.5466666666666</v>
      </c>
    </row>
    <row r="164" spans="1:5" ht="15.75" customHeight="1" x14ac:dyDescent="0.3">
      <c r="A164" t="s">
        <v>1746</v>
      </c>
    </row>
    <row r="165" spans="1:5" ht="15.75" customHeight="1" x14ac:dyDescent="0.3">
      <c r="A165" s="48" t="s">
        <v>1730</v>
      </c>
      <c r="B165" s="48" t="s">
        <v>1731</v>
      </c>
      <c r="C165" s="48" t="s">
        <v>1656</v>
      </c>
      <c r="D165" s="48" t="s">
        <v>1657</v>
      </c>
      <c r="E165" s="48" t="s">
        <v>2</v>
      </c>
    </row>
    <row r="166" spans="1:5" ht="15.75" customHeight="1" x14ac:dyDescent="0.3">
      <c r="A166">
        <v>1856697</v>
      </c>
      <c r="B166" t="s">
        <v>1747</v>
      </c>
      <c r="C166">
        <v>1005.36</v>
      </c>
      <c r="D166" s="42">
        <f t="shared" ref="D166:D173" si="18">C166*(1-$I$4)</f>
        <v>804.28800000000001</v>
      </c>
      <c r="E166" s="42">
        <f t="shared" ref="E166:E173" si="19">D166/(1-0.4)*2</f>
        <v>2680.96</v>
      </c>
    </row>
    <row r="167" spans="1:5" ht="15.75" customHeight="1" x14ac:dyDescent="0.3">
      <c r="A167" s="112" t="s">
        <v>1748</v>
      </c>
      <c r="B167" t="s">
        <v>1749</v>
      </c>
      <c r="C167">
        <v>151.82</v>
      </c>
      <c r="D167" s="42">
        <f t="shared" si="18"/>
        <v>121.456</v>
      </c>
      <c r="E167" s="42">
        <f t="shared" si="19"/>
        <v>404.85333333333335</v>
      </c>
    </row>
    <row r="168" spans="1:5" ht="15.75" customHeight="1" x14ac:dyDescent="0.3">
      <c r="A168">
        <v>1945882</v>
      </c>
      <c r="B168" t="s">
        <v>1750</v>
      </c>
      <c r="C168" s="42">
        <v>379.56</v>
      </c>
      <c r="D168" s="42">
        <f t="shared" si="18"/>
        <v>303.64800000000002</v>
      </c>
      <c r="E168" s="42">
        <f t="shared" si="19"/>
        <v>1012.1600000000001</v>
      </c>
    </row>
    <row r="169" spans="1:5" ht="15.75" customHeight="1" x14ac:dyDescent="0.3">
      <c r="A169">
        <v>1915476</v>
      </c>
      <c r="B169" t="s">
        <v>1751</v>
      </c>
      <c r="C169" s="42">
        <v>261.57</v>
      </c>
      <c r="D169" s="42">
        <f>C169*(1-$I$4)</f>
        <v>209.256</v>
      </c>
      <c r="E169" s="42">
        <f>D169/(1-0.4)*2</f>
        <v>697.52</v>
      </c>
    </row>
    <row r="170" spans="1:5" ht="15.75" customHeight="1" x14ac:dyDescent="0.3">
      <c r="C170" s="42"/>
      <c r="D170" s="42"/>
      <c r="E170" s="42"/>
    </row>
    <row r="171" spans="1:5" ht="15.75" customHeight="1" x14ac:dyDescent="0.3">
      <c r="A171">
        <v>1935634</v>
      </c>
      <c r="B171" t="s">
        <v>1752</v>
      </c>
      <c r="C171" s="42">
        <v>379.56</v>
      </c>
      <c r="D171" s="42">
        <f t="shared" si="18"/>
        <v>303.64800000000002</v>
      </c>
      <c r="E171" s="42">
        <f t="shared" si="19"/>
        <v>1012.1600000000001</v>
      </c>
    </row>
    <row r="172" spans="1:5" ht="15.75" customHeight="1" x14ac:dyDescent="0.3">
      <c r="B172" t="s">
        <v>1753</v>
      </c>
      <c r="C172" s="42">
        <f>665/0.7</f>
        <v>950.00000000000011</v>
      </c>
      <c r="D172" s="42">
        <f t="shared" si="18"/>
        <v>760.00000000000011</v>
      </c>
      <c r="E172" s="42">
        <f t="shared" si="19"/>
        <v>2533.3333333333339</v>
      </c>
    </row>
    <row r="173" spans="1:5" ht="15.75" customHeight="1" x14ac:dyDescent="0.3">
      <c r="B173" t="s">
        <v>1754</v>
      </c>
      <c r="C173" s="42">
        <f>665/0.7</f>
        <v>950.00000000000011</v>
      </c>
      <c r="D173" s="42">
        <f t="shared" si="18"/>
        <v>760.00000000000011</v>
      </c>
      <c r="E173" s="42">
        <f t="shared" si="19"/>
        <v>2533.3333333333339</v>
      </c>
    </row>
    <row r="175" spans="1:5" x14ac:dyDescent="0.3">
      <c r="B175" s="70"/>
      <c r="E175" s="42"/>
    </row>
    <row r="176" spans="1:5" x14ac:dyDescent="0.3">
      <c r="B176" s="37" t="s">
        <v>1717</v>
      </c>
      <c r="C176" s="42"/>
      <c r="D176" s="42"/>
      <c r="E176" s="42"/>
    </row>
    <row r="177" spans="2:6" x14ac:dyDescent="0.3">
      <c r="B177" s="37"/>
      <c r="C177" s="42"/>
      <c r="D177" s="42"/>
      <c r="E177" s="42"/>
    </row>
    <row r="178" spans="2:6" x14ac:dyDescent="0.3">
      <c r="B178" t="s">
        <v>2254</v>
      </c>
      <c r="C178" s="42">
        <v>0</v>
      </c>
      <c r="D178" s="42">
        <f t="shared" ref="D178:D183" si="20">C178*(1-$I$4)</f>
        <v>0</v>
      </c>
      <c r="E178" s="42">
        <f t="shared" ref="E178:E183" si="21">D178/(1-0.4)*2</f>
        <v>0</v>
      </c>
      <c r="F178" t="s">
        <v>2237</v>
      </c>
    </row>
    <row r="179" spans="2:6" x14ac:dyDescent="0.3">
      <c r="B179" t="s">
        <v>2254</v>
      </c>
      <c r="C179" s="42">
        <v>0</v>
      </c>
      <c r="D179" s="42">
        <f t="shared" si="20"/>
        <v>0</v>
      </c>
      <c r="E179" s="42">
        <f t="shared" si="21"/>
        <v>0</v>
      </c>
      <c r="F179" t="s">
        <v>2238</v>
      </c>
    </row>
    <row r="180" spans="2:6" x14ac:dyDescent="0.3">
      <c r="B180" t="s">
        <v>2254</v>
      </c>
      <c r="C180" s="42">
        <v>0</v>
      </c>
      <c r="D180" s="42">
        <f t="shared" si="20"/>
        <v>0</v>
      </c>
      <c r="E180" s="42">
        <f t="shared" si="21"/>
        <v>0</v>
      </c>
      <c r="F180" t="s">
        <v>2239</v>
      </c>
    </row>
    <row r="181" spans="2:6" x14ac:dyDescent="0.3">
      <c r="B181" t="s">
        <v>2254</v>
      </c>
      <c r="C181" s="42">
        <v>0</v>
      </c>
      <c r="D181" s="42">
        <f t="shared" si="20"/>
        <v>0</v>
      </c>
      <c r="E181" s="42">
        <f t="shared" si="21"/>
        <v>0</v>
      </c>
      <c r="F181" t="s">
        <v>1716</v>
      </c>
    </row>
    <row r="182" spans="2:6" x14ac:dyDescent="0.3">
      <c r="B182" t="s">
        <v>2254</v>
      </c>
      <c r="C182" s="42">
        <f>C262</f>
        <v>0</v>
      </c>
      <c r="D182" s="42">
        <f t="shared" si="20"/>
        <v>0</v>
      </c>
      <c r="E182" s="42">
        <f t="shared" si="21"/>
        <v>0</v>
      </c>
      <c r="F182" t="s">
        <v>2240</v>
      </c>
    </row>
    <row r="183" spans="2:6" x14ac:dyDescent="0.3">
      <c r="B183" t="s">
        <v>2254</v>
      </c>
      <c r="C183" s="42">
        <f>C263</f>
        <v>0</v>
      </c>
      <c r="D183" s="42">
        <f t="shared" si="20"/>
        <v>0</v>
      </c>
      <c r="E183" s="42">
        <f t="shared" si="21"/>
        <v>0</v>
      </c>
      <c r="F183" t="s">
        <v>1719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851EC-DB26-41E8-BC81-CBE0FEDED583}">
  <dimension ref="A1:N100"/>
  <sheetViews>
    <sheetView tabSelected="1" topLeftCell="A13" zoomScale="82" zoomScaleNormal="82" workbookViewId="0">
      <selection activeCell="C2" sqref="C2:C40"/>
    </sheetView>
  </sheetViews>
  <sheetFormatPr defaultRowHeight="15.6" x14ac:dyDescent="0.3"/>
  <cols>
    <col min="1" max="1" width="27" customWidth="1"/>
    <col min="2" max="2" width="27.69921875" bestFit="1" customWidth="1"/>
    <col min="3" max="3" width="53.796875" style="37" bestFit="1" customWidth="1"/>
    <col min="4" max="4" width="16.09765625" style="42" bestFit="1" customWidth="1"/>
    <col min="5" max="5" width="17.69921875" style="42" customWidth="1"/>
    <col min="6" max="6" width="0.69921875" customWidth="1"/>
    <col min="7" max="7" width="31.3984375" bestFit="1" customWidth="1"/>
    <col min="8" max="8" width="19.09765625" customWidth="1"/>
    <col min="9" max="14" width="16.69921875" customWidth="1"/>
  </cols>
  <sheetData>
    <row r="1" spans="1:8" s="32" customFormat="1" x14ac:dyDescent="0.3">
      <c r="A1" s="64" t="s">
        <v>0</v>
      </c>
      <c r="B1" s="64" t="s">
        <v>1</v>
      </c>
      <c r="C1" s="109" t="s">
        <v>1417</v>
      </c>
      <c r="D1" s="110" t="s">
        <v>2</v>
      </c>
      <c r="E1" s="110" t="s">
        <v>3</v>
      </c>
      <c r="F1" s="77"/>
      <c r="G1" s="106" t="s">
        <v>8</v>
      </c>
      <c r="H1" s="106" t="s">
        <v>0</v>
      </c>
    </row>
    <row r="2" spans="1:8" x14ac:dyDescent="0.3">
      <c r="A2" t="s">
        <v>1418</v>
      </c>
      <c r="B2" t="s">
        <v>1419</v>
      </c>
      <c r="C2" s="37" t="s">
        <v>2255</v>
      </c>
      <c r="D2" s="42">
        <f>'2025_03_28 Light Pricing'!$H$4+'2025_03_28 Light Pricing'!H23</f>
        <v>37407.699999999997</v>
      </c>
      <c r="E2" s="58">
        <f t="shared" ref="E2:E33" si="0">D2*$H$11</f>
        <v>18703.849999999999</v>
      </c>
      <c r="F2" s="78"/>
      <c r="G2" s="7" t="s">
        <v>1421</v>
      </c>
      <c r="H2" s="7">
        <v>111</v>
      </c>
    </row>
    <row r="3" spans="1:8" x14ac:dyDescent="0.3">
      <c r="A3" t="s">
        <v>1422</v>
      </c>
      <c r="B3" t="s">
        <v>1423</v>
      </c>
      <c r="C3" s="37" t="s">
        <v>2256</v>
      </c>
      <c r="D3" s="42">
        <f>'2025_03_28 Light Pricing'!$H$5+'2025_03_28 Light Pricing'!H23+'2025_03_28 Light Pricing'!H23</f>
        <v>73942.549999999988</v>
      </c>
      <c r="E3" s="58">
        <f t="shared" si="0"/>
        <v>36971.274999999994</v>
      </c>
      <c r="F3" s="79"/>
      <c r="G3" s="7" t="s">
        <v>1425</v>
      </c>
      <c r="H3" s="7">
        <v>112</v>
      </c>
    </row>
    <row r="4" spans="1:8" x14ac:dyDescent="0.3">
      <c r="A4" t="s">
        <v>1426</v>
      </c>
      <c r="B4" t="s">
        <v>1427</v>
      </c>
      <c r="C4" s="37" t="s">
        <v>2262</v>
      </c>
      <c r="D4" s="42">
        <f>'2025_03_28 Light Pricing'!$H$6+'2025_03_28 Light Pricing'!H23+'2025_03_28 Light Pricing'!H23+'2025_03_28 Light Pricing'!H23</f>
        <v>106014.51666666666</v>
      </c>
      <c r="E4" s="58">
        <f t="shared" si="0"/>
        <v>53007.258333333331</v>
      </c>
      <c r="F4" s="79"/>
      <c r="G4" s="7" t="s">
        <v>1429</v>
      </c>
      <c r="H4" s="7">
        <v>113</v>
      </c>
    </row>
    <row r="5" spans="1:8" x14ac:dyDescent="0.3">
      <c r="A5" t="s">
        <v>1430</v>
      </c>
      <c r="B5" t="s">
        <v>1431</v>
      </c>
      <c r="C5" s="37" t="s">
        <v>2263</v>
      </c>
      <c r="D5" s="42">
        <f>'2025_03_28 Light Pricing'!$H$7+'2025_03_28 Light Pricing'!H23+'2025_03_28 Light Pricing'!$H$27</f>
        <v>54751.183333333327</v>
      </c>
      <c r="E5" s="58">
        <f t="shared" si="0"/>
        <v>27375.591666666664</v>
      </c>
      <c r="F5" s="79"/>
      <c r="G5" s="7" t="s">
        <v>1433</v>
      </c>
      <c r="H5" s="7">
        <v>114</v>
      </c>
    </row>
    <row r="6" spans="1:8" x14ac:dyDescent="0.3">
      <c r="A6" t="s">
        <v>1434</v>
      </c>
      <c r="B6" t="s">
        <v>1435</v>
      </c>
      <c r="C6" s="37" t="s">
        <v>2264</v>
      </c>
      <c r="D6" s="42">
        <f>'2025_03_28 Light Pricing'!$H$8+'2025_03_28 Light Pricing'!$H$27+'2025_03_28 Light Pricing'!H23</f>
        <v>54376.533333333326</v>
      </c>
      <c r="E6" s="58">
        <f t="shared" si="0"/>
        <v>27188.266666666663</v>
      </c>
      <c r="F6" s="79"/>
      <c r="G6" s="7" t="s">
        <v>1437</v>
      </c>
      <c r="H6" s="7">
        <v>115</v>
      </c>
    </row>
    <row r="7" spans="1:8" x14ac:dyDescent="0.3">
      <c r="A7" t="s">
        <v>1438</v>
      </c>
      <c r="B7" t="s">
        <v>1439</v>
      </c>
      <c r="C7" s="37" t="s">
        <v>2265</v>
      </c>
      <c r="D7" s="42">
        <f>'2025_03_28 Light Pricing'!$H$9+'2025_03_28 Light Pricing'!H23+'2025_03_28 Light Pricing'!H23+'2025_03_28 Light Pricing'!$H$27</f>
        <v>89254.349999999991</v>
      </c>
      <c r="E7" s="58">
        <f t="shared" si="0"/>
        <v>44627.174999999996</v>
      </c>
      <c r="F7" s="79"/>
      <c r="G7" s="7" t="s">
        <v>1441</v>
      </c>
      <c r="H7" s="7">
        <v>116</v>
      </c>
    </row>
    <row r="8" spans="1:8" x14ac:dyDescent="0.3">
      <c r="A8" t="s">
        <v>1442</v>
      </c>
      <c r="B8" t="s">
        <v>1443</v>
      </c>
      <c r="C8" s="37" t="s">
        <v>2263</v>
      </c>
      <c r="D8" s="42">
        <f>'2025_03_28 Light Pricing'!$H$10+'2025_03_28 Light Pricing'!H23+'2025_03_28 Light Pricing'!$H$28</f>
        <v>63174.183333333327</v>
      </c>
      <c r="E8" s="58">
        <f t="shared" si="0"/>
        <v>31587.091666666664</v>
      </c>
      <c r="F8" s="79"/>
      <c r="G8" s="7" t="s">
        <v>90</v>
      </c>
      <c r="H8" s="7">
        <v>117</v>
      </c>
    </row>
    <row r="9" spans="1:8" x14ac:dyDescent="0.3">
      <c r="A9" t="s">
        <v>1445</v>
      </c>
      <c r="B9" t="s">
        <v>1446</v>
      </c>
      <c r="C9" s="37" t="s">
        <v>2266</v>
      </c>
      <c r="D9" s="42">
        <f>'2025_03_28 Light Pricing'!$H$11+'2025_03_28 Light Pricing'!H23+'2025_03_28 Light Pricing'!H23+'2025_03_28 Light Pricing'!$H$28</f>
        <v>95246.15</v>
      </c>
      <c r="E9" s="58">
        <f t="shared" si="0"/>
        <v>47623.074999999997</v>
      </c>
      <c r="F9" s="79"/>
    </row>
    <row r="10" spans="1:8" x14ac:dyDescent="0.3">
      <c r="A10" t="s">
        <v>1448</v>
      </c>
      <c r="B10" t="s">
        <v>1449</v>
      </c>
      <c r="C10" s="37" t="s">
        <v>2267</v>
      </c>
      <c r="D10" s="42">
        <f>'2025_03_28 Light Pricing'!$H$4+'2025_03_28 Light Pricing'!H25</f>
        <v>39936.433333333334</v>
      </c>
      <c r="E10" s="58">
        <f t="shared" si="0"/>
        <v>19968.216666666667</v>
      </c>
      <c r="F10" s="79"/>
      <c r="H10" s="108" t="s">
        <v>1451</v>
      </c>
    </row>
    <row r="11" spans="1:8" x14ac:dyDescent="0.3">
      <c r="A11" t="s">
        <v>1452</v>
      </c>
      <c r="B11" t="s">
        <v>1453</v>
      </c>
      <c r="C11" s="37" t="s">
        <v>2268</v>
      </c>
      <c r="D11" s="42">
        <f>'2025_03_28 Light Pricing'!$H$5+'2025_03_28 Light Pricing'!H25+'2025_03_28 Light Pricing'!H25</f>
        <v>79000.016666666677</v>
      </c>
      <c r="E11" s="58">
        <f t="shared" si="0"/>
        <v>39500.008333333339</v>
      </c>
      <c r="F11" s="79"/>
      <c r="H11" s="107">
        <v>0.5</v>
      </c>
    </row>
    <row r="12" spans="1:8" x14ac:dyDescent="0.3">
      <c r="A12" t="s">
        <v>1455</v>
      </c>
      <c r="B12" t="s">
        <v>1456</v>
      </c>
      <c r="C12" s="37" t="s">
        <v>2269</v>
      </c>
      <c r="D12" s="42">
        <f>'2025_03_28 Light Pricing'!$H$6+'2025_03_28 Light Pricing'!H25+'2025_03_28 Light Pricing'!H25+'2025_03_28 Light Pricing'!H25</f>
        <v>113600.71666666667</v>
      </c>
      <c r="E12" s="58">
        <f t="shared" si="0"/>
        <v>56800.358333333337</v>
      </c>
      <c r="F12" s="79"/>
    </row>
    <row r="13" spans="1:8" x14ac:dyDescent="0.3">
      <c r="A13" t="s">
        <v>1458</v>
      </c>
      <c r="B13" t="s">
        <v>1459</v>
      </c>
      <c r="C13" s="37" t="s">
        <v>2270</v>
      </c>
      <c r="D13" s="42">
        <f>'2025_03_28 Light Pricing'!$H$7+'2025_03_28 Light Pricing'!H25+'2025_03_28 Light Pricing'!$H$27</f>
        <v>57279.916666666672</v>
      </c>
      <c r="E13" s="58">
        <f t="shared" si="0"/>
        <v>28639.958333333336</v>
      </c>
      <c r="F13" s="79"/>
    </row>
    <row r="14" spans="1:8" x14ac:dyDescent="0.3">
      <c r="A14" t="s">
        <v>1461</v>
      </c>
      <c r="B14" t="s">
        <v>1462</v>
      </c>
      <c r="C14" s="37" t="s">
        <v>2271</v>
      </c>
      <c r="D14" s="42">
        <f>'2025_03_28 Light Pricing'!$H$8+'2025_03_28 Light Pricing'!$H$27+'2025_03_28 Light Pricing'!H25</f>
        <v>56905.26666666667</v>
      </c>
      <c r="E14" s="58">
        <f t="shared" si="0"/>
        <v>28452.633333333335</v>
      </c>
      <c r="F14" s="79"/>
      <c r="H14" s="42"/>
    </row>
    <row r="15" spans="1:8" x14ac:dyDescent="0.3">
      <c r="A15" t="s">
        <v>1464</v>
      </c>
      <c r="B15" t="s">
        <v>1465</v>
      </c>
      <c r="C15" s="37" t="s">
        <v>2272</v>
      </c>
      <c r="D15" s="42">
        <f>'2025_03_28 Light Pricing'!$H$9+'2025_03_28 Light Pricing'!H25+'2025_03_28 Light Pricing'!H25+'2025_03_28 Light Pricing'!$H$27</f>
        <v>94311.81666666668</v>
      </c>
      <c r="E15" s="58">
        <f t="shared" si="0"/>
        <v>47155.90833333334</v>
      </c>
      <c r="F15" s="79"/>
    </row>
    <row r="16" spans="1:8" x14ac:dyDescent="0.3">
      <c r="A16" t="s">
        <v>1467</v>
      </c>
      <c r="B16" t="s">
        <v>1468</v>
      </c>
      <c r="C16" s="37" t="s">
        <v>2270</v>
      </c>
      <c r="D16" s="42">
        <f>'2025_03_28 Light Pricing'!$H$10+'2025_03_28 Light Pricing'!H25+'2025_03_28 Light Pricing'!$H$28</f>
        <v>65702.916666666672</v>
      </c>
      <c r="E16" s="58">
        <f t="shared" si="0"/>
        <v>32851.458333333336</v>
      </c>
      <c r="F16" s="79"/>
      <c r="H16" s="42"/>
    </row>
    <row r="17" spans="1:6" x14ac:dyDescent="0.3">
      <c r="A17" t="s">
        <v>1470</v>
      </c>
      <c r="B17" t="s">
        <v>1471</v>
      </c>
      <c r="C17" s="37" t="s">
        <v>2272</v>
      </c>
      <c r="D17" s="42">
        <f>'2025_03_28 Light Pricing'!$H$11+'2025_03_28 Light Pricing'!H25+'2025_03_28 Light Pricing'!H25+'2025_03_28 Light Pricing'!$H$28</f>
        <v>100303.61666666667</v>
      </c>
      <c r="E17" s="58">
        <f t="shared" si="0"/>
        <v>50151.808333333334</v>
      </c>
      <c r="F17" s="79"/>
    </row>
    <row r="18" spans="1:6" x14ac:dyDescent="0.3">
      <c r="A18" t="s">
        <v>1473</v>
      </c>
      <c r="B18" t="s">
        <v>1474</v>
      </c>
      <c r="C18" s="37" t="s">
        <v>2260</v>
      </c>
      <c r="D18" s="42">
        <f>'2025_03_28 Light Pricing'!H12+'2025_03_28 Light Pricing'!H27</f>
        <v>20611</v>
      </c>
      <c r="E18" s="58">
        <f t="shared" si="0"/>
        <v>10305.5</v>
      </c>
      <c r="F18" s="79"/>
    </row>
    <row r="19" spans="1:6" x14ac:dyDescent="0.3">
      <c r="A19" t="s">
        <v>1476</v>
      </c>
      <c r="B19" t="s">
        <v>1477</v>
      </c>
      <c r="C19" s="37" t="s">
        <v>2287</v>
      </c>
      <c r="D19" s="42">
        <f>'2025_03_28 Light Pricing'!H13+'2025_03_28 Light Pricing'!H28</f>
        <v>26639.333333333332</v>
      </c>
      <c r="E19" s="58">
        <f t="shared" si="0"/>
        <v>13319.666666666666</v>
      </c>
      <c r="F19" s="79"/>
    </row>
    <row r="20" spans="1:6" x14ac:dyDescent="0.3">
      <c r="A20" t="s">
        <v>1479</v>
      </c>
      <c r="B20" t="s">
        <v>1480</v>
      </c>
      <c r="C20" s="37" t="s">
        <v>2273</v>
      </c>
      <c r="D20" s="42">
        <f>'2025_03_28 Light Pricing'!H14+'2025_03_28 Light Pricing'!H27+'2025_03_28 Light Pricing'!H27</f>
        <v>38481.933333333334</v>
      </c>
      <c r="E20" s="58">
        <f t="shared" si="0"/>
        <v>19240.966666666667</v>
      </c>
      <c r="F20" s="79"/>
    </row>
    <row r="21" spans="1:6" x14ac:dyDescent="0.3">
      <c r="A21" t="s">
        <v>1482</v>
      </c>
      <c r="B21" t="s">
        <v>1483</v>
      </c>
      <c r="C21" s="37" t="s">
        <v>2288</v>
      </c>
      <c r="D21" s="42">
        <f>'2025_03_28 Light Pricing'!H15+'2025_03_28 Light Pricing'!H28+'2025_03_28 Light Pricing'!H28</f>
        <v>52405.816666666666</v>
      </c>
      <c r="E21" s="58">
        <f t="shared" si="0"/>
        <v>26202.908333333333</v>
      </c>
      <c r="F21" s="79"/>
    </row>
    <row r="22" spans="1:6" x14ac:dyDescent="0.3">
      <c r="A22" t="s">
        <v>1485</v>
      </c>
      <c r="B22" t="s">
        <v>1486</v>
      </c>
      <c r="C22" s="37" t="s">
        <v>2289</v>
      </c>
      <c r="D22" s="42">
        <f>'2025_03_28 Light Pricing'!H16+'2025_03_28 Light Pricing'!H27+'2025_03_28 Light Pricing'!H28</f>
        <v>43608.166666666664</v>
      </c>
      <c r="E22" s="58">
        <f t="shared" si="0"/>
        <v>21804.083333333332</v>
      </c>
      <c r="F22" s="79"/>
    </row>
    <row r="23" spans="1:6" x14ac:dyDescent="0.3">
      <c r="A23" t="s">
        <v>1488</v>
      </c>
      <c r="B23" t="s">
        <v>1489</v>
      </c>
      <c r="C23" s="37" t="s">
        <v>2290</v>
      </c>
      <c r="D23" s="42">
        <f>'2025_03_28 Light Pricing'!H17+'2025_03_28 Light Pricing'!H28+'2025_03_28 Light Pricing'!H27</f>
        <v>43982.816666666666</v>
      </c>
      <c r="E23" s="58">
        <f t="shared" si="0"/>
        <v>21991.408333333333</v>
      </c>
      <c r="F23" s="79"/>
    </row>
    <row r="24" spans="1:6" x14ac:dyDescent="0.3">
      <c r="A24" t="s">
        <v>1491</v>
      </c>
      <c r="B24" t="s">
        <v>1492</v>
      </c>
      <c r="C24" s="37" t="s">
        <v>1493</v>
      </c>
      <c r="D24" s="42">
        <f>'2025_03_28 Light Pricing'!H33</f>
        <v>22500</v>
      </c>
      <c r="E24" s="58">
        <f t="shared" si="0"/>
        <v>11250</v>
      </c>
      <c r="F24" s="79"/>
    </row>
    <row r="25" spans="1:6" x14ac:dyDescent="0.3">
      <c r="A25" t="s">
        <v>1494</v>
      </c>
      <c r="B25" t="s">
        <v>1495</v>
      </c>
      <c r="C25" s="67" t="s">
        <v>2274</v>
      </c>
      <c r="D25" s="42">
        <f>'2025_03_28 Light Pricing'!$H$4+'2025_03_28 Light Pricing'!$H$26</f>
        <v>41940.133333333331</v>
      </c>
      <c r="E25" s="58">
        <f t="shared" si="0"/>
        <v>20970.066666666666</v>
      </c>
      <c r="F25" s="79"/>
    </row>
    <row r="26" spans="1:6" x14ac:dyDescent="0.3">
      <c r="A26" t="s">
        <v>1497</v>
      </c>
      <c r="B26" t="s">
        <v>1498</v>
      </c>
      <c r="C26" s="67" t="s">
        <v>2275</v>
      </c>
      <c r="D26" s="42">
        <f>'2025_03_28 Light Pricing'!$H$5+'2025_03_28 Light Pricing'!$H$26+'2025_03_28 Light Pricing'!$H$26</f>
        <v>83007.416666666672</v>
      </c>
      <c r="E26" s="58">
        <f t="shared" si="0"/>
        <v>41503.708333333336</v>
      </c>
      <c r="F26" s="79"/>
    </row>
    <row r="27" spans="1:6" x14ac:dyDescent="0.3">
      <c r="A27" t="s">
        <v>1500</v>
      </c>
      <c r="B27" t="s">
        <v>1501</v>
      </c>
      <c r="C27" s="67" t="s">
        <v>2276</v>
      </c>
      <c r="D27" s="42">
        <f>'2025_03_28 Light Pricing'!$H$6+'2025_03_28 Light Pricing'!$H$26+'2025_03_28 Light Pricing'!$H$26+'2025_03_28 Light Pricing'!$H$26</f>
        <v>119611.81666666667</v>
      </c>
      <c r="E27" s="58">
        <f t="shared" si="0"/>
        <v>59805.908333333333</v>
      </c>
      <c r="F27" s="79"/>
    </row>
    <row r="28" spans="1:6" x14ac:dyDescent="0.3">
      <c r="A28" t="s">
        <v>1503</v>
      </c>
      <c r="B28" t="s">
        <v>1504</v>
      </c>
      <c r="C28" s="37" t="s">
        <v>2277</v>
      </c>
      <c r="D28" s="42">
        <f>'2025_03_28 Light Pricing'!$H$7+'2025_03_28 Light Pricing'!$H$26+'2025_03_28 Light Pricing'!$H$27</f>
        <v>59283.616666666669</v>
      </c>
      <c r="E28" s="58">
        <f t="shared" si="0"/>
        <v>29641.808333333334</v>
      </c>
      <c r="F28" s="79"/>
    </row>
    <row r="29" spans="1:6" x14ac:dyDescent="0.3">
      <c r="A29" t="s">
        <v>1506</v>
      </c>
      <c r="B29" t="s">
        <v>1507</v>
      </c>
      <c r="C29" s="37" t="s">
        <v>2278</v>
      </c>
      <c r="D29" s="42">
        <f>'2025_03_28 Light Pricing'!$H$8+'2025_03_28 Light Pricing'!$H$27+'2025_03_28 Light Pricing'!$H$26</f>
        <v>58908.966666666667</v>
      </c>
      <c r="E29" s="58">
        <f t="shared" si="0"/>
        <v>29454.483333333334</v>
      </c>
      <c r="F29" s="79"/>
    </row>
    <row r="30" spans="1:6" x14ac:dyDescent="0.3">
      <c r="A30" t="s">
        <v>1509</v>
      </c>
      <c r="B30" t="s">
        <v>1510</v>
      </c>
      <c r="C30" s="37" t="s">
        <v>2279</v>
      </c>
      <c r="D30" s="42">
        <f>'2025_03_28 Light Pricing'!$H$9+'2025_03_28 Light Pricing'!$H$26+'2025_03_28 Light Pricing'!$H$26+'2025_03_28 Light Pricing'!$H$27</f>
        <v>98319.216666666674</v>
      </c>
      <c r="E30" s="58">
        <f t="shared" si="0"/>
        <v>49159.608333333337</v>
      </c>
      <c r="F30" s="79"/>
    </row>
    <row r="31" spans="1:6" x14ac:dyDescent="0.3">
      <c r="A31" t="s">
        <v>1512</v>
      </c>
      <c r="B31" t="s">
        <v>1513</v>
      </c>
      <c r="C31" s="37" t="s">
        <v>2280</v>
      </c>
      <c r="D31" s="42">
        <f>'2025_03_28 Light Pricing'!$H$10+'2025_03_28 Light Pricing'!$H$26+'2025_03_28 Light Pricing'!$H$28</f>
        <v>67706.616666666669</v>
      </c>
      <c r="E31" s="58">
        <f t="shared" si="0"/>
        <v>33853.308333333334</v>
      </c>
      <c r="F31" s="79"/>
    </row>
    <row r="32" spans="1:6" x14ac:dyDescent="0.3">
      <c r="A32" t="s">
        <v>1515</v>
      </c>
      <c r="B32" t="s">
        <v>1516</v>
      </c>
      <c r="C32" s="37" t="s">
        <v>2291</v>
      </c>
      <c r="D32" s="42">
        <f>'2025_03_28 Light Pricing'!$H$11+'2025_03_28 Light Pricing'!$H$26+'2025_03_28 Light Pricing'!$H$26+'2025_03_28 Light Pricing'!$H$28</f>
        <v>104311.01666666666</v>
      </c>
      <c r="E32" s="58">
        <f t="shared" si="0"/>
        <v>52155.508333333331</v>
      </c>
      <c r="F32" s="79"/>
    </row>
    <row r="33" spans="1:8" x14ac:dyDescent="0.3">
      <c r="A33" t="s">
        <v>1518</v>
      </c>
      <c r="B33" t="s">
        <v>1519</v>
      </c>
      <c r="C33" s="67" t="s">
        <v>2261</v>
      </c>
      <c r="D33" s="105">
        <f>'2025_03_28 Light Pricing'!$H$4+'2025_03_28 Light Pricing'!$H$26</f>
        <v>41940.133333333331</v>
      </c>
      <c r="E33" s="58">
        <f t="shared" si="0"/>
        <v>20970.066666666666</v>
      </c>
      <c r="F33" s="79"/>
      <c r="H33" s="72"/>
    </row>
    <row r="34" spans="1:8" x14ac:dyDescent="0.3">
      <c r="A34" t="s">
        <v>1521</v>
      </c>
      <c r="B34" t="s">
        <v>1522</v>
      </c>
      <c r="C34" s="67" t="s">
        <v>2281</v>
      </c>
      <c r="D34" s="42">
        <f>'2025_03_28 Light Pricing'!$H$5+'2025_03_28 Light Pricing'!$H$26+'2025_03_28 Light Pricing'!$H$26</f>
        <v>83007.416666666672</v>
      </c>
      <c r="E34" s="58">
        <f t="shared" ref="E34:E56" si="1">D34*$H$11</f>
        <v>41503.708333333336</v>
      </c>
      <c r="F34" s="79"/>
    </row>
    <row r="35" spans="1:8" x14ac:dyDescent="0.3">
      <c r="A35" t="s">
        <v>1524</v>
      </c>
      <c r="B35" t="s">
        <v>1525</v>
      </c>
      <c r="C35" s="67" t="s">
        <v>2282</v>
      </c>
      <c r="D35" s="42">
        <f>'2025_03_28 Light Pricing'!$H$6+'2025_03_28 Light Pricing'!$H$26+'2025_03_28 Light Pricing'!$H$26+'2025_03_28 Light Pricing'!$H$26</f>
        <v>119611.81666666667</v>
      </c>
      <c r="E35" s="58">
        <f t="shared" si="1"/>
        <v>59805.908333333333</v>
      </c>
      <c r="F35" s="79"/>
      <c r="H35" s="42"/>
    </row>
    <row r="36" spans="1:8" x14ac:dyDescent="0.3">
      <c r="A36" t="s">
        <v>1527</v>
      </c>
      <c r="B36" t="s">
        <v>1528</v>
      </c>
      <c r="C36" s="144" t="s">
        <v>2283</v>
      </c>
      <c r="D36" s="42">
        <f>'2025_03_28 Light Pricing'!$H$7+'2025_03_28 Light Pricing'!$H$26+'2025_03_28 Light Pricing'!$H$27</f>
        <v>59283.616666666669</v>
      </c>
      <c r="E36" s="58">
        <f t="shared" si="1"/>
        <v>29641.808333333334</v>
      </c>
      <c r="F36" s="79"/>
    </row>
    <row r="37" spans="1:8" x14ac:dyDescent="0.3">
      <c r="A37" t="s">
        <v>1530</v>
      </c>
      <c r="B37" t="s">
        <v>1531</v>
      </c>
      <c r="C37" s="144" t="s">
        <v>2284</v>
      </c>
      <c r="D37" s="42">
        <f>'2025_03_28 Light Pricing'!$H$8+'2025_03_28 Light Pricing'!$H$27+'2025_03_28 Light Pricing'!$H$26</f>
        <v>58908.966666666667</v>
      </c>
      <c r="E37" s="58">
        <f t="shared" si="1"/>
        <v>29454.483333333334</v>
      </c>
      <c r="F37" s="79"/>
    </row>
    <row r="38" spans="1:8" x14ac:dyDescent="0.3">
      <c r="A38" t="s">
        <v>1533</v>
      </c>
      <c r="B38" t="s">
        <v>1534</v>
      </c>
      <c r="C38" s="144" t="s">
        <v>2285</v>
      </c>
      <c r="D38" s="42">
        <f>'2025_03_28 Light Pricing'!$H$9+'2025_03_28 Light Pricing'!$H$26+'2025_03_28 Light Pricing'!$H$26+'2025_03_28 Light Pricing'!$H$27</f>
        <v>98319.216666666674</v>
      </c>
      <c r="E38" s="58">
        <f t="shared" si="1"/>
        <v>49159.608333333337</v>
      </c>
      <c r="F38" s="79"/>
    </row>
    <row r="39" spans="1:8" x14ac:dyDescent="0.3">
      <c r="A39" t="s">
        <v>1536</v>
      </c>
      <c r="B39" t="s">
        <v>1537</v>
      </c>
      <c r="C39" s="144" t="s">
        <v>2286</v>
      </c>
      <c r="D39" s="42">
        <f>'2025_03_28 Light Pricing'!$H$10+'2025_03_28 Light Pricing'!$H$26+'2025_03_28 Light Pricing'!$H$28</f>
        <v>67706.616666666669</v>
      </c>
      <c r="E39" s="58">
        <f t="shared" si="1"/>
        <v>33853.308333333334</v>
      </c>
      <c r="F39" s="79"/>
    </row>
    <row r="40" spans="1:8" x14ac:dyDescent="0.3">
      <c r="A40" t="s">
        <v>1539</v>
      </c>
      <c r="B40" t="s">
        <v>1540</v>
      </c>
      <c r="C40" s="144" t="s">
        <v>2292</v>
      </c>
      <c r="D40" s="42">
        <f>'2025_03_28 Light Pricing'!$H$11+'2025_03_28 Light Pricing'!$H$26+'2025_03_28 Light Pricing'!$H$26+'2025_03_28 Light Pricing'!$H$28</f>
        <v>104311.01666666666</v>
      </c>
      <c r="E40" s="58">
        <f t="shared" si="1"/>
        <v>52155.508333333331</v>
      </c>
      <c r="F40" s="79"/>
    </row>
    <row r="41" spans="1:8" x14ac:dyDescent="0.3">
      <c r="A41" t="s">
        <v>1494</v>
      </c>
      <c r="B41" t="s">
        <v>1542</v>
      </c>
      <c r="C41" s="67" t="s">
        <v>1543</v>
      </c>
      <c r="D41" s="42">
        <v>0</v>
      </c>
      <c r="E41" s="58">
        <f t="shared" si="1"/>
        <v>0</v>
      </c>
      <c r="F41" s="79"/>
    </row>
    <row r="42" spans="1:8" x14ac:dyDescent="0.3">
      <c r="A42" t="s">
        <v>1497</v>
      </c>
      <c r="B42" t="s">
        <v>1544</v>
      </c>
      <c r="C42" s="67" t="s">
        <v>1545</v>
      </c>
      <c r="D42" s="42">
        <v>0</v>
      </c>
      <c r="E42" s="58">
        <f t="shared" si="1"/>
        <v>0</v>
      </c>
      <c r="F42" s="79"/>
    </row>
    <row r="43" spans="1:8" x14ac:dyDescent="0.3">
      <c r="A43" t="s">
        <v>1500</v>
      </c>
      <c r="B43" t="s">
        <v>1546</v>
      </c>
      <c r="C43" s="67" t="s">
        <v>1547</v>
      </c>
      <c r="D43" s="42">
        <v>0</v>
      </c>
      <c r="E43" s="58">
        <f t="shared" si="1"/>
        <v>0</v>
      </c>
      <c r="F43" s="79"/>
    </row>
    <row r="44" spans="1:8" x14ac:dyDescent="0.3">
      <c r="A44" t="s">
        <v>1503</v>
      </c>
      <c r="B44" t="s">
        <v>1548</v>
      </c>
      <c r="C44" s="37" t="s">
        <v>1549</v>
      </c>
      <c r="D44" s="42">
        <v>0</v>
      </c>
      <c r="E44" s="58">
        <f t="shared" si="1"/>
        <v>0</v>
      </c>
      <c r="F44" s="79"/>
    </row>
    <row r="45" spans="1:8" x14ac:dyDescent="0.3">
      <c r="A45" t="s">
        <v>1506</v>
      </c>
      <c r="B45" t="s">
        <v>1550</v>
      </c>
      <c r="C45" s="37" t="s">
        <v>1551</v>
      </c>
      <c r="D45" s="42">
        <v>0</v>
      </c>
      <c r="E45" s="58">
        <f t="shared" si="1"/>
        <v>0</v>
      </c>
      <c r="F45" s="79"/>
    </row>
    <row r="46" spans="1:8" x14ac:dyDescent="0.3">
      <c r="A46" t="s">
        <v>1509</v>
      </c>
      <c r="B46" t="s">
        <v>1552</v>
      </c>
      <c r="C46" s="37" t="s">
        <v>1553</v>
      </c>
      <c r="D46" s="42">
        <v>0</v>
      </c>
      <c r="E46" s="58">
        <f t="shared" si="1"/>
        <v>0</v>
      </c>
      <c r="F46" s="79"/>
    </row>
    <row r="47" spans="1:8" x14ac:dyDescent="0.3">
      <c r="A47" t="s">
        <v>1512</v>
      </c>
      <c r="B47" t="s">
        <v>1554</v>
      </c>
      <c r="C47" s="37" t="s">
        <v>1549</v>
      </c>
      <c r="D47" s="42">
        <v>0</v>
      </c>
      <c r="E47" s="58">
        <f t="shared" si="1"/>
        <v>0</v>
      </c>
      <c r="F47" s="79"/>
    </row>
    <row r="48" spans="1:8" x14ac:dyDescent="0.3">
      <c r="A48" t="s">
        <v>1515</v>
      </c>
      <c r="B48" t="s">
        <v>1555</v>
      </c>
      <c r="C48" s="37" t="s">
        <v>1556</v>
      </c>
      <c r="D48" s="42">
        <v>0</v>
      </c>
      <c r="E48" s="58">
        <f t="shared" si="1"/>
        <v>0</v>
      </c>
      <c r="F48" s="79"/>
    </row>
    <row r="49" spans="1:7" x14ac:dyDescent="0.3">
      <c r="A49" t="s">
        <v>1518</v>
      </c>
      <c r="B49" t="s">
        <v>1557</v>
      </c>
      <c r="C49" s="67" t="s">
        <v>1558</v>
      </c>
      <c r="D49" s="42">
        <v>0</v>
      </c>
      <c r="E49" s="58">
        <f t="shared" si="1"/>
        <v>0</v>
      </c>
      <c r="F49" s="79"/>
    </row>
    <row r="50" spans="1:7" x14ac:dyDescent="0.3">
      <c r="A50" t="s">
        <v>1521</v>
      </c>
      <c r="B50" t="s">
        <v>1559</v>
      </c>
      <c r="C50" s="67" t="s">
        <v>1560</v>
      </c>
      <c r="D50" s="42">
        <v>0</v>
      </c>
      <c r="E50" s="58">
        <f t="shared" si="1"/>
        <v>0</v>
      </c>
      <c r="F50" s="79"/>
    </row>
    <row r="51" spans="1:7" x14ac:dyDescent="0.3">
      <c r="A51" t="s">
        <v>1524</v>
      </c>
      <c r="B51" t="s">
        <v>1561</v>
      </c>
      <c r="C51" s="67" t="s">
        <v>1562</v>
      </c>
      <c r="D51" s="42">
        <v>0</v>
      </c>
      <c r="E51" s="58">
        <f t="shared" si="1"/>
        <v>0</v>
      </c>
      <c r="F51" s="79"/>
    </row>
    <row r="52" spans="1:7" x14ac:dyDescent="0.3">
      <c r="A52" t="s">
        <v>1527</v>
      </c>
      <c r="B52" t="s">
        <v>1563</v>
      </c>
      <c r="C52" s="75" t="s">
        <v>1564</v>
      </c>
      <c r="D52" s="42">
        <v>0</v>
      </c>
      <c r="E52" s="58">
        <f t="shared" si="1"/>
        <v>0</v>
      </c>
      <c r="F52" s="79"/>
    </row>
    <row r="53" spans="1:7" x14ac:dyDescent="0.3">
      <c r="A53" t="s">
        <v>1530</v>
      </c>
      <c r="B53" t="s">
        <v>1565</v>
      </c>
      <c r="C53" s="75" t="s">
        <v>1566</v>
      </c>
      <c r="D53" s="42">
        <v>0</v>
      </c>
      <c r="E53" s="58">
        <f t="shared" si="1"/>
        <v>0</v>
      </c>
      <c r="F53" s="79"/>
    </row>
    <row r="54" spans="1:7" x14ac:dyDescent="0.3">
      <c r="A54" t="s">
        <v>1533</v>
      </c>
      <c r="B54" t="s">
        <v>1567</v>
      </c>
      <c r="C54" s="75" t="s">
        <v>1568</v>
      </c>
      <c r="D54" s="42">
        <v>0</v>
      </c>
      <c r="E54" s="58">
        <f t="shared" si="1"/>
        <v>0</v>
      </c>
      <c r="F54" s="79"/>
    </row>
    <row r="55" spans="1:7" x14ac:dyDescent="0.3">
      <c r="A55" t="s">
        <v>1536</v>
      </c>
      <c r="B55" t="s">
        <v>1569</v>
      </c>
      <c r="C55" s="75" t="s">
        <v>1564</v>
      </c>
      <c r="D55" s="42">
        <v>0</v>
      </c>
      <c r="E55" s="58">
        <f t="shared" si="1"/>
        <v>0</v>
      </c>
      <c r="F55" s="79"/>
    </row>
    <row r="56" spans="1:7" x14ac:dyDescent="0.3">
      <c r="A56" t="s">
        <v>1539</v>
      </c>
      <c r="B56" t="s">
        <v>1570</v>
      </c>
      <c r="C56" s="75" t="s">
        <v>1571</v>
      </c>
      <c r="D56" s="42">
        <v>0</v>
      </c>
      <c r="E56" s="58">
        <f t="shared" si="1"/>
        <v>0</v>
      </c>
      <c r="F56" s="79"/>
    </row>
    <row r="57" spans="1:7" x14ac:dyDescent="0.3">
      <c r="C57" s="75"/>
      <c r="E57" s="58"/>
      <c r="F57" s="79"/>
    </row>
    <row r="58" spans="1:7" x14ac:dyDescent="0.3">
      <c r="C58" s="75"/>
      <c r="E58" s="58"/>
      <c r="F58" s="79"/>
    </row>
    <row r="59" spans="1:7" x14ac:dyDescent="0.3">
      <c r="A59" s="32" t="s">
        <v>1755</v>
      </c>
      <c r="D59" s="59" t="s">
        <v>2</v>
      </c>
      <c r="E59" s="59" t="s">
        <v>3</v>
      </c>
      <c r="F59" s="78"/>
    </row>
    <row r="60" spans="1:7" x14ac:dyDescent="0.3">
      <c r="A60" t="s">
        <v>1573</v>
      </c>
      <c r="B60" t="s">
        <v>2259</v>
      </c>
      <c r="C60" s="37" t="s">
        <v>1575</v>
      </c>
      <c r="D60" s="58">
        <f>'2025_03_28 Light Pricing'!H83</f>
        <v>5833.3333333333339</v>
      </c>
      <c r="E60" s="58">
        <f>D60*$H$11</f>
        <v>2916.666666666667</v>
      </c>
      <c r="F60" s="78"/>
    </row>
    <row r="61" spans="1:7" x14ac:dyDescent="0.3">
      <c r="A61" t="s">
        <v>1576</v>
      </c>
      <c r="B61" t="s">
        <v>1577</v>
      </c>
      <c r="C61" s="37" t="s">
        <v>1578</v>
      </c>
      <c r="D61" s="58">
        <f>'2025_03_28 Light Pricing'!H84</f>
        <v>9166.6666666666679</v>
      </c>
      <c r="E61" s="58">
        <f>D61*$H$11</f>
        <v>4583.3333333333339</v>
      </c>
      <c r="F61" s="78"/>
    </row>
    <row r="62" spans="1:7" x14ac:dyDescent="0.3">
      <c r="A62" t="s">
        <v>1579</v>
      </c>
      <c r="B62" t="s">
        <v>1580</v>
      </c>
      <c r="C62" s="37" t="s">
        <v>1581</v>
      </c>
      <c r="D62" s="58">
        <f>'2025_03_28 Light Pricing'!H85</f>
        <v>12500</v>
      </c>
      <c r="E62" s="58">
        <f>D62*$H$11</f>
        <v>6250</v>
      </c>
      <c r="F62" s="78"/>
    </row>
    <row r="63" spans="1:7" x14ac:dyDescent="0.3">
      <c r="E63" s="58">
        <f>D63*$H$11</f>
        <v>0</v>
      </c>
      <c r="F63" s="78"/>
    </row>
    <row r="64" spans="1:7" x14ac:dyDescent="0.3">
      <c r="A64" s="145" t="s">
        <v>1582</v>
      </c>
      <c r="B64" s="145"/>
      <c r="C64" s="145"/>
      <c r="D64" s="145"/>
      <c r="E64" s="145"/>
      <c r="F64" s="78"/>
      <c r="G64" t="s">
        <v>1583</v>
      </c>
    </row>
    <row r="65" spans="1:14" ht="16.2" thickBot="1" x14ac:dyDescent="0.35">
      <c r="A65" s="32" t="s">
        <v>0</v>
      </c>
      <c r="B65" s="32" t="s">
        <v>1584</v>
      </c>
      <c r="C65" s="56"/>
      <c r="D65" s="59" t="s">
        <v>2</v>
      </c>
      <c r="E65" s="59" t="s">
        <v>3</v>
      </c>
      <c r="F65" s="78"/>
      <c r="G65" s="60" t="s">
        <v>1585</v>
      </c>
      <c r="H65" s="61" t="s">
        <v>1586</v>
      </c>
      <c r="I65" s="74"/>
      <c r="J65" s="74"/>
      <c r="K65" s="74"/>
      <c r="L65" s="74"/>
      <c r="M65" s="74"/>
      <c r="N65" s="74"/>
    </row>
    <row r="66" spans="1:14" x14ac:dyDescent="0.3">
      <c r="A66" s="65"/>
      <c r="B66" s="65" t="s">
        <v>1587</v>
      </c>
      <c r="C66" s="65"/>
      <c r="D66" s="81"/>
      <c r="E66" s="81"/>
      <c r="F66" s="78"/>
      <c r="G66" s="62" t="s">
        <v>1587</v>
      </c>
      <c r="H66" s="80"/>
      <c r="I66" s="74"/>
      <c r="J66" s="74"/>
      <c r="K66" s="74"/>
      <c r="L66" s="74"/>
      <c r="M66" s="74"/>
      <c r="N66" s="74"/>
    </row>
    <row r="67" spans="1:14" x14ac:dyDescent="0.3">
      <c r="A67" t="s">
        <v>1588</v>
      </c>
      <c r="B67" t="s">
        <v>2257</v>
      </c>
      <c r="C67" s="56"/>
      <c r="D67" s="42">
        <f>'2025_03_28 Light Pricing'!H89</f>
        <v>1563.2166666666667</v>
      </c>
      <c r="E67" s="58">
        <f>D67*$H$11</f>
        <v>781.60833333333335</v>
      </c>
      <c r="F67" s="78"/>
      <c r="G67" s="62" t="s">
        <v>1590</v>
      </c>
      <c r="H67" s="63"/>
      <c r="I67" s="74"/>
      <c r="J67" s="74"/>
      <c r="K67" s="74"/>
      <c r="L67" s="74"/>
      <c r="M67" s="74"/>
      <c r="N67" s="74"/>
    </row>
    <row r="68" spans="1:14" x14ac:dyDescent="0.3">
      <c r="A68" t="s">
        <v>1591</v>
      </c>
      <c r="B68" t="s">
        <v>2258</v>
      </c>
      <c r="C68" s="56"/>
      <c r="D68" s="42">
        <f>'2025_03_28 Light Pricing'!H90</f>
        <v>3398.9666666666672</v>
      </c>
      <c r="E68" s="58">
        <f>D68*$H$11</f>
        <v>1699.4833333333336</v>
      </c>
      <c r="F68" s="78"/>
      <c r="G68" s="62" t="s">
        <v>1593</v>
      </c>
      <c r="H68" s="63"/>
      <c r="I68" s="74"/>
      <c r="J68" s="74"/>
      <c r="K68" s="74"/>
      <c r="L68" s="74"/>
      <c r="M68" s="74"/>
      <c r="N68" s="74"/>
    </row>
    <row r="69" spans="1:14" x14ac:dyDescent="0.3">
      <c r="A69" t="s">
        <v>1594</v>
      </c>
      <c r="B69" t="s">
        <v>1385</v>
      </c>
      <c r="C69" s="56"/>
      <c r="D69" s="42">
        <f>'2025_03_28 Light Pricing'!H91</f>
        <v>5807.6533333333346</v>
      </c>
      <c r="E69" s="58">
        <f>D69*$H$11</f>
        <v>2903.8266666666673</v>
      </c>
      <c r="F69" s="78"/>
      <c r="G69" s="62" t="s">
        <v>1595</v>
      </c>
      <c r="H69" s="63"/>
      <c r="I69" s="74"/>
      <c r="J69" s="74"/>
      <c r="K69" s="74"/>
      <c r="L69" s="74"/>
      <c r="M69" s="74"/>
      <c r="N69" s="74"/>
    </row>
    <row r="70" spans="1:14" x14ac:dyDescent="0.3">
      <c r="A70" t="s">
        <v>1596</v>
      </c>
      <c r="B70" t="s">
        <v>1387</v>
      </c>
      <c r="C70" s="56"/>
      <c r="D70" s="42">
        <f>'2025_03_28 Light Pricing'!H92</f>
        <v>0</v>
      </c>
      <c r="E70" s="58">
        <f>D70*$H$11</f>
        <v>0</v>
      </c>
      <c r="F70" s="78"/>
      <c r="G70" s="62" t="s">
        <v>1597</v>
      </c>
      <c r="H70" s="63"/>
      <c r="I70" s="74"/>
      <c r="J70" s="74"/>
      <c r="K70" s="74"/>
      <c r="L70" s="74"/>
      <c r="M70" s="74"/>
      <c r="N70" s="74"/>
    </row>
    <row r="71" spans="1:14" x14ac:dyDescent="0.3">
      <c r="A71" s="65"/>
      <c r="B71" s="65" t="s">
        <v>1590</v>
      </c>
      <c r="C71" s="65"/>
      <c r="D71" s="65"/>
      <c r="E71" s="81"/>
      <c r="F71" s="78"/>
      <c r="I71" s="66"/>
      <c r="J71" s="66"/>
      <c r="K71" s="66"/>
      <c r="L71" s="66"/>
      <c r="M71" s="66"/>
      <c r="N71" s="66"/>
    </row>
    <row r="72" spans="1:14" x14ac:dyDescent="0.3">
      <c r="B72" t="s">
        <v>1598</v>
      </c>
      <c r="D72" s="42">
        <f>'2025_03_28 Light Pricing'!H53</f>
        <v>0</v>
      </c>
      <c r="E72" s="58">
        <f t="shared" ref="E72:E79" si="2">D72*$H$11</f>
        <v>0</v>
      </c>
      <c r="F72" s="78"/>
    </row>
    <row r="73" spans="1:14" x14ac:dyDescent="0.3">
      <c r="A73" t="s">
        <v>1599</v>
      </c>
      <c r="B73" t="s">
        <v>1600</v>
      </c>
      <c r="D73" s="42">
        <f>'2025_03_28 Light Pricing'!H54</f>
        <v>4710.416666666667</v>
      </c>
      <c r="E73" s="58">
        <f t="shared" si="2"/>
        <v>2355.2083333333335</v>
      </c>
      <c r="F73" s="78"/>
    </row>
    <row r="74" spans="1:14" x14ac:dyDescent="0.3">
      <c r="A74" t="s">
        <v>1601</v>
      </c>
      <c r="B74" t="s">
        <v>1602</v>
      </c>
      <c r="D74" s="42">
        <f>'2025_03_28 Light Pricing'!H55</f>
        <v>2146.85</v>
      </c>
      <c r="E74" s="58">
        <f t="shared" si="2"/>
        <v>1073.425</v>
      </c>
      <c r="F74" s="78"/>
    </row>
    <row r="75" spans="1:14" x14ac:dyDescent="0.3">
      <c r="A75" t="s">
        <v>1603</v>
      </c>
      <c r="B75" t="s">
        <v>1604</v>
      </c>
      <c r="D75" s="42">
        <f>'2025_03_28 Light Pricing'!H56</f>
        <v>3205.7000000000003</v>
      </c>
      <c r="E75" s="58">
        <f t="shared" si="2"/>
        <v>1602.8500000000001</v>
      </c>
      <c r="F75" s="78"/>
    </row>
    <row r="76" spans="1:14" x14ac:dyDescent="0.3">
      <c r="A76" t="s">
        <v>1605</v>
      </c>
      <c r="B76" t="s">
        <v>1606</v>
      </c>
      <c r="D76" s="42">
        <f>'2025_03_28 Light Pricing'!H57</f>
        <v>4854.2333333333336</v>
      </c>
      <c r="E76" s="58">
        <f t="shared" si="2"/>
        <v>2427.1166666666668</v>
      </c>
      <c r="F76" s="78"/>
    </row>
    <row r="77" spans="1:14" x14ac:dyDescent="0.3">
      <c r="A77" t="s">
        <v>1607</v>
      </c>
      <c r="B77" t="s">
        <v>1608</v>
      </c>
      <c r="D77" s="42">
        <f>'2025_03_28 Light Pricing'!H58</f>
        <v>3324.75</v>
      </c>
      <c r="E77" s="58">
        <f t="shared" si="2"/>
        <v>1662.375</v>
      </c>
      <c r="F77" s="78"/>
    </row>
    <row r="78" spans="1:14" x14ac:dyDescent="0.3">
      <c r="A78" t="s">
        <v>1609</v>
      </c>
      <c r="B78" t="s">
        <v>1610</v>
      </c>
      <c r="D78" s="42">
        <f>'2025_03_28 Light Pricing'!H59</f>
        <v>4666.9666666666662</v>
      </c>
      <c r="E78" s="58">
        <f t="shared" si="2"/>
        <v>2333.4833333333331</v>
      </c>
      <c r="F78" s="78"/>
    </row>
    <row r="79" spans="1:14" x14ac:dyDescent="0.3">
      <c r="A79" t="s">
        <v>1611</v>
      </c>
      <c r="B79" t="s">
        <v>1612</v>
      </c>
      <c r="D79" s="42">
        <f>'2025_03_28 Light Pricing'!H60</f>
        <v>6171.0666666666666</v>
      </c>
      <c r="E79" s="58">
        <f t="shared" si="2"/>
        <v>3085.5333333333333</v>
      </c>
      <c r="F79" s="78"/>
    </row>
    <row r="80" spans="1:14" x14ac:dyDescent="0.3">
      <c r="A80" s="65"/>
      <c r="B80" s="65" t="s">
        <v>1593</v>
      </c>
      <c r="C80" s="65"/>
      <c r="D80" s="81"/>
      <c r="E80" s="81"/>
      <c r="F80" s="78"/>
    </row>
    <row r="81" spans="1:6" x14ac:dyDescent="0.3">
      <c r="B81" t="s">
        <v>1613</v>
      </c>
      <c r="C81"/>
      <c r="D81" s="58">
        <f>'2025_03_28 Light Pricing'!H64</f>
        <v>0</v>
      </c>
      <c r="E81" s="58">
        <f>D81*$H$11</f>
        <v>0</v>
      </c>
      <c r="F81" s="78"/>
    </row>
    <row r="82" spans="1:6" x14ac:dyDescent="0.3">
      <c r="A82" t="s">
        <v>1614</v>
      </c>
      <c r="B82" t="s">
        <v>1615</v>
      </c>
      <c r="D82" s="58">
        <f>'2025_03_28 Light Pricing'!H65</f>
        <v>3082.9833333333336</v>
      </c>
      <c r="E82" s="58">
        <f>D82*$H$11</f>
        <v>1541.4916666666668</v>
      </c>
      <c r="F82" s="78"/>
    </row>
    <row r="83" spans="1:6" x14ac:dyDescent="0.3">
      <c r="A83" s="65"/>
      <c r="B83" s="65" t="s">
        <v>1595</v>
      </c>
      <c r="C83" s="65"/>
      <c r="D83" s="81"/>
      <c r="E83" s="81"/>
      <c r="F83" s="78"/>
    </row>
    <row r="84" spans="1:6" x14ac:dyDescent="0.3">
      <c r="B84" t="s">
        <v>1613</v>
      </c>
      <c r="C84"/>
      <c r="D84" s="43">
        <f>'2025_03_28 Light Pricing'!H69</f>
        <v>0</v>
      </c>
      <c r="E84" s="58">
        <f>D84*$H$11</f>
        <v>0</v>
      </c>
      <c r="F84" s="78"/>
    </row>
    <row r="85" spans="1:6" x14ac:dyDescent="0.3">
      <c r="A85" t="s">
        <v>1616</v>
      </c>
      <c r="B85" t="s">
        <v>1617</v>
      </c>
      <c r="D85" s="43">
        <f>'2025_03_28 Light Pricing'!H70</f>
        <v>5661.2</v>
      </c>
      <c r="E85" s="58">
        <f>D85*$H$11</f>
        <v>2830.6</v>
      </c>
      <c r="F85" s="78"/>
    </row>
    <row r="86" spans="1:6" x14ac:dyDescent="0.3">
      <c r="A86" t="s">
        <v>1618</v>
      </c>
      <c r="B86" t="s">
        <v>1619</v>
      </c>
      <c r="D86" s="43">
        <f>'2025_03_28 Light Pricing'!H71</f>
        <v>30796.98</v>
      </c>
      <c r="E86" s="58">
        <f>D86*$H$11</f>
        <v>15398.49</v>
      </c>
      <c r="F86" s="78"/>
    </row>
    <row r="87" spans="1:6" x14ac:dyDescent="0.3">
      <c r="A87" t="s">
        <v>1620</v>
      </c>
      <c r="B87" t="s">
        <v>1621</v>
      </c>
      <c r="D87" s="43">
        <f>'2025_03_28 Light Pricing'!H72</f>
        <v>43025.2</v>
      </c>
      <c r="E87" s="58">
        <f>D87*$H$11</f>
        <v>21512.6</v>
      </c>
      <c r="F87" s="78"/>
    </row>
    <row r="88" spans="1:6" x14ac:dyDescent="0.3">
      <c r="A88" s="65"/>
      <c r="B88" s="65" t="s">
        <v>1622</v>
      </c>
      <c r="C88" s="65"/>
      <c r="D88" s="81"/>
      <c r="E88" s="81"/>
      <c r="F88" s="78"/>
    </row>
    <row r="89" spans="1:6" x14ac:dyDescent="0.3">
      <c r="B89" t="s">
        <v>1613</v>
      </c>
      <c r="C89"/>
      <c r="D89" s="42">
        <f>'2025_03_28 Light Pricing'!H76</f>
        <v>0</v>
      </c>
      <c r="E89" s="58">
        <f>D89*$H$11</f>
        <v>0</v>
      </c>
      <c r="F89" s="78"/>
    </row>
    <row r="90" spans="1:6" x14ac:dyDescent="0.3">
      <c r="A90" t="s">
        <v>1623</v>
      </c>
      <c r="B90" t="s">
        <v>1624</v>
      </c>
      <c r="D90" s="42">
        <f>'2025_03_28 Light Pricing'!H77</f>
        <v>420</v>
      </c>
      <c r="E90" s="58">
        <f>D90*$H$11</f>
        <v>210</v>
      </c>
      <c r="F90" s="78"/>
    </row>
    <row r="91" spans="1:6" x14ac:dyDescent="0.3">
      <c r="A91" t="s">
        <v>1625</v>
      </c>
      <c r="B91" t="s">
        <v>1626</v>
      </c>
      <c r="D91" s="42">
        <f>'2025_03_28 Light Pricing'!H78</f>
        <v>1488.9333333333334</v>
      </c>
      <c r="E91" s="58">
        <f>D91*$H$11</f>
        <v>744.4666666666667</v>
      </c>
      <c r="F91" s="78"/>
    </row>
    <row r="92" spans="1:6" x14ac:dyDescent="0.3">
      <c r="A92" s="65"/>
      <c r="B92" s="65" t="s">
        <v>1627</v>
      </c>
      <c r="C92" s="65"/>
      <c r="D92" s="81"/>
      <c r="E92" s="81"/>
      <c r="F92" s="78"/>
    </row>
    <row r="93" spans="1:6" x14ac:dyDescent="0.3">
      <c r="B93" t="s">
        <v>1613</v>
      </c>
      <c r="C93"/>
      <c r="D93" s="42">
        <v>0</v>
      </c>
      <c r="E93" s="58">
        <f>D93*$H$11</f>
        <v>0</v>
      </c>
      <c r="F93" s="78"/>
    </row>
    <row r="94" spans="1:6" x14ac:dyDescent="0.3">
      <c r="A94" t="s">
        <v>1628</v>
      </c>
      <c r="B94" t="s">
        <v>1629</v>
      </c>
      <c r="D94" s="58">
        <v>25000</v>
      </c>
      <c r="E94" s="58">
        <f>D94*$H$11</f>
        <v>12500</v>
      </c>
      <c r="F94" s="78"/>
    </row>
    <row r="95" spans="1:6" x14ac:dyDescent="0.3">
      <c r="A95" t="s">
        <v>1630</v>
      </c>
      <c r="B95" t="s">
        <v>1631</v>
      </c>
      <c r="D95" s="43">
        <v>50000</v>
      </c>
      <c r="E95" s="58">
        <f>D95*$H$11</f>
        <v>25000</v>
      </c>
      <c r="F95" s="78"/>
    </row>
    <row r="96" spans="1:6" x14ac:dyDescent="0.3">
      <c r="A96" t="s">
        <v>1632</v>
      </c>
      <c r="B96" t="s">
        <v>1633</v>
      </c>
      <c r="D96" s="43">
        <v>75000</v>
      </c>
      <c r="E96" s="58">
        <f>D96*$H$11</f>
        <v>37500</v>
      </c>
      <c r="F96" s="78"/>
    </row>
    <row r="97" spans="1:6" x14ac:dyDescent="0.3">
      <c r="A97" s="65"/>
      <c r="B97" s="65"/>
      <c r="C97" s="65"/>
      <c r="D97" s="65"/>
      <c r="E97" s="65"/>
      <c r="F97" s="78"/>
    </row>
    <row r="98" spans="1:6" x14ac:dyDescent="0.3">
      <c r="A98" s="32" t="s">
        <v>1634</v>
      </c>
      <c r="D98" s="59" t="s">
        <v>2</v>
      </c>
      <c r="E98" s="59" t="s">
        <v>3</v>
      </c>
      <c r="F98" s="78"/>
    </row>
    <row r="99" spans="1:6" x14ac:dyDescent="0.3">
      <c r="A99" t="s">
        <v>1635</v>
      </c>
      <c r="B99" t="s">
        <v>1636</v>
      </c>
      <c r="D99" s="58">
        <f>'2025_03_28 Light Pricing'!H96</f>
        <v>3000</v>
      </c>
      <c r="E99" s="58">
        <f>D99*(1-0.5)</f>
        <v>1500</v>
      </c>
      <c r="F99" s="78"/>
    </row>
    <row r="100" spans="1:6" x14ac:dyDescent="0.3">
      <c r="A100" t="s">
        <v>1637</v>
      </c>
      <c r="B100" t="s">
        <v>1638</v>
      </c>
      <c r="D100" s="42">
        <f>'2025_03_28 Light Pricing'!H100</f>
        <v>1000</v>
      </c>
      <c r="E100" s="58">
        <f>D100*(1-0.5)</f>
        <v>500</v>
      </c>
      <c r="F100" s="78"/>
    </row>
  </sheetData>
  <mergeCells count="1">
    <mergeCell ref="A64:E64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D6B61-E623-424C-B18B-67096E796A91}">
  <dimension ref="A1:AC255"/>
  <sheetViews>
    <sheetView topLeftCell="A16" zoomScale="82" zoomScaleNormal="82" workbookViewId="0">
      <selection activeCell="H26" sqref="H26"/>
    </sheetView>
  </sheetViews>
  <sheetFormatPr defaultColWidth="11" defaultRowHeight="15.6" x14ac:dyDescent="0.3"/>
  <cols>
    <col min="1" max="1" width="9.69921875" customWidth="1"/>
    <col min="2" max="2" width="16.8984375" style="83" customWidth="1"/>
    <col min="3" max="3" width="45.296875" customWidth="1"/>
    <col min="4" max="4" width="22" customWidth="1"/>
    <col min="5" max="5" width="23" customWidth="1"/>
    <col min="6" max="6" width="17.69921875" bestFit="1" customWidth="1"/>
    <col min="7" max="7" width="16.3984375" style="5" customWidth="1"/>
    <col min="8" max="8" width="18.296875" style="5" customWidth="1"/>
    <col min="9" max="9" width="6.296875" style="5" customWidth="1"/>
    <col min="10" max="10" width="16.296875" style="5" customWidth="1"/>
    <col min="11" max="11" width="14.296875" style="5" customWidth="1"/>
    <col min="12" max="12" width="12.3984375" style="5" customWidth="1"/>
    <col min="13" max="13" width="15.3984375" style="5" customWidth="1"/>
    <col min="14" max="16" width="13" style="5" customWidth="1"/>
    <col min="17" max="17" width="14" style="5" customWidth="1"/>
    <col min="18" max="21" width="14.296875" style="5" customWidth="1"/>
    <col min="22" max="22" width="15.296875" customWidth="1"/>
  </cols>
  <sheetData>
    <row r="1" spans="1:21" x14ac:dyDescent="0.3">
      <c r="A1" t="s">
        <v>1756</v>
      </c>
      <c r="D1" s="84">
        <v>0</v>
      </c>
    </row>
    <row r="2" spans="1:21" x14ac:dyDescent="0.3">
      <c r="B2" s="85" t="s">
        <v>1730</v>
      </c>
      <c r="C2" s="86" t="s">
        <v>1655</v>
      </c>
      <c r="D2" t="s">
        <v>1757</v>
      </c>
      <c r="E2" t="s">
        <v>1758</v>
      </c>
      <c r="F2" t="s">
        <v>1759</v>
      </c>
      <c r="G2" s="87" t="s">
        <v>1657</v>
      </c>
      <c r="H2" s="87" t="s">
        <v>2</v>
      </c>
      <c r="I2" s="87"/>
      <c r="J2" s="87" t="s">
        <v>1671</v>
      </c>
      <c r="K2" s="87" t="s">
        <v>1760</v>
      </c>
      <c r="L2" s="87" t="s">
        <v>1761</v>
      </c>
      <c r="P2"/>
      <c r="Q2"/>
      <c r="R2"/>
      <c r="S2"/>
      <c r="T2"/>
      <c r="U2"/>
    </row>
    <row r="3" spans="1:21" hidden="1" x14ac:dyDescent="0.3">
      <c r="B3" s="85"/>
      <c r="C3" s="86"/>
      <c r="D3" s="48"/>
      <c r="E3" s="48"/>
      <c r="F3" s="48"/>
      <c r="G3" s="87"/>
      <c r="H3" s="87"/>
      <c r="I3" s="87"/>
      <c r="J3" s="87"/>
      <c r="K3" s="87"/>
      <c r="L3" s="87"/>
      <c r="P3"/>
      <c r="Q3"/>
      <c r="R3"/>
      <c r="S3"/>
      <c r="T3"/>
      <c r="U3"/>
    </row>
    <row r="4" spans="1:21" x14ac:dyDescent="0.3">
      <c r="B4" s="83" t="s">
        <v>1762</v>
      </c>
      <c r="C4" t="s">
        <v>1763</v>
      </c>
      <c r="D4">
        <v>1</v>
      </c>
      <c r="E4">
        <v>1</v>
      </c>
      <c r="F4" t="s">
        <v>1661</v>
      </c>
      <c r="G4" s="5">
        <f>SUM(J4:L4)</f>
        <v>2075.2350000000001</v>
      </c>
      <c r="H4" s="82">
        <f t="shared" ref="H4:H17" si="0">G4/(1-0.4)*2</f>
        <v>6917.4500000000007</v>
      </c>
      <c r="I4" s="82"/>
      <c r="J4" s="5">
        <f t="shared" ref="J4:J18" si="1">F195</f>
        <v>381.6</v>
      </c>
      <c r="K4" s="5">
        <f>F108</f>
        <v>1693.635</v>
      </c>
      <c r="L4" s="5">
        <v>0</v>
      </c>
      <c r="P4" s="42"/>
      <c r="Q4" s="42"/>
      <c r="R4" s="42"/>
      <c r="S4" s="42"/>
      <c r="T4" s="42"/>
      <c r="U4"/>
    </row>
    <row r="5" spans="1:21" x14ac:dyDescent="0.3">
      <c r="B5" s="83" t="s">
        <v>1764</v>
      </c>
      <c r="C5" t="s">
        <v>1765</v>
      </c>
      <c r="D5">
        <v>2</v>
      </c>
      <c r="E5">
        <v>2</v>
      </c>
      <c r="F5" t="s">
        <v>1661</v>
      </c>
      <c r="G5" s="5">
        <f t="shared" ref="G5:G18" si="2">SUM(J5:L5)</f>
        <v>3888.6149999999998</v>
      </c>
      <c r="H5" s="82">
        <f t="shared" si="0"/>
        <v>12962.05</v>
      </c>
      <c r="I5" s="82"/>
      <c r="J5" s="5">
        <f t="shared" si="1"/>
        <v>381.6</v>
      </c>
      <c r="K5" s="5">
        <f>F117</f>
        <v>3507.0149999999999</v>
      </c>
      <c r="L5" s="5">
        <v>0</v>
      </c>
      <c r="P5" s="42"/>
      <c r="Q5" s="42"/>
      <c r="R5" s="42"/>
      <c r="S5" s="42"/>
      <c r="T5" s="42"/>
      <c r="U5"/>
    </row>
    <row r="6" spans="1:21" x14ac:dyDescent="0.3">
      <c r="B6" s="83" t="s">
        <v>1766</v>
      </c>
      <c r="C6" t="s">
        <v>1767</v>
      </c>
      <c r="D6">
        <v>3</v>
      </c>
      <c r="E6">
        <v>3</v>
      </c>
      <c r="F6" t="s">
        <v>1661</v>
      </c>
      <c r="G6" s="5">
        <f t="shared" si="2"/>
        <v>4363.13</v>
      </c>
      <c r="H6" s="82">
        <f t="shared" si="0"/>
        <v>14543.766666666668</v>
      </c>
      <c r="I6" s="82"/>
      <c r="J6" s="5">
        <f t="shared" si="1"/>
        <v>381.6</v>
      </c>
      <c r="K6" s="5">
        <f>F124</f>
        <v>3981.53</v>
      </c>
      <c r="L6" s="5">
        <v>0</v>
      </c>
      <c r="P6" s="42"/>
      <c r="Q6" s="42"/>
      <c r="R6" s="42"/>
      <c r="S6" s="42"/>
      <c r="T6" s="42"/>
      <c r="U6"/>
    </row>
    <row r="7" spans="1:21" x14ac:dyDescent="0.3">
      <c r="B7" s="83" t="s">
        <v>1768</v>
      </c>
      <c r="C7" t="s">
        <v>1769</v>
      </c>
      <c r="D7">
        <v>2</v>
      </c>
      <c r="E7">
        <v>1</v>
      </c>
      <c r="F7" t="s">
        <v>1661</v>
      </c>
      <c r="G7" s="5">
        <f t="shared" si="2"/>
        <v>2889.0549999999998</v>
      </c>
      <c r="H7" s="82">
        <f t="shared" si="0"/>
        <v>9630.1833333333325</v>
      </c>
      <c r="I7" s="82"/>
      <c r="J7" s="5">
        <f t="shared" si="1"/>
        <v>381.6</v>
      </c>
      <c r="K7" s="5">
        <f>F115</f>
        <v>2311.44</v>
      </c>
      <c r="L7" s="5">
        <f>F158</f>
        <v>196.01499999999999</v>
      </c>
      <c r="P7" s="42"/>
      <c r="Q7" s="42"/>
      <c r="R7" s="42"/>
      <c r="S7" s="42"/>
      <c r="T7" s="42"/>
      <c r="U7"/>
    </row>
    <row r="8" spans="1:21" x14ac:dyDescent="0.3">
      <c r="B8" s="83" t="s">
        <v>1770</v>
      </c>
      <c r="C8" t="s">
        <v>1771</v>
      </c>
      <c r="D8">
        <v>2</v>
      </c>
      <c r="E8">
        <v>1</v>
      </c>
      <c r="F8" t="s">
        <v>1661</v>
      </c>
      <c r="G8" s="5">
        <f t="shared" si="2"/>
        <v>2776.66</v>
      </c>
      <c r="H8" s="82">
        <f t="shared" si="0"/>
        <v>9255.5333333333328</v>
      </c>
      <c r="I8" s="82"/>
      <c r="J8" s="5">
        <f t="shared" si="1"/>
        <v>381.6</v>
      </c>
      <c r="K8" s="5">
        <f>F116</f>
        <v>2395.06</v>
      </c>
      <c r="L8" s="5">
        <v>0</v>
      </c>
      <c r="P8" s="42"/>
      <c r="Q8" s="42"/>
      <c r="R8" s="42"/>
      <c r="S8" s="42"/>
      <c r="T8" s="42"/>
      <c r="U8"/>
    </row>
    <row r="9" spans="1:21" x14ac:dyDescent="0.3">
      <c r="B9" s="83" t="s">
        <v>1772</v>
      </c>
      <c r="C9" t="s">
        <v>1773</v>
      </c>
      <c r="D9">
        <v>3</v>
      </c>
      <c r="E9">
        <v>2</v>
      </c>
      <c r="F9" t="s">
        <v>1661</v>
      </c>
      <c r="G9" s="5">
        <f t="shared" si="2"/>
        <v>4092.93</v>
      </c>
      <c r="H9" s="82">
        <f>G9/(1-0.4)*2</f>
        <v>13643.1</v>
      </c>
      <c r="I9" s="82"/>
      <c r="J9" s="5">
        <f t="shared" si="1"/>
        <v>381.6</v>
      </c>
      <c r="K9" s="5">
        <f>F123</f>
        <v>3515.3150000000001</v>
      </c>
      <c r="L9" s="5">
        <f>F158</f>
        <v>196.01499999999999</v>
      </c>
      <c r="P9" s="42"/>
      <c r="Q9" s="42"/>
      <c r="R9" s="42"/>
      <c r="S9" s="42"/>
      <c r="T9" s="42"/>
      <c r="U9"/>
    </row>
    <row r="10" spans="1:21" x14ac:dyDescent="0.3">
      <c r="B10" s="83" t="s">
        <v>1774</v>
      </c>
      <c r="C10" t="s">
        <v>1775</v>
      </c>
      <c r="D10">
        <v>2</v>
      </c>
      <c r="E10">
        <v>1</v>
      </c>
      <c r="F10" t="s">
        <v>1661</v>
      </c>
      <c r="G10" s="5">
        <f t="shared" si="2"/>
        <v>3888.6149999999998</v>
      </c>
      <c r="H10" s="82">
        <f t="shared" si="0"/>
        <v>12962.05</v>
      </c>
      <c r="I10" s="82"/>
      <c r="J10" s="5">
        <f t="shared" si="1"/>
        <v>381.6</v>
      </c>
      <c r="K10" s="5">
        <f>F117</f>
        <v>3507.0149999999999</v>
      </c>
      <c r="L10" s="5">
        <v>0</v>
      </c>
      <c r="P10" s="42"/>
      <c r="Q10" s="42"/>
      <c r="R10" s="42"/>
      <c r="S10" s="42"/>
      <c r="T10" s="42"/>
      <c r="U10"/>
    </row>
    <row r="11" spans="1:21" x14ac:dyDescent="0.3">
      <c r="B11" s="83" t="s">
        <v>1776</v>
      </c>
      <c r="C11" t="s">
        <v>1777</v>
      </c>
      <c r="D11">
        <v>3</v>
      </c>
      <c r="E11">
        <v>2</v>
      </c>
      <c r="F11" t="s">
        <v>1661</v>
      </c>
      <c r="G11" s="5">
        <f t="shared" si="2"/>
        <v>4363.13</v>
      </c>
      <c r="H11" s="82">
        <f t="shared" si="0"/>
        <v>14543.766666666668</v>
      </c>
      <c r="I11" s="82"/>
      <c r="J11" s="5">
        <f t="shared" si="1"/>
        <v>381.6</v>
      </c>
      <c r="K11" s="5">
        <f>F124</f>
        <v>3981.53</v>
      </c>
      <c r="L11" s="5">
        <v>0</v>
      </c>
      <c r="P11" s="42"/>
      <c r="Q11" s="42"/>
      <c r="R11" s="42"/>
      <c r="S11" s="42"/>
      <c r="T11" s="42"/>
      <c r="U11"/>
    </row>
    <row r="12" spans="1:21" x14ac:dyDescent="0.3">
      <c r="B12" s="83" t="s">
        <v>1778</v>
      </c>
      <c r="C12" t="s">
        <v>1779</v>
      </c>
      <c r="D12">
        <v>1</v>
      </c>
      <c r="E12">
        <v>0</v>
      </c>
      <c r="F12" t="s">
        <v>1661</v>
      </c>
      <c r="G12" s="5">
        <f t="shared" si="2"/>
        <v>1794.0749999999998</v>
      </c>
      <c r="H12" s="82">
        <f t="shared" si="0"/>
        <v>5980.25</v>
      </c>
      <c r="I12" s="82"/>
      <c r="J12" s="5">
        <f t="shared" si="1"/>
        <v>381.6</v>
      </c>
      <c r="K12" s="5">
        <f>F109</f>
        <v>1412.4749999999999</v>
      </c>
      <c r="L12" s="5">
        <v>0</v>
      </c>
      <c r="P12" s="42"/>
      <c r="Q12" s="42"/>
      <c r="R12" s="42"/>
      <c r="S12" s="42"/>
      <c r="T12" s="42"/>
      <c r="U12"/>
    </row>
    <row r="13" spans="1:21" x14ac:dyDescent="0.3">
      <c r="B13" s="83" t="s">
        <v>1780</v>
      </c>
      <c r="C13" t="s">
        <v>1781</v>
      </c>
      <c r="D13">
        <v>1</v>
      </c>
      <c r="E13">
        <v>0</v>
      </c>
      <c r="F13" t="s">
        <v>1661</v>
      </c>
      <c r="G13" s="5">
        <f t="shared" si="2"/>
        <v>2075.2350000000001</v>
      </c>
      <c r="H13" s="82">
        <f t="shared" si="0"/>
        <v>6917.4500000000007</v>
      </c>
      <c r="I13" s="82"/>
      <c r="J13" s="5">
        <f t="shared" si="1"/>
        <v>381.6</v>
      </c>
      <c r="K13" s="5">
        <f>F108</f>
        <v>1693.635</v>
      </c>
      <c r="L13" s="5">
        <v>0</v>
      </c>
      <c r="P13" s="42"/>
      <c r="Q13" s="42"/>
      <c r="R13" s="42"/>
      <c r="S13" s="42"/>
      <c r="T13" s="42"/>
      <c r="U13"/>
    </row>
    <row r="14" spans="1:21" x14ac:dyDescent="0.3">
      <c r="B14" s="83" t="s">
        <v>1782</v>
      </c>
      <c r="C14" t="s">
        <v>1783</v>
      </c>
      <c r="D14">
        <v>2</v>
      </c>
      <c r="E14">
        <v>0</v>
      </c>
      <c r="F14" t="s">
        <v>1661</v>
      </c>
      <c r="G14" s="5">
        <f t="shared" si="2"/>
        <v>2766.1299999999997</v>
      </c>
      <c r="H14" s="82">
        <f t="shared" si="0"/>
        <v>9220.4333333333325</v>
      </c>
      <c r="I14" s="82"/>
      <c r="J14" s="5">
        <f t="shared" si="1"/>
        <v>381.6</v>
      </c>
      <c r="K14" s="5">
        <f>F118</f>
        <v>2188.5149999999999</v>
      </c>
      <c r="L14" s="5">
        <f>F158</f>
        <v>196.01499999999999</v>
      </c>
      <c r="P14" s="42"/>
      <c r="Q14" s="42"/>
      <c r="R14" s="42"/>
      <c r="S14" s="42"/>
      <c r="T14" s="42"/>
      <c r="U14"/>
    </row>
    <row r="15" spans="1:21" x14ac:dyDescent="0.3">
      <c r="B15" s="83" t="s">
        <v>1784</v>
      </c>
      <c r="C15" t="s">
        <v>1785</v>
      </c>
      <c r="D15">
        <v>2</v>
      </c>
      <c r="E15">
        <v>0</v>
      </c>
      <c r="F15" t="s">
        <v>1661</v>
      </c>
      <c r="G15" s="5">
        <f t="shared" si="2"/>
        <v>3888.6149999999998</v>
      </c>
      <c r="H15" s="82">
        <f t="shared" si="0"/>
        <v>12962.05</v>
      </c>
      <c r="I15" s="82"/>
      <c r="J15" s="5">
        <f t="shared" si="1"/>
        <v>381.6</v>
      </c>
      <c r="K15" s="5">
        <f>F117</f>
        <v>3507.0149999999999</v>
      </c>
      <c r="L15" s="5">
        <v>0</v>
      </c>
      <c r="P15" s="42"/>
      <c r="Q15" s="42"/>
      <c r="R15" s="42"/>
      <c r="S15" s="42"/>
      <c r="T15" s="42"/>
      <c r="U15"/>
    </row>
    <row r="16" spans="1:21" x14ac:dyDescent="0.3">
      <c r="B16" s="83" t="s">
        <v>1786</v>
      </c>
      <c r="C16" t="s">
        <v>1787</v>
      </c>
      <c r="D16">
        <v>2</v>
      </c>
      <c r="E16">
        <v>0</v>
      </c>
      <c r="F16" t="s">
        <v>1661</v>
      </c>
      <c r="G16" s="5">
        <f t="shared" si="2"/>
        <v>2776.66</v>
      </c>
      <c r="H16" s="82">
        <f t="shared" si="0"/>
        <v>9255.5333333333328</v>
      </c>
      <c r="I16" s="82"/>
      <c r="J16" s="5">
        <f t="shared" si="1"/>
        <v>381.6</v>
      </c>
      <c r="K16" s="5">
        <f>F116</f>
        <v>2395.06</v>
      </c>
      <c r="L16" s="5">
        <v>0</v>
      </c>
      <c r="P16" s="42"/>
      <c r="Q16" s="42"/>
      <c r="R16" s="42"/>
      <c r="S16" s="42"/>
      <c r="T16" s="42"/>
      <c r="U16"/>
    </row>
    <row r="17" spans="1:29" x14ac:dyDescent="0.3">
      <c r="B17" s="83" t="s">
        <v>1788</v>
      </c>
      <c r="C17" t="s">
        <v>1789</v>
      </c>
      <c r="D17">
        <v>2</v>
      </c>
      <c r="E17">
        <v>0</v>
      </c>
      <c r="F17" t="s">
        <v>1661</v>
      </c>
      <c r="G17" s="5">
        <f t="shared" si="2"/>
        <v>2889.0549999999998</v>
      </c>
      <c r="H17" s="82">
        <f t="shared" si="0"/>
        <v>9630.1833333333325</v>
      </c>
      <c r="I17" s="82"/>
      <c r="J17" s="5">
        <f t="shared" si="1"/>
        <v>381.6</v>
      </c>
      <c r="K17" s="5">
        <f>F115</f>
        <v>2311.44</v>
      </c>
      <c r="L17" s="5">
        <f>F158</f>
        <v>196.01499999999999</v>
      </c>
      <c r="P17" s="42"/>
      <c r="Q17" s="42"/>
      <c r="R17" s="42"/>
      <c r="S17" s="42"/>
      <c r="T17" s="42"/>
      <c r="U17"/>
    </row>
    <row r="18" spans="1:29" x14ac:dyDescent="0.3">
      <c r="B18" s="83" t="s">
        <v>1790</v>
      </c>
      <c r="C18" t="s">
        <v>1791</v>
      </c>
      <c r="D18">
        <v>1</v>
      </c>
      <c r="E18">
        <v>1</v>
      </c>
      <c r="F18" t="s">
        <v>1661</v>
      </c>
      <c r="G18" s="5">
        <f t="shared" si="2"/>
        <v>1427.0650000000001</v>
      </c>
      <c r="H18" s="82">
        <f>G18/(1-0.4)*2</f>
        <v>4756.8833333333341</v>
      </c>
      <c r="I18" s="82"/>
      <c r="J18" s="5">
        <f t="shared" si="1"/>
        <v>381.6</v>
      </c>
      <c r="K18" s="5">
        <f>F110</f>
        <v>1045.4649999999999</v>
      </c>
      <c r="L18" s="5">
        <v>0</v>
      </c>
      <c r="P18" s="42"/>
      <c r="Q18" s="42"/>
      <c r="R18" s="42"/>
      <c r="S18" s="42"/>
      <c r="T18" s="42"/>
      <c r="U18"/>
    </row>
    <row r="19" spans="1:29" x14ac:dyDescent="0.3">
      <c r="U19" s="42"/>
      <c r="V19" s="42"/>
      <c r="W19" s="42"/>
      <c r="X19" s="42"/>
      <c r="Y19" s="42"/>
      <c r="Z19" s="42"/>
    </row>
    <row r="20" spans="1:29" x14ac:dyDescent="0.3">
      <c r="A20" t="s">
        <v>1792</v>
      </c>
    </row>
    <row r="21" spans="1:29" x14ac:dyDescent="0.3">
      <c r="B21" s="85" t="s">
        <v>1730</v>
      </c>
      <c r="C21" s="86" t="s">
        <v>1793</v>
      </c>
      <c r="D21" s="44"/>
      <c r="G21" s="87" t="s">
        <v>1657</v>
      </c>
      <c r="H21" s="87" t="s">
        <v>2</v>
      </c>
      <c r="I21" s="87"/>
      <c r="J21" s="87" t="s">
        <v>1794</v>
      </c>
      <c r="K21" s="87" t="s">
        <v>1795</v>
      </c>
      <c r="L21" s="87" t="s">
        <v>1475</v>
      </c>
      <c r="M21" s="87" t="s">
        <v>1796</v>
      </c>
      <c r="N21" s="87" t="s">
        <v>1797</v>
      </c>
      <c r="O21" s="87" t="s">
        <v>1798</v>
      </c>
      <c r="P21" s="87" t="s">
        <v>1799</v>
      </c>
      <c r="V21" s="5"/>
    </row>
    <row r="22" spans="1:29" hidden="1" x14ac:dyDescent="0.3">
      <c r="B22" s="85"/>
      <c r="C22" s="86"/>
      <c r="D22" s="88"/>
      <c r="E22" s="48"/>
      <c r="F22" s="48"/>
      <c r="G22" s="87"/>
      <c r="H22" s="87"/>
      <c r="I22" s="87"/>
      <c r="J22" s="89"/>
      <c r="K22" s="89"/>
      <c r="L22" s="89"/>
      <c r="M22" s="89"/>
      <c r="N22" s="89"/>
      <c r="O22" s="89"/>
      <c r="P22" s="89"/>
      <c r="V22" s="5"/>
    </row>
    <row r="23" spans="1:29" x14ac:dyDescent="0.3">
      <c r="B23" s="83" t="s">
        <v>1800</v>
      </c>
      <c r="C23" t="str">
        <f>"7000 Standard"</f>
        <v>7000 Standard</v>
      </c>
      <c r="D23" t="s">
        <v>1763</v>
      </c>
      <c r="G23" s="5">
        <f>SUM(J23:P23)</f>
        <v>9147.0749999999989</v>
      </c>
      <c r="H23" s="5">
        <f>G23/(1-0.4)*2</f>
        <v>30490.249999999996</v>
      </c>
      <c r="J23" s="5">
        <f>F129</f>
        <v>1162.4449999999999</v>
      </c>
      <c r="K23" s="5">
        <f>F140</f>
        <v>7008.8149999999996</v>
      </c>
      <c r="L23" s="5">
        <v>0</v>
      </c>
      <c r="M23" s="5">
        <v>0</v>
      </c>
      <c r="N23" s="5">
        <f>$F$163</f>
        <v>807.76</v>
      </c>
      <c r="O23" s="5">
        <f>$F$164</f>
        <v>99.704999999999998</v>
      </c>
      <c r="P23" s="5">
        <f>$F$165</f>
        <v>68.349999999999994</v>
      </c>
      <c r="V23" s="5"/>
      <c r="W23" s="42"/>
      <c r="X23" s="42"/>
      <c r="Y23" s="42"/>
      <c r="Z23" s="42"/>
      <c r="AA23" s="42"/>
      <c r="AB23" s="42"/>
      <c r="AC23" s="42"/>
    </row>
    <row r="24" spans="1:29" x14ac:dyDescent="0.3">
      <c r="B24" s="83" t="s">
        <v>1801</v>
      </c>
      <c r="C24" t="str">
        <f>"8000 Standard"</f>
        <v>8000 Standard</v>
      </c>
      <c r="D24" t="s">
        <v>1763</v>
      </c>
      <c r="G24" s="5">
        <f t="shared" ref="G24:G35" si="3">SUM(J24:P24)</f>
        <v>9756.5400000000009</v>
      </c>
      <c r="H24" s="5">
        <f t="shared" ref="H24:H35" si="4">G24/(1-0.4)*2</f>
        <v>32521.800000000003</v>
      </c>
      <c r="J24" s="5">
        <f>F129</f>
        <v>1162.4449999999999</v>
      </c>
      <c r="K24" s="5">
        <f>F136</f>
        <v>7618.28</v>
      </c>
      <c r="L24" s="5">
        <v>0</v>
      </c>
      <c r="M24" s="5">
        <v>0</v>
      </c>
      <c r="N24" s="5">
        <f>$F$163</f>
        <v>807.76</v>
      </c>
      <c r="O24" s="5">
        <f>$F$164</f>
        <v>99.704999999999998</v>
      </c>
      <c r="P24" s="5">
        <f>$F$165</f>
        <v>68.349999999999994</v>
      </c>
      <c r="V24" s="5"/>
      <c r="W24" s="42"/>
      <c r="X24" s="42"/>
      <c r="Y24" s="42"/>
      <c r="Z24" s="42"/>
      <c r="AA24" s="42"/>
      <c r="AB24" s="42"/>
      <c r="AC24" s="42"/>
    </row>
    <row r="25" spans="1:29" x14ac:dyDescent="0.3">
      <c r="B25" s="83" t="s">
        <v>1802</v>
      </c>
      <c r="C25" t="s">
        <v>1803</v>
      </c>
      <c r="D25" t="s">
        <v>1763</v>
      </c>
      <c r="G25" s="5">
        <f>SUM(J25:P25)</f>
        <v>9905.6950000000015</v>
      </c>
      <c r="H25" s="5">
        <f>G25/(1-0.4)*2</f>
        <v>33018.983333333337</v>
      </c>
      <c r="J25" s="5">
        <f>F130</f>
        <v>2017.16</v>
      </c>
      <c r="K25" s="5">
        <f>F141</f>
        <v>6912.72</v>
      </c>
      <c r="L25" s="5">
        <v>0</v>
      </c>
      <c r="M25" s="5">
        <v>0</v>
      </c>
      <c r="N25" s="5">
        <f>$F$163</f>
        <v>807.76</v>
      </c>
      <c r="O25" s="5">
        <f>$F$164</f>
        <v>99.704999999999998</v>
      </c>
      <c r="P25" s="5">
        <f>$F$165</f>
        <v>68.349999999999994</v>
      </c>
      <c r="V25" s="5"/>
      <c r="W25" s="42"/>
      <c r="X25" s="42"/>
      <c r="Y25" s="42"/>
      <c r="Z25" s="42"/>
      <c r="AA25" s="42"/>
      <c r="AB25" s="42"/>
      <c r="AC25" s="42"/>
    </row>
    <row r="26" spans="1:29" x14ac:dyDescent="0.3">
      <c r="B26" s="83" t="s">
        <v>1804</v>
      </c>
      <c r="C26" t="s">
        <v>1805</v>
      </c>
      <c r="D26" t="s">
        <v>1763</v>
      </c>
      <c r="G26" s="5">
        <f t="shared" si="3"/>
        <v>10506.805</v>
      </c>
      <c r="H26" s="5">
        <f t="shared" si="4"/>
        <v>35022.683333333334</v>
      </c>
      <c r="J26" s="5">
        <f>F130</f>
        <v>2017.16</v>
      </c>
      <c r="K26" s="5">
        <f>F137</f>
        <v>7513.83</v>
      </c>
      <c r="L26" s="5">
        <v>0</v>
      </c>
      <c r="M26" s="5">
        <v>0</v>
      </c>
      <c r="N26" s="5">
        <f>$F$163</f>
        <v>807.76</v>
      </c>
      <c r="O26" s="5">
        <f>$F$164</f>
        <v>99.704999999999998</v>
      </c>
      <c r="P26" s="5">
        <f>$F$165</f>
        <v>68.349999999999994</v>
      </c>
      <c r="V26" s="5"/>
      <c r="W26" s="42"/>
      <c r="X26" s="42"/>
      <c r="Y26" s="42"/>
      <c r="Z26" s="42"/>
      <c r="AA26" s="42"/>
      <c r="AB26" s="42"/>
      <c r="AC26" s="42"/>
    </row>
    <row r="27" spans="1:29" x14ac:dyDescent="0.3">
      <c r="B27" s="83" t="s">
        <v>1806</v>
      </c>
      <c r="C27" t="s">
        <v>1807</v>
      </c>
      <c r="D27" t="s">
        <v>1779</v>
      </c>
      <c r="G27" s="5">
        <f t="shared" si="3"/>
        <v>4389.2250000000004</v>
      </c>
      <c r="H27" s="5">
        <f>G27/(1-0.4)*2</f>
        <v>14630.750000000002</v>
      </c>
      <c r="J27" s="5">
        <f>F131</f>
        <v>2007.095</v>
      </c>
      <c r="K27" s="5">
        <f>F183</f>
        <v>2382.13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V27" s="5"/>
      <c r="W27" s="42"/>
      <c r="X27" s="42"/>
      <c r="Y27" s="42"/>
      <c r="Z27" s="42"/>
      <c r="AA27" s="42"/>
      <c r="AB27" s="42"/>
      <c r="AC27" s="42"/>
    </row>
    <row r="28" spans="1:29" x14ac:dyDescent="0.3">
      <c r="B28" s="83" t="s">
        <v>1808</v>
      </c>
      <c r="C28" t="s">
        <v>1796</v>
      </c>
      <c r="D28" t="s">
        <v>1763</v>
      </c>
      <c r="G28" s="5">
        <f t="shared" si="3"/>
        <v>5916.5649999999996</v>
      </c>
      <c r="H28" s="5">
        <f>G28/(1-0.4)*2</f>
        <v>19721.883333333331</v>
      </c>
      <c r="J28" s="5">
        <f>F129</f>
        <v>1162.4449999999999</v>
      </c>
      <c r="K28" s="5">
        <f>F186</f>
        <v>4754.12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V28" s="5"/>
      <c r="W28" s="42"/>
      <c r="X28" s="42"/>
      <c r="Y28" s="42"/>
      <c r="Z28" s="42"/>
      <c r="AA28" s="42"/>
      <c r="AB28" s="42"/>
      <c r="AC28" s="42"/>
    </row>
    <row r="29" spans="1:29" x14ac:dyDescent="0.3">
      <c r="B29" s="83" t="s">
        <v>1809</v>
      </c>
      <c r="C29" t="s">
        <v>1810</v>
      </c>
      <c r="D29" t="s">
        <v>1763</v>
      </c>
      <c r="G29" s="5">
        <f t="shared" si="3"/>
        <v>5788.9450000000006</v>
      </c>
      <c r="H29" s="5">
        <f>G29/(1-0.4)*2</f>
        <v>19296.483333333337</v>
      </c>
      <c r="J29" s="5">
        <f>F127</f>
        <v>609.04499999999996</v>
      </c>
      <c r="K29" s="90">
        <f>F145</f>
        <v>4204.085</v>
      </c>
      <c r="L29" s="5">
        <v>0</v>
      </c>
      <c r="M29" s="5">
        <v>0</v>
      </c>
      <c r="N29" s="5">
        <f>$F$163</f>
        <v>807.76</v>
      </c>
      <c r="O29" s="5">
        <f>$F$164</f>
        <v>99.704999999999998</v>
      </c>
      <c r="P29" s="5">
        <f>$F$165</f>
        <v>68.349999999999994</v>
      </c>
      <c r="V29" s="5"/>
      <c r="W29" s="42"/>
      <c r="X29" s="42"/>
      <c r="Y29" s="42"/>
      <c r="Z29" s="42"/>
      <c r="AA29" s="42"/>
      <c r="AB29" s="42"/>
      <c r="AC29" s="42"/>
    </row>
    <row r="30" spans="1:29" x14ac:dyDescent="0.3">
      <c r="B30" s="83" t="s">
        <v>1809</v>
      </c>
      <c r="C30" t="s">
        <v>1811</v>
      </c>
      <c r="D30" t="s">
        <v>1763</v>
      </c>
      <c r="G30" s="5">
        <f t="shared" si="3"/>
        <v>6280.5050000000001</v>
      </c>
      <c r="H30" s="5">
        <f>G30/(1-0.4)*2</f>
        <v>20935.016666666666</v>
      </c>
      <c r="J30" s="5">
        <f>F128</f>
        <v>1196.7049999999999</v>
      </c>
      <c r="K30" s="90">
        <f>F146</f>
        <v>4107.9849999999997</v>
      </c>
      <c r="L30" s="5">
        <v>0</v>
      </c>
      <c r="M30" s="5">
        <v>0</v>
      </c>
      <c r="N30" s="5">
        <f>$F$163</f>
        <v>807.76</v>
      </c>
      <c r="O30" s="5">
        <f>$F$164</f>
        <v>99.704999999999998</v>
      </c>
      <c r="P30" s="5">
        <f>$F$165</f>
        <v>68.349999999999994</v>
      </c>
      <c r="V30" s="5"/>
      <c r="W30" s="42"/>
      <c r="X30" s="42"/>
      <c r="Y30" s="42"/>
      <c r="Z30" s="42"/>
      <c r="AA30" s="42"/>
      <c r="AB30" s="42"/>
      <c r="AC30" s="42"/>
    </row>
    <row r="31" spans="1:29" x14ac:dyDescent="0.3">
      <c r="B31" s="83" t="s">
        <v>1812</v>
      </c>
      <c r="C31" t="s">
        <v>1813</v>
      </c>
      <c r="D31" t="s">
        <v>1763</v>
      </c>
      <c r="G31" s="5">
        <f t="shared" si="3"/>
        <v>5788.9450000000006</v>
      </c>
      <c r="H31" s="5">
        <f t="shared" si="4"/>
        <v>19296.483333333337</v>
      </c>
      <c r="J31" s="5">
        <f>F127</f>
        <v>609.04499999999996</v>
      </c>
      <c r="K31" s="90">
        <f>F145</f>
        <v>4204.085</v>
      </c>
      <c r="L31" s="5">
        <v>0</v>
      </c>
      <c r="M31" s="5">
        <v>0</v>
      </c>
      <c r="N31" s="5">
        <f>$F$163</f>
        <v>807.76</v>
      </c>
      <c r="O31" s="5">
        <f>$F$164</f>
        <v>99.704999999999998</v>
      </c>
      <c r="P31" s="5">
        <f>$F$165</f>
        <v>68.349999999999994</v>
      </c>
      <c r="V31" s="5"/>
      <c r="W31" s="42"/>
      <c r="X31" s="42"/>
      <c r="Y31" s="42"/>
      <c r="Z31" s="42"/>
      <c r="AA31" s="42"/>
      <c r="AB31" s="42"/>
      <c r="AC31" s="42"/>
    </row>
    <row r="32" spans="1:29" x14ac:dyDescent="0.3">
      <c r="B32" s="83" t="s">
        <v>1812</v>
      </c>
      <c r="C32" t="s">
        <v>1814</v>
      </c>
      <c r="D32" t="s">
        <v>1763</v>
      </c>
      <c r="G32" s="5">
        <f t="shared" si="3"/>
        <v>6280.5050000000001</v>
      </c>
      <c r="H32" s="5">
        <f t="shared" si="4"/>
        <v>20935.016666666666</v>
      </c>
      <c r="J32" s="5">
        <f>F128</f>
        <v>1196.7049999999999</v>
      </c>
      <c r="K32" s="90">
        <f>F146</f>
        <v>4107.9849999999997</v>
      </c>
      <c r="L32" s="5">
        <v>0</v>
      </c>
      <c r="M32" s="5">
        <v>0</v>
      </c>
      <c r="N32" s="5">
        <f>$F$163</f>
        <v>807.76</v>
      </c>
      <c r="O32" s="5">
        <f>$F$164</f>
        <v>99.704999999999998</v>
      </c>
      <c r="P32" s="5">
        <f>$F$165</f>
        <v>68.349999999999994</v>
      </c>
      <c r="V32" s="5"/>
      <c r="W32" s="42"/>
      <c r="X32" s="42"/>
      <c r="Y32" s="42"/>
      <c r="Z32" s="42"/>
      <c r="AA32" s="42"/>
      <c r="AB32" s="42"/>
      <c r="AC32" s="42"/>
    </row>
    <row r="33" spans="2:29" x14ac:dyDescent="0.3">
      <c r="B33" s="83" t="s">
        <v>1815</v>
      </c>
      <c r="C33" t="s">
        <v>1816</v>
      </c>
      <c r="G33" s="5">
        <f t="shared" si="3"/>
        <v>6750</v>
      </c>
      <c r="H33" s="5">
        <f t="shared" si="4"/>
        <v>22500</v>
      </c>
      <c r="J33" s="5">
        <v>0</v>
      </c>
      <c r="K33" s="5">
        <f>F189</f>
        <v>6750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V33" s="5"/>
      <c r="W33" s="42"/>
      <c r="X33" s="42"/>
      <c r="Y33" s="42"/>
      <c r="Z33" s="42"/>
      <c r="AA33" s="42"/>
      <c r="AB33" s="42"/>
      <c r="AC33" s="42"/>
    </row>
    <row r="34" spans="2:29" x14ac:dyDescent="0.3">
      <c r="B34" s="83" t="s">
        <v>1817</v>
      </c>
      <c r="C34" t="s">
        <v>1818</v>
      </c>
      <c r="G34" s="5">
        <f t="shared" si="3"/>
        <v>7500</v>
      </c>
      <c r="H34" s="5">
        <f t="shared" si="4"/>
        <v>25000</v>
      </c>
      <c r="J34" s="5">
        <v>0</v>
      </c>
      <c r="K34" s="5">
        <v>7500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V34" s="5"/>
      <c r="W34" s="42"/>
      <c r="X34" s="42"/>
      <c r="Y34" s="42"/>
      <c r="Z34" s="42"/>
      <c r="AA34" s="42"/>
      <c r="AB34" s="42"/>
      <c r="AC34" s="42"/>
    </row>
    <row r="35" spans="2:29" x14ac:dyDescent="0.3">
      <c r="B35" s="83" t="s">
        <v>1819</v>
      </c>
      <c r="C35" t="s">
        <v>1820</v>
      </c>
      <c r="G35" s="5">
        <f t="shared" si="3"/>
        <v>3615.1830000000004</v>
      </c>
      <c r="H35" s="5">
        <f t="shared" si="4"/>
        <v>12050.610000000002</v>
      </c>
      <c r="J35" s="5">
        <v>0</v>
      </c>
      <c r="K35" s="5">
        <f>F149</f>
        <v>3615.1830000000004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V35" s="5"/>
      <c r="W35" s="42"/>
      <c r="X35" s="42"/>
      <c r="Y35" s="42"/>
      <c r="Z35" s="42"/>
      <c r="AA35" s="42"/>
      <c r="AB35" s="42"/>
      <c r="AC35" s="42"/>
    </row>
    <row r="36" spans="2:29" x14ac:dyDescent="0.3">
      <c r="V36" s="42"/>
      <c r="W36" s="42"/>
      <c r="X36" s="42"/>
      <c r="Y36" s="42"/>
      <c r="Z36" s="42"/>
      <c r="AA36" s="42"/>
      <c r="AB36" s="42"/>
    </row>
    <row r="37" spans="2:29" x14ac:dyDescent="0.3">
      <c r="B37" s="85"/>
      <c r="C37" s="86" t="s">
        <v>1821</v>
      </c>
      <c r="D37" s="44"/>
      <c r="G37" s="87" t="s">
        <v>1657</v>
      </c>
      <c r="H37" s="87" t="s">
        <v>2</v>
      </c>
      <c r="U37" s="42"/>
      <c r="V37" s="42"/>
      <c r="W37" s="42"/>
      <c r="X37" s="42"/>
      <c r="Y37" s="42"/>
      <c r="Z37" s="42"/>
    </row>
    <row r="38" spans="2:29" hidden="1" x14ac:dyDescent="0.3">
      <c r="B38" s="85"/>
      <c r="C38" s="86"/>
      <c r="D38" s="48"/>
      <c r="E38" s="48"/>
      <c r="F38" s="48"/>
      <c r="G38" s="87"/>
      <c r="H38" s="87"/>
      <c r="I38" s="87"/>
      <c r="J38" s="87"/>
      <c r="K38" s="87"/>
      <c r="L38" s="87"/>
      <c r="M38" s="87"/>
      <c r="N38" s="87"/>
      <c r="O38" s="87"/>
      <c r="T38"/>
      <c r="U38"/>
    </row>
    <row r="39" spans="2:29" x14ac:dyDescent="0.3">
      <c r="B39" s="83" t="s">
        <v>1822</v>
      </c>
      <c r="C39" s="91" t="s">
        <v>1823</v>
      </c>
      <c r="D39" s="44"/>
      <c r="G39" s="5">
        <f>SUM(J39:P39)</f>
        <v>0</v>
      </c>
      <c r="H39" s="82">
        <f t="shared" ref="H39:H48" si="5">G39/(1-0.4)*2</f>
        <v>0</v>
      </c>
      <c r="I39" s="82"/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U39" s="42"/>
      <c r="V39" s="42"/>
      <c r="W39" s="42"/>
      <c r="X39" s="42"/>
      <c r="Y39" s="42"/>
      <c r="Z39" s="42"/>
    </row>
    <row r="40" spans="2:29" x14ac:dyDescent="0.3">
      <c r="B40" s="83" t="s">
        <v>1824</v>
      </c>
      <c r="C40" s="91" t="s">
        <v>1710</v>
      </c>
      <c r="D40" s="44"/>
      <c r="G40" s="5">
        <f t="shared" ref="G40:G48" si="6">SUM(J40:P40)</f>
        <v>0</v>
      </c>
      <c r="H40" s="82">
        <f t="shared" si="5"/>
        <v>0</v>
      </c>
      <c r="I40" s="82"/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U40" s="42"/>
      <c r="V40" s="42"/>
      <c r="W40" s="42"/>
      <c r="X40" s="42"/>
      <c r="Y40" s="42"/>
      <c r="Z40" s="42"/>
    </row>
    <row r="41" spans="2:29" x14ac:dyDescent="0.3">
      <c r="B41" s="83" t="s">
        <v>1825</v>
      </c>
      <c r="C41" s="91" t="s">
        <v>1826</v>
      </c>
      <c r="D41" s="44"/>
      <c r="G41" s="5">
        <f t="shared" si="6"/>
        <v>0</v>
      </c>
      <c r="H41" s="82">
        <f t="shared" si="5"/>
        <v>0</v>
      </c>
      <c r="I41" s="82"/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U41" s="42"/>
      <c r="V41" s="42"/>
      <c r="W41" s="42"/>
      <c r="X41" s="42"/>
      <c r="Y41" s="42"/>
      <c r="Z41" s="42"/>
    </row>
    <row r="42" spans="2:29" x14ac:dyDescent="0.3">
      <c r="B42" s="83" t="s">
        <v>1827</v>
      </c>
      <c r="C42" s="91" t="s">
        <v>28</v>
      </c>
      <c r="D42" s="44"/>
      <c r="G42" s="5">
        <f t="shared" si="6"/>
        <v>0</v>
      </c>
      <c r="H42" s="82">
        <f t="shared" si="5"/>
        <v>0</v>
      </c>
      <c r="I42" s="82"/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U42" s="42"/>
      <c r="V42" s="42"/>
      <c r="W42" s="42"/>
      <c r="X42" s="42"/>
      <c r="Y42" s="42"/>
      <c r="Z42" s="42"/>
    </row>
    <row r="43" spans="2:29" x14ac:dyDescent="0.3">
      <c r="B43" s="83" t="s">
        <v>1828</v>
      </c>
      <c r="C43" s="91" t="s">
        <v>1829</v>
      </c>
      <c r="D43" s="44"/>
      <c r="G43" s="5">
        <f t="shared" si="6"/>
        <v>0</v>
      </c>
      <c r="H43" s="82">
        <f t="shared" si="5"/>
        <v>0</v>
      </c>
      <c r="I43" s="82"/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U43" s="42"/>
      <c r="V43" s="42"/>
      <c r="W43" s="42"/>
      <c r="X43" s="42"/>
      <c r="Y43" s="42"/>
      <c r="Z43" s="42"/>
    </row>
    <row r="44" spans="2:29" x14ac:dyDescent="0.3">
      <c r="B44" s="83" t="s">
        <v>1830</v>
      </c>
      <c r="C44" s="91" t="s">
        <v>1711</v>
      </c>
      <c r="D44" s="44"/>
      <c r="G44" s="5">
        <f t="shared" si="6"/>
        <v>0</v>
      </c>
      <c r="H44" s="82">
        <f t="shared" si="5"/>
        <v>0</v>
      </c>
      <c r="I44" s="82"/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U44" s="42"/>
      <c r="V44" s="42"/>
      <c r="W44" s="42"/>
      <c r="X44" s="42"/>
      <c r="Y44" s="42"/>
      <c r="Z44" s="42"/>
    </row>
    <row r="45" spans="2:29" x14ac:dyDescent="0.3">
      <c r="B45" s="83" t="s">
        <v>1831</v>
      </c>
      <c r="C45" s="91" t="s">
        <v>1832</v>
      </c>
      <c r="D45" s="44"/>
      <c r="G45" s="5">
        <f t="shared" si="6"/>
        <v>0</v>
      </c>
      <c r="H45" s="82">
        <f t="shared" si="5"/>
        <v>0</v>
      </c>
      <c r="I45" s="82"/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U45" s="42"/>
      <c r="V45" s="42"/>
      <c r="W45" s="42"/>
      <c r="X45" s="42"/>
      <c r="Y45" s="42"/>
      <c r="Z45" s="42"/>
    </row>
    <row r="46" spans="2:29" x14ac:dyDescent="0.3">
      <c r="B46" s="83" t="s">
        <v>1833</v>
      </c>
      <c r="C46" s="91" t="s">
        <v>36</v>
      </c>
      <c r="D46" s="44"/>
      <c r="G46" s="5">
        <f t="shared" si="6"/>
        <v>0</v>
      </c>
      <c r="H46" s="82">
        <f t="shared" si="5"/>
        <v>0</v>
      </c>
      <c r="I46" s="82"/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U46" s="42"/>
      <c r="V46" s="42"/>
      <c r="W46" s="42"/>
      <c r="X46" s="42"/>
      <c r="Y46" s="42"/>
      <c r="Z46" s="42"/>
    </row>
    <row r="47" spans="2:29" x14ac:dyDescent="0.3">
      <c r="B47" s="83" t="s">
        <v>1834</v>
      </c>
      <c r="C47" s="91" t="s">
        <v>1835</v>
      </c>
      <c r="D47" s="44"/>
      <c r="G47" s="5">
        <f t="shared" si="6"/>
        <v>0</v>
      </c>
      <c r="H47" s="82">
        <f t="shared" si="5"/>
        <v>0</v>
      </c>
      <c r="I47" s="82"/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U47" s="42"/>
      <c r="V47" s="42"/>
      <c r="W47" s="42"/>
      <c r="X47" s="42"/>
      <c r="Y47" s="42"/>
      <c r="Z47" s="42"/>
    </row>
    <row r="48" spans="2:29" x14ac:dyDescent="0.3">
      <c r="B48" s="83" t="s">
        <v>1836</v>
      </c>
      <c r="C48" s="91" t="s">
        <v>1837</v>
      </c>
      <c r="G48" s="5">
        <f t="shared" si="6"/>
        <v>0</v>
      </c>
      <c r="H48" s="82">
        <f t="shared" si="5"/>
        <v>0</v>
      </c>
      <c r="I48" s="82"/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U48" s="42"/>
      <c r="V48" s="42"/>
      <c r="W48" s="42"/>
      <c r="X48" s="42"/>
      <c r="Y48" s="42"/>
      <c r="Z48" s="42"/>
      <c r="AA48" s="42"/>
    </row>
    <row r="49" spans="2:27" x14ac:dyDescent="0.3">
      <c r="C49" s="92"/>
      <c r="U49" s="42"/>
      <c r="V49" s="42"/>
      <c r="W49" s="42"/>
      <c r="X49" s="42"/>
      <c r="Y49" s="42"/>
      <c r="Z49" s="42"/>
      <c r="AA49" s="42"/>
    </row>
    <row r="50" spans="2:27" x14ac:dyDescent="0.3">
      <c r="B50" s="85" t="s">
        <v>1730</v>
      </c>
      <c r="C50" s="86" t="s">
        <v>1590</v>
      </c>
      <c r="G50" s="87" t="s">
        <v>1657</v>
      </c>
      <c r="H50" s="87" t="s">
        <v>2</v>
      </c>
      <c r="J50" s="5" t="s">
        <v>1838</v>
      </c>
      <c r="K50" s="5" t="s">
        <v>1839</v>
      </c>
      <c r="L50" s="5" t="s">
        <v>1590</v>
      </c>
      <c r="M50" s="5" t="s">
        <v>1840</v>
      </c>
      <c r="N50" s="5" t="s">
        <v>1841</v>
      </c>
      <c r="O50" s="5" t="s">
        <v>1842</v>
      </c>
      <c r="P50" s="5" t="s">
        <v>1587</v>
      </c>
      <c r="T50"/>
      <c r="U50"/>
    </row>
    <row r="51" spans="2:27" hidden="1" x14ac:dyDescent="0.3">
      <c r="B51" s="85"/>
      <c r="C51" s="86"/>
      <c r="D51" s="48"/>
      <c r="E51" s="48"/>
      <c r="F51" s="48"/>
      <c r="G51" s="87"/>
      <c r="H51" s="87"/>
      <c r="I51" s="87"/>
      <c r="J51" s="87"/>
      <c r="K51" s="87"/>
      <c r="L51" s="87"/>
      <c r="M51" s="87"/>
      <c r="N51" s="87"/>
      <c r="O51" s="87"/>
      <c r="T51"/>
      <c r="U51"/>
    </row>
    <row r="52" spans="2:27" x14ac:dyDescent="0.3">
      <c r="B52" s="93"/>
      <c r="C52" s="91" t="s">
        <v>1843</v>
      </c>
      <c r="G52" s="5">
        <f>SUM(J52:P52)</f>
        <v>0</v>
      </c>
      <c r="H52" s="82">
        <f t="shared" ref="H52:H60" si="7">G52/(1-0.4)*2</f>
        <v>0</v>
      </c>
      <c r="I52" s="82"/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T52"/>
      <c r="U52"/>
    </row>
    <row r="53" spans="2:27" x14ac:dyDescent="0.3">
      <c r="B53" s="83" t="s">
        <v>1844</v>
      </c>
      <c r="C53" s="91" t="s">
        <v>1845</v>
      </c>
      <c r="G53" s="5">
        <f t="shared" ref="G53:G60" si="8">SUM(J53:P53)</f>
        <v>0</v>
      </c>
      <c r="H53" s="82">
        <f t="shared" si="7"/>
        <v>0</v>
      </c>
      <c r="I53" s="82"/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T53"/>
      <c r="U53"/>
    </row>
    <row r="54" spans="2:27" x14ac:dyDescent="0.3">
      <c r="B54" s="83" t="s">
        <v>1846</v>
      </c>
      <c r="C54" t="s">
        <v>1606</v>
      </c>
      <c r="D54" s="44"/>
      <c r="G54" s="5">
        <f t="shared" si="8"/>
        <v>1413.125</v>
      </c>
      <c r="H54" s="82">
        <f t="shared" si="7"/>
        <v>4710.416666666667</v>
      </c>
      <c r="I54" s="82"/>
      <c r="J54" s="5">
        <v>0</v>
      </c>
      <c r="K54" s="5">
        <v>0</v>
      </c>
      <c r="L54" s="5">
        <f t="shared" ref="L54:L60" si="9">F168</f>
        <v>1413.125</v>
      </c>
      <c r="M54" s="5">
        <v>0</v>
      </c>
      <c r="N54" s="5">
        <v>0</v>
      </c>
      <c r="O54" s="5">
        <v>0</v>
      </c>
      <c r="P54" s="5">
        <v>0</v>
      </c>
      <c r="U54" s="42"/>
      <c r="V54" s="42"/>
      <c r="W54" s="42"/>
      <c r="X54" s="42"/>
      <c r="Y54" s="42"/>
      <c r="Z54" s="42"/>
    </row>
    <row r="55" spans="2:27" x14ac:dyDescent="0.3">
      <c r="B55" s="83" t="s">
        <v>1847</v>
      </c>
      <c r="C55" t="s">
        <v>1600</v>
      </c>
      <c r="D55" s="44"/>
      <c r="G55" s="5">
        <f t="shared" si="8"/>
        <v>644.05499999999995</v>
      </c>
      <c r="H55" s="82">
        <f t="shared" si="7"/>
        <v>2146.85</v>
      </c>
      <c r="I55" s="82"/>
      <c r="J55" s="5">
        <v>0</v>
      </c>
      <c r="K55" s="5">
        <v>0</v>
      </c>
      <c r="L55" s="5">
        <f t="shared" si="9"/>
        <v>644.05499999999995</v>
      </c>
      <c r="M55" s="5">
        <v>0</v>
      </c>
      <c r="N55" s="5">
        <v>0</v>
      </c>
      <c r="O55" s="5">
        <v>0</v>
      </c>
      <c r="P55" s="5">
        <v>0</v>
      </c>
      <c r="T55" s="42"/>
      <c r="U55" s="42"/>
      <c r="V55" s="42"/>
      <c r="W55" s="42"/>
      <c r="X55" s="42"/>
      <c r="Y55" s="42"/>
    </row>
    <row r="56" spans="2:27" x14ac:dyDescent="0.3">
      <c r="B56" s="83" t="s">
        <v>1848</v>
      </c>
      <c r="C56" t="s">
        <v>1602</v>
      </c>
      <c r="D56" s="44"/>
      <c r="G56" s="5">
        <f t="shared" si="8"/>
        <v>961.71</v>
      </c>
      <c r="H56" s="82">
        <f t="shared" si="7"/>
        <v>3205.7000000000003</v>
      </c>
      <c r="I56" s="82"/>
      <c r="J56" s="5">
        <v>0</v>
      </c>
      <c r="K56" s="5">
        <v>0</v>
      </c>
      <c r="L56" s="5">
        <f t="shared" si="9"/>
        <v>961.71</v>
      </c>
      <c r="M56" s="5">
        <v>0</v>
      </c>
      <c r="N56" s="5">
        <v>0</v>
      </c>
      <c r="O56" s="5">
        <v>0</v>
      </c>
      <c r="P56" s="5">
        <v>0</v>
      </c>
      <c r="U56" s="42"/>
      <c r="V56" s="42"/>
      <c r="W56" s="42"/>
      <c r="X56" s="42"/>
      <c r="Y56" s="42"/>
      <c r="Z56" s="42"/>
    </row>
    <row r="57" spans="2:27" x14ac:dyDescent="0.3">
      <c r="B57" s="83" t="s">
        <v>1849</v>
      </c>
      <c r="C57" t="s">
        <v>1604</v>
      </c>
      <c r="D57" s="44"/>
      <c r="G57" s="5">
        <f t="shared" si="8"/>
        <v>1456.27</v>
      </c>
      <c r="H57" s="82">
        <f t="shared" si="7"/>
        <v>4854.2333333333336</v>
      </c>
      <c r="I57" s="82"/>
      <c r="J57" s="5">
        <v>0</v>
      </c>
      <c r="K57" s="5">
        <v>0</v>
      </c>
      <c r="L57" s="5">
        <f t="shared" si="9"/>
        <v>1456.27</v>
      </c>
      <c r="M57" s="5">
        <v>0</v>
      </c>
      <c r="N57" s="5">
        <v>0</v>
      </c>
      <c r="O57" s="5">
        <v>0</v>
      </c>
      <c r="P57" s="5">
        <v>0</v>
      </c>
      <c r="U57" s="42"/>
      <c r="V57" s="42"/>
      <c r="W57" s="42"/>
      <c r="X57" s="42"/>
      <c r="Y57" s="42"/>
      <c r="Z57" s="42"/>
    </row>
    <row r="58" spans="2:27" x14ac:dyDescent="0.3">
      <c r="B58" s="83" t="s">
        <v>1850</v>
      </c>
      <c r="C58" t="s">
        <v>1608</v>
      </c>
      <c r="D58" s="44"/>
      <c r="G58" s="5">
        <f t="shared" si="8"/>
        <v>997.42499999999995</v>
      </c>
      <c r="H58" s="82">
        <f t="shared" si="7"/>
        <v>3324.75</v>
      </c>
      <c r="I58" s="82"/>
      <c r="J58" s="5">
        <v>0</v>
      </c>
      <c r="K58" s="5">
        <v>0</v>
      </c>
      <c r="L58" s="5">
        <f t="shared" si="9"/>
        <v>997.42499999999995</v>
      </c>
      <c r="M58" s="5">
        <v>0</v>
      </c>
      <c r="N58" s="5">
        <v>0</v>
      </c>
      <c r="O58" s="5">
        <v>0</v>
      </c>
      <c r="P58" s="5">
        <v>0</v>
      </c>
      <c r="U58" s="42"/>
      <c r="V58" s="42"/>
      <c r="W58" s="42"/>
      <c r="X58" s="42"/>
      <c r="Y58" s="42"/>
      <c r="Z58" s="42"/>
    </row>
    <row r="59" spans="2:27" x14ac:dyDescent="0.3">
      <c r="B59" s="83" t="s">
        <v>1851</v>
      </c>
      <c r="C59" t="s">
        <v>1610</v>
      </c>
      <c r="D59" s="44"/>
      <c r="G59" s="5">
        <f t="shared" si="8"/>
        <v>1400.09</v>
      </c>
      <c r="H59" s="82">
        <f t="shared" si="7"/>
        <v>4666.9666666666662</v>
      </c>
      <c r="I59" s="82"/>
      <c r="J59" s="5">
        <v>0</v>
      </c>
      <c r="K59" s="5">
        <v>0</v>
      </c>
      <c r="L59" s="5">
        <f t="shared" si="9"/>
        <v>1400.09</v>
      </c>
      <c r="M59" s="5">
        <v>0</v>
      </c>
      <c r="N59" s="5">
        <v>0</v>
      </c>
      <c r="O59" s="5">
        <v>0</v>
      </c>
      <c r="P59" s="5">
        <v>0</v>
      </c>
      <c r="U59" s="42"/>
      <c r="V59" s="42"/>
      <c r="W59" s="42"/>
      <c r="X59" s="42"/>
      <c r="Y59" s="42"/>
      <c r="Z59" s="42"/>
    </row>
    <row r="60" spans="2:27" x14ac:dyDescent="0.3">
      <c r="B60" s="83" t="s">
        <v>1852</v>
      </c>
      <c r="C60" t="s">
        <v>1612</v>
      </c>
      <c r="D60" s="44"/>
      <c r="G60" s="5">
        <f t="shared" si="8"/>
        <v>1851.32</v>
      </c>
      <c r="H60" s="82">
        <f t="shared" si="7"/>
        <v>6171.0666666666666</v>
      </c>
      <c r="I60" s="82"/>
      <c r="J60" s="5">
        <v>0</v>
      </c>
      <c r="K60" s="5">
        <v>0</v>
      </c>
      <c r="L60" s="5">
        <f t="shared" si="9"/>
        <v>1851.32</v>
      </c>
      <c r="M60" s="5">
        <v>0</v>
      </c>
      <c r="N60" s="5">
        <v>0</v>
      </c>
      <c r="O60" s="5">
        <v>0</v>
      </c>
      <c r="P60" s="5">
        <v>0</v>
      </c>
      <c r="U60" s="42"/>
      <c r="V60" s="42"/>
      <c r="W60" s="42"/>
      <c r="X60" s="42"/>
      <c r="Y60" s="42"/>
      <c r="Z60" s="42"/>
    </row>
    <row r="61" spans="2:27" x14ac:dyDescent="0.3">
      <c r="B61" s="94"/>
      <c r="D61" s="44"/>
      <c r="H61" s="82"/>
      <c r="I61" s="82"/>
      <c r="U61" s="42"/>
      <c r="V61" s="42"/>
      <c r="W61" s="42"/>
      <c r="X61" s="42"/>
      <c r="Y61" s="42"/>
      <c r="Z61" s="42"/>
    </row>
    <row r="62" spans="2:27" x14ac:dyDescent="0.3">
      <c r="B62" s="85"/>
      <c r="C62" s="86" t="s">
        <v>1853</v>
      </c>
      <c r="D62" s="44"/>
      <c r="G62" s="87" t="s">
        <v>1657</v>
      </c>
      <c r="H62" s="87" t="s">
        <v>2</v>
      </c>
      <c r="U62" s="42"/>
      <c r="V62" s="42"/>
      <c r="W62" s="42"/>
      <c r="X62" s="42"/>
      <c r="Y62" s="42"/>
      <c r="Z62" s="42"/>
    </row>
    <row r="63" spans="2:27" hidden="1" x14ac:dyDescent="0.3">
      <c r="B63" s="85"/>
      <c r="C63" s="86"/>
      <c r="D63" s="48"/>
      <c r="E63" s="48"/>
      <c r="F63" s="48"/>
      <c r="G63" s="87"/>
      <c r="H63" s="87"/>
      <c r="I63" s="87"/>
      <c r="J63" s="87"/>
      <c r="K63" s="87"/>
      <c r="L63" s="87"/>
      <c r="M63" s="87"/>
      <c r="N63" s="87"/>
      <c r="O63" s="87"/>
      <c r="T63"/>
      <c r="U63"/>
    </row>
    <row r="64" spans="2:27" x14ac:dyDescent="0.3">
      <c r="B64" s="93"/>
      <c r="C64" t="s">
        <v>1854</v>
      </c>
      <c r="D64" s="44"/>
      <c r="G64" s="5">
        <f>SUM(J64:P64)</f>
        <v>0</v>
      </c>
      <c r="H64" s="82">
        <f>G64/(1-0.4)*2</f>
        <v>0</v>
      </c>
      <c r="I64" s="82"/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U64" s="42"/>
      <c r="V64" s="42"/>
      <c r="W64" s="42"/>
      <c r="X64" s="42"/>
      <c r="Y64" s="42"/>
      <c r="Z64" s="42"/>
    </row>
    <row r="65" spans="2:26" x14ac:dyDescent="0.3">
      <c r="B65" s="83" t="s">
        <v>1855</v>
      </c>
      <c r="C65" t="s">
        <v>1615</v>
      </c>
      <c r="D65" s="44"/>
      <c r="G65" s="5">
        <f>SUM(J65:P65)</f>
        <v>924.89499999999998</v>
      </c>
      <c r="H65" s="82">
        <f>G65/(1-0.4)*2</f>
        <v>3082.9833333333336</v>
      </c>
      <c r="I65" s="82"/>
      <c r="J65" s="5">
        <v>0</v>
      </c>
      <c r="K65" s="5">
        <v>0</v>
      </c>
      <c r="L65" s="5">
        <f>F192</f>
        <v>924.89499999999998</v>
      </c>
      <c r="M65" s="5">
        <v>0</v>
      </c>
      <c r="N65" s="5">
        <v>0</v>
      </c>
      <c r="O65" s="5">
        <v>0</v>
      </c>
      <c r="P65" s="5">
        <v>0</v>
      </c>
      <c r="U65" s="42"/>
      <c r="V65" s="42"/>
      <c r="W65" s="42"/>
      <c r="X65" s="42"/>
      <c r="Y65" s="42"/>
      <c r="Z65" s="42"/>
    </row>
    <row r="66" spans="2:26" x14ac:dyDescent="0.3">
      <c r="B66" s="94"/>
      <c r="D66" s="44"/>
      <c r="H66" s="82"/>
      <c r="I66" s="82"/>
      <c r="U66" s="42"/>
      <c r="V66" s="42"/>
      <c r="W66" s="42"/>
      <c r="X66" s="42"/>
      <c r="Y66" s="42"/>
      <c r="Z66" s="42"/>
    </row>
    <row r="67" spans="2:26" x14ac:dyDescent="0.3">
      <c r="B67" s="85"/>
      <c r="C67" s="86" t="s">
        <v>1595</v>
      </c>
      <c r="D67" s="44"/>
      <c r="G67" s="87" t="s">
        <v>1657</v>
      </c>
      <c r="H67" s="87" t="s">
        <v>2</v>
      </c>
      <c r="U67" s="42"/>
      <c r="V67" s="42"/>
      <c r="W67" s="42"/>
      <c r="X67" s="42"/>
      <c r="Y67" s="42"/>
      <c r="Z67" s="42"/>
    </row>
    <row r="68" spans="2:26" hidden="1" x14ac:dyDescent="0.3">
      <c r="B68" s="85"/>
      <c r="C68" s="86"/>
      <c r="D68" s="48"/>
      <c r="E68" s="48"/>
      <c r="F68" s="48"/>
      <c r="G68" s="87"/>
      <c r="H68" s="87"/>
      <c r="I68" s="87"/>
      <c r="J68" s="87"/>
      <c r="K68" s="87"/>
      <c r="L68" s="87"/>
      <c r="M68" s="87"/>
      <c r="N68" s="87"/>
      <c r="O68" s="87"/>
      <c r="T68"/>
      <c r="U68"/>
    </row>
    <row r="69" spans="2:26" x14ac:dyDescent="0.3">
      <c r="B69" s="93"/>
      <c r="C69" s="91" t="s">
        <v>1856</v>
      </c>
      <c r="D69" s="44"/>
      <c r="G69" s="5">
        <f>SUM(J69:P69)</f>
        <v>0</v>
      </c>
      <c r="H69" s="82">
        <f>G69/(1-0.4)*2</f>
        <v>0</v>
      </c>
      <c r="I69" s="82"/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U69" s="42"/>
      <c r="V69" s="42"/>
      <c r="W69" s="42"/>
      <c r="X69" s="42"/>
      <c r="Y69" s="42"/>
      <c r="Z69" s="42"/>
    </row>
    <row r="70" spans="2:26" x14ac:dyDescent="0.3">
      <c r="B70" s="83" t="s">
        <v>1857</v>
      </c>
      <c r="C70" t="s">
        <v>1858</v>
      </c>
      <c r="D70" s="44"/>
      <c r="G70" s="5">
        <f>SUM(J70:P70)</f>
        <v>1698.36</v>
      </c>
      <c r="H70" s="82">
        <f>G70/(1-0.4)*2</f>
        <v>5661.2</v>
      </c>
      <c r="I70" s="82"/>
      <c r="J70" s="5">
        <v>0</v>
      </c>
      <c r="K70" s="5">
        <v>0</v>
      </c>
      <c r="L70" s="5">
        <f>F177</f>
        <v>1698.36</v>
      </c>
      <c r="M70" s="5">
        <v>0</v>
      </c>
      <c r="N70" s="5">
        <v>0</v>
      </c>
      <c r="O70" s="5">
        <v>0</v>
      </c>
      <c r="P70" s="5">
        <v>0</v>
      </c>
      <c r="U70" s="42"/>
      <c r="V70" s="42"/>
      <c r="W70" s="42"/>
      <c r="X70" s="42"/>
      <c r="Y70" s="42"/>
      <c r="Z70" s="42"/>
    </row>
    <row r="71" spans="2:26" x14ac:dyDescent="0.3">
      <c r="B71" s="83" t="s">
        <v>1859</v>
      </c>
      <c r="C71" t="s">
        <v>1860</v>
      </c>
      <c r="D71" s="44"/>
      <c r="G71" s="5">
        <f>SUM(J71:P71)</f>
        <v>9239.0939999999991</v>
      </c>
      <c r="H71" s="82">
        <f>G71/(1-0.4)*2</f>
        <v>30796.98</v>
      </c>
      <c r="I71" s="82"/>
      <c r="J71" s="5">
        <v>0</v>
      </c>
      <c r="K71" s="5">
        <v>0</v>
      </c>
      <c r="L71" s="5">
        <f>F178</f>
        <v>9239.0939999999991</v>
      </c>
      <c r="M71" s="5">
        <v>0</v>
      </c>
      <c r="N71" s="5">
        <v>0</v>
      </c>
      <c r="O71" s="5">
        <v>0</v>
      </c>
      <c r="P71" s="5">
        <v>0</v>
      </c>
      <c r="U71" s="42"/>
      <c r="V71" s="42"/>
      <c r="W71" s="42"/>
      <c r="X71" s="42"/>
      <c r="Y71" s="42"/>
      <c r="Z71" s="42"/>
    </row>
    <row r="72" spans="2:26" x14ac:dyDescent="0.3">
      <c r="B72" s="83" t="s">
        <v>1861</v>
      </c>
      <c r="C72" t="s">
        <v>1862</v>
      </c>
      <c r="D72" s="44"/>
      <c r="G72" s="5">
        <f>SUM(J72:P72)</f>
        <v>12907.56</v>
      </c>
      <c r="H72" s="82">
        <f>G72/(1-0.4)*2</f>
        <v>43025.2</v>
      </c>
      <c r="I72" s="82"/>
      <c r="J72" s="5">
        <v>0</v>
      </c>
      <c r="K72" s="5">
        <v>0</v>
      </c>
      <c r="L72" s="5">
        <f>F179</f>
        <v>12907.56</v>
      </c>
      <c r="M72" s="5">
        <v>0</v>
      </c>
      <c r="N72" s="5">
        <v>0</v>
      </c>
      <c r="O72" s="5">
        <v>0</v>
      </c>
      <c r="P72" s="5">
        <v>0</v>
      </c>
      <c r="U72" s="42"/>
      <c r="V72" s="42"/>
      <c r="W72" s="42"/>
      <c r="X72" s="42"/>
      <c r="Y72" s="42"/>
      <c r="Z72" s="42"/>
    </row>
    <row r="73" spans="2:26" x14ac:dyDescent="0.3">
      <c r="B73" s="94"/>
      <c r="D73" s="44"/>
      <c r="H73" s="82"/>
      <c r="I73" s="82"/>
      <c r="U73" s="42"/>
      <c r="V73" s="42"/>
      <c r="W73" s="42"/>
      <c r="X73" s="42"/>
      <c r="Y73" s="42"/>
      <c r="Z73" s="42"/>
    </row>
    <row r="74" spans="2:26" x14ac:dyDescent="0.3">
      <c r="B74" s="85"/>
      <c r="C74" s="86" t="s">
        <v>1863</v>
      </c>
      <c r="D74" s="44"/>
      <c r="G74" s="87" t="s">
        <v>1657</v>
      </c>
      <c r="H74" s="87" t="s">
        <v>2</v>
      </c>
      <c r="U74" s="42"/>
      <c r="V74" s="42"/>
      <c r="W74" s="42"/>
      <c r="X74" s="42"/>
      <c r="Y74" s="42"/>
      <c r="Z74" s="42"/>
    </row>
    <row r="75" spans="2:26" hidden="1" x14ac:dyDescent="0.3">
      <c r="B75" s="85"/>
      <c r="C75" s="86"/>
      <c r="D75" s="48"/>
      <c r="E75" s="48"/>
      <c r="F75" s="48"/>
      <c r="G75" s="87"/>
      <c r="H75" s="87"/>
      <c r="I75" s="87"/>
      <c r="J75" s="87"/>
      <c r="K75" s="87"/>
      <c r="L75" s="87"/>
      <c r="M75" s="87"/>
      <c r="N75" s="87"/>
      <c r="O75" s="87"/>
      <c r="T75"/>
      <c r="U75"/>
    </row>
    <row r="76" spans="2:26" x14ac:dyDescent="0.3">
      <c r="C76" t="s">
        <v>1864</v>
      </c>
      <c r="D76" s="44"/>
      <c r="G76" s="5">
        <f>SUM(J76:P76)</f>
        <v>0</v>
      </c>
      <c r="H76" s="82">
        <f>G76/(1-0.4)*2</f>
        <v>0</v>
      </c>
      <c r="I76" s="82"/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U76" s="42"/>
      <c r="V76" s="42"/>
      <c r="W76" s="42"/>
      <c r="X76" s="42"/>
      <c r="Y76" s="42"/>
      <c r="Z76" s="42"/>
    </row>
    <row r="77" spans="2:26" x14ac:dyDescent="0.3">
      <c r="B77" s="83" t="s">
        <v>1865</v>
      </c>
      <c r="C77" t="s">
        <v>1866</v>
      </c>
      <c r="D77" s="44"/>
      <c r="E77" s="44"/>
      <c r="G77" s="5">
        <f>SUM(J77:P77)</f>
        <v>126</v>
      </c>
      <c r="H77" s="82">
        <f>G77/(1-0.4)*2</f>
        <v>420</v>
      </c>
      <c r="I77" s="82"/>
      <c r="J77" s="5">
        <v>0</v>
      </c>
      <c r="K77" s="5">
        <f>F154</f>
        <v>126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U77" s="42"/>
      <c r="V77" s="42"/>
      <c r="W77" s="42"/>
      <c r="X77" s="42"/>
      <c r="Y77" s="42"/>
      <c r="Z77" s="42"/>
    </row>
    <row r="78" spans="2:26" x14ac:dyDescent="0.3">
      <c r="B78" s="83" t="s">
        <v>1867</v>
      </c>
      <c r="C78" t="s">
        <v>1868</v>
      </c>
      <c r="D78" s="44"/>
      <c r="G78" s="5">
        <f>SUM(J78:P78)</f>
        <v>446.68</v>
      </c>
      <c r="H78" s="82">
        <f>G78/(1-0.4)*2</f>
        <v>1488.9333333333334</v>
      </c>
      <c r="I78" s="82"/>
      <c r="J78" s="5">
        <f>F152</f>
        <v>348.24</v>
      </c>
      <c r="K78" s="5">
        <f>F153</f>
        <v>98.44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U78" s="42"/>
      <c r="V78" s="42"/>
      <c r="W78" s="42"/>
      <c r="X78" s="42"/>
      <c r="Y78" s="42"/>
      <c r="Z78" s="42"/>
    </row>
    <row r="79" spans="2:26" x14ac:dyDescent="0.3">
      <c r="D79" s="44"/>
      <c r="H79" s="82"/>
      <c r="I79" s="82"/>
      <c r="U79" s="42"/>
      <c r="V79" s="42"/>
      <c r="W79" s="42"/>
      <c r="X79" s="42"/>
      <c r="Y79" s="42"/>
      <c r="Z79" s="42"/>
    </row>
    <row r="80" spans="2:26" x14ac:dyDescent="0.3">
      <c r="B80" s="85"/>
      <c r="C80" s="86" t="s">
        <v>1869</v>
      </c>
      <c r="D80" s="44"/>
      <c r="G80" s="87" t="s">
        <v>1657</v>
      </c>
      <c r="H80" s="87" t="s">
        <v>2</v>
      </c>
      <c r="U80" s="42"/>
      <c r="V80" s="42"/>
      <c r="W80" s="42"/>
      <c r="X80" s="42"/>
      <c r="Y80" s="42"/>
      <c r="Z80" s="42"/>
    </row>
    <row r="81" spans="2:26" hidden="1" x14ac:dyDescent="0.3">
      <c r="B81" s="85"/>
      <c r="C81" s="86"/>
      <c r="D81" s="48"/>
      <c r="E81" s="48"/>
      <c r="F81" s="48"/>
      <c r="G81" s="87"/>
      <c r="H81" s="87"/>
      <c r="I81" s="87"/>
      <c r="J81" s="87"/>
      <c r="K81" s="87"/>
      <c r="L81" s="87"/>
      <c r="M81" s="87"/>
      <c r="N81" s="87"/>
      <c r="O81" s="87"/>
      <c r="T81"/>
      <c r="U81"/>
    </row>
    <row r="82" spans="2:26" x14ac:dyDescent="0.3">
      <c r="B82" s="94"/>
      <c r="C82" s="91" t="s">
        <v>1870</v>
      </c>
      <c r="D82" s="44"/>
      <c r="G82" s="5">
        <f>SUM(J82:P82)</f>
        <v>0</v>
      </c>
      <c r="H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U82" s="42"/>
      <c r="V82" s="42"/>
      <c r="W82" s="42"/>
      <c r="X82" s="42"/>
      <c r="Y82" s="42"/>
      <c r="Z82" s="42"/>
    </row>
    <row r="83" spans="2:26" x14ac:dyDescent="0.3">
      <c r="B83" s="83" t="s">
        <v>1871</v>
      </c>
      <c r="C83" t="s">
        <v>1574</v>
      </c>
      <c r="D83" s="44"/>
      <c r="G83" s="5">
        <f>SUM(J83:P83)</f>
        <v>1750</v>
      </c>
      <c r="H83" s="82">
        <f>G83/(1-0.4)*2</f>
        <v>5833.3333333333339</v>
      </c>
      <c r="I83" s="82"/>
      <c r="J83" s="5">
        <v>0</v>
      </c>
      <c r="K83" s="5">
        <v>0</v>
      </c>
      <c r="L83" s="5">
        <v>0</v>
      </c>
      <c r="M83" s="5">
        <v>0</v>
      </c>
      <c r="N83" s="5">
        <v>1750</v>
      </c>
      <c r="O83" s="5">
        <v>0</v>
      </c>
      <c r="P83" s="5">
        <v>0</v>
      </c>
      <c r="U83"/>
    </row>
    <row r="84" spans="2:26" x14ac:dyDescent="0.3">
      <c r="B84" s="83" t="s">
        <v>1872</v>
      </c>
      <c r="C84" t="s">
        <v>1577</v>
      </c>
      <c r="D84" s="44"/>
      <c r="G84" s="5">
        <f>SUM(J84:P84)</f>
        <v>2750</v>
      </c>
      <c r="H84" s="82">
        <f>G84/(1-0.4)*2</f>
        <v>9166.6666666666679</v>
      </c>
      <c r="I84" s="82"/>
      <c r="J84" s="5">
        <v>0</v>
      </c>
      <c r="K84" s="5">
        <v>0</v>
      </c>
      <c r="L84" s="5">
        <v>0</v>
      </c>
      <c r="M84" s="5">
        <v>0</v>
      </c>
      <c r="N84" s="5">
        <v>2750</v>
      </c>
      <c r="O84" s="5">
        <v>0</v>
      </c>
      <c r="P84" s="5">
        <v>0</v>
      </c>
      <c r="U84"/>
    </row>
    <row r="85" spans="2:26" x14ac:dyDescent="0.3">
      <c r="B85" s="83" t="s">
        <v>1873</v>
      </c>
      <c r="C85" t="s">
        <v>1580</v>
      </c>
      <c r="D85" s="44"/>
      <c r="G85" s="5">
        <f>SUM(J85:P85)</f>
        <v>3750</v>
      </c>
      <c r="H85" s="82">
        <f>G85/(1-0.4)*2</f>
        <v>12500</v>
      </c>
      <c r="I85" s="82"/>
      <c r="J85" s="5">
        <v>0</v>
      </c>
      <c r="K85" s="5">
        <v>0</v>
      </c>
      <c r="L85" s="5">
        <v>0</v>
      </c>
      <c r="M85" s="5">
        <v>0</v>
      </c>
      <c r="N85" s="5">
        <v>3750</v>
      </c>
      <c r="O85" s="5">
        <v>0</v>
      </c>
      <c r="P85" s="5">
        <v>0</v>
      </c>
      <c r="U85"/>
    </row>
    <row r="86" spans="2:26" x14ac:dyDescent="0.3">
      <c r="D86" s="44"/>
      <c r="H86" s="82"/>
      <c r="I86" s="82"/>
      <c r="U86"/>
    </row>
    <row r="87" spans="2:26" x14ac:dyDescent="0.3">
      <c r="B87" s="85"/>
      <c r="C87" s="86" t="s">
        <v>1874</v>
      </c>
      <c r="D87" s="44"/>
      <c r="G87" s="87" t="s">
        <v>1657</v>
      </c>
      <c r="H87" s="87" t="s">
        <v>2</v>
      </c>
      <c r="U87"/>
    </row>
    <row r="88" spans="2:26" hidden="1" x14ac:dyDescent="0.3">
      <c r="B88" s="85"/>
      <c r="C88" s="86"/>
      <c r="D88" s="48"/>
      <c r="E88" s="48"/>
      <c r="F88" s="48"/>
      <c r="G88" s="87"/>
      <c r="H88" s="87"/>
      <c r="I88" s="87"/>
      <c r="J88" s="87"/>
      <c r="K88" s="87"/>
      <c r="L88" s="87"/>
      <c r="M88" s="87"/>
      <c r="N88" s="87"/>
      <c r="O88" s="87"/>
      <c r="T88"/>
      <c r="U88"/>
    </row>
    <row r="89" spans="2:26" x14ac:dyDescent="0.3">
      <c r="B89" s="83" t="s">
        <v>1875</v>
      </c>
      <c r="C89" t="s">
        <v>1589</v>
      </c>
      <c r="D89" s="44"/>
      <c r="G89" s="5">
        <f>SUM(J89:P89)</f>
        <v>468.96499999999997</v>
      </c>
      <c r="H89" s="82">
        <f>G89/(1-0.4)*2</f>
        <v>1563.2166666666667</v>
      </c>
      <c r="I89" s="82"/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f>F157</f>
        <v>169.7</v>
      </c>
      <c r="P89" s="5">
        <f>F159</f>
        <v>299.26499999999999</v>
      </c>
      <c r="U89" s="42"/>
      <c r="V89" s="42"/>
      <c r="W89" s="42"/>
      <c r="X89" s="42"/>
      <c r="Y89" s="42"/>
      <c r="Z89" s="42"/>
    </row>
    <row r="90" spans="2:26" x14ac:dyDescent="0.3">
      <c r="B90" s="83" t="s">
        <v>1876</v>
      </c>
      <c r="C90" t="s">
        <v>1592</v>
      </c>
      <c r="D90" s="44"/>
      <c r="G90" s="5">
        <f>SUM(J90:P90)</f>
        <v>1019.69</v>
      </c>
      <c r="H90" s="82">
        <f>G90/(1-0.4)*2</f>
        <v>3398.9666666666672</v>
      </c>
      <c r="I90" s="82"/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f>F157</f>
        <v>169.7</v>
      </c>
      <c r="P90" s="5">
        <f>F160</f>
        <v>849.99</v>
      </c>
      <c r="U90" s="42"/>
      <c r="V90" s="42"/>
      <c r="W90" s="42"/>
      <c r="X90" s="42"/>
      <c r="Y90" s="42"/>
      <c r="Z90" s="42"/>
    </row>
    <row r="91" spans="2:26" x14ac:dyDescent="0.3">
      <c r="B91" s="83" t="s">
        <v>1669</v>
      </c>
      <c r="C91" t="s">
        <v>1385</v>
      </c>
      <c r="D91" s="44"/>
      <c r="G91" s="5">
        <f>SUM('[2]Ondal Booms'!D166:D171)</f>
        <v>1742.2960000000003</v>
      </c>
      <c r="H91" s="82">
        <f>G91/(1-0.4)*2</f>
        <v>5807.6533333333346</v>
      </c>
      <c r="I91" s="82"/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f>D155</f>
        <v>0</v>
      </c>
      <c r="P91" s="5">
        <f>D156</f>
        <v>0</v>
      </c>
      <c r="U91" s="42"/>
      <c r="V91" s="42"/>
      <c r="W91" s="42"/>
      <c r="X91" s="42"/>
      <c r="Y91" s="42"/>
      <c r="Z91" s="42"/>
    </row>
    <row r="92" spans="2:26" x14ac:dyDescent="0.3">
      <c r="B92" s="83" t="s">
        <v>1670</v>
      </c>
      <c r="C92" t="s">
        <v>1387</v>
      </c>
      <c r="D92" s="44"/>
      <c r="G92" s="5">
        <f>SUM(J92:P92)</f>
        <v>0</v>
      </c>
      <c r="H92" s="82">
        <f>G92/(1-0.4)*2</f>
        <v>0</v>
      </c>
      <c r="I92" s="82"/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f>D156</f>
        <v>0</v>
      </c>
      <c r="P92" s="5">
        <v>0</v>
      </c>
      <c r="U92" s="42"/>
      <c r="V92" s="42"/>
      <c r="W92" s="42"/>
      <c r="X92" s="42"/>
      <c r="Y92" s="42"/>
      <c r="Z92" s="42"/>
    </row>
    <row r="93" spans="2:26" x14ac:dyDescent="0.3">
      <c r="D93" s="44"/>
      <c r="H93" s="82"/>
      <c r="I93" s="82"/>
      <c r="U93" s="42"/>
      <c r="V93" s="42"/>
      <c r="W93" s="42"/>
      <c r="X93" s="42"/>
      <c r="Y93" s="42"/>
      <c r="Z93" s="42"/>
    </row>
    <row r="94" spans="2:26" x14ac:dyDescent="0.3">
      <c r="B94" s="85"/>
      <c r="C94" s="86" t="s">
        <v>1840</v>
      </c>
      <c r="D94" s="44"/>
      <c r="G94" s="87" t="s">
        <v>1657</v>
      </c>
      <c r="H94" s="87" t="s">
        <v>2</v>
      </c>
      <c r="U94" s="42"/>
      <c r="V94" s="42"/>
      <c r="W94" s="42"/>
      <c r="X94" s="42"/>
      <c r="Y94" s="42"/>
      <c r="Z94" s="42"/>
    </row>
    <row r="95" spans="2:26" hidden="1" x14ac:dyDescent="0.3">
      <c r="B95" s="85"/>
      <c r="C95" s="86"/>
      <c r="D95" s="48"/>
      <c r="E95" s="48"/>
      <c r="F95" s="48"/>
      <c r="G95" s="87"/>
      <c r="H95" s="87"/>
      <c r="I95" s="87"/>
      <c r="J95" s="87"/>
      <c r="K95" s="87"/>
      <c r="L95" s="87"/>
      <c r="M95" s="87"/>
      <c r="N95" s="87"/>
      <c r="O95" s="87"/>
      <c r="T95"/>
      <c r="U95"/>
    </row>
    <row r="96" spans="2:26" x14ac:dyDescent="0.3">
      <c r="B96" s="83" t="s">
        <v>1877</v>
      </c>
      <c r="C96" t="s">
        <v>1840</v>
      </c>
      <c r="D96" s="44"/>
      <c r="G96" s="5">
        <v>900</v>
      </c>
      <c r="H96" s="82">
        <f>G96/(1-0.4)*2</f>
        <v>3000</v>
      </c>
      <c r="I96" s="82"/>
      <c r="J96" s="5">
        <v>0</v>
      </c>
      <c r="K96" s="5">
        <v>0</v>
      </c>
      <c r="L96" s="5">
        <v>0</v>
      </c>
      <c r="M96" s="5">
        <v>1000</v>
      </c>
      <c r="N96" s="5">
        <v>0</v>
      </c>
      <c r="O96" s="5">
        <v>0</v>
      </c>
      <c r="P96" s="5">
        <v>0</v>
      </c>
      <c r="U96" s="42"/>
      <c r="V96" s="42"/>
      <c r="W96" s="42"/>
      <c r="X96" s="42"/>
      <c r="Y96" s="42"/>
      <c r="Z96" s="42"/>
    </row>
    <row r="97" spans="1:28" x14ac:dyDescent="0.3">
      <c r="U97" s="42"/>
      <c r="V97" s="42"/>
      <c r="W97" s="42"/>
      <c r="X97" s="42"/>
      <c r="Y97" s="42"/>
      <c r="Z97" s="42"/>
    </row>
    <row r="98" spans="1:28" x14ac:dyDescent="0.3">
      <c r="B98" s="85"/>
      <c r="C98" s="86" t="s">
        <v>1878</v>
      </c>
      <c r="D98" s="44"/>
      <c r="G98" s="87" t="s">
        <v>1657</v>
      </c>
      <c r="H98" s="87" t="s">
        <v>2</v>
      </c>
      <c r="U98" s="42"/>
      <c r="V98" s="42"/>
      <c r="W98" s="42"/>
      <c r="X98" s="42"/>
      <c r="Y98" s="42"/>
      <c r="Z98" s="42"/>
    </row>
    <row r="99" spans="1:28" hidden="1" x14ac:dyDescent="0.3">
      <c r="B99" s="85"/>
      <c r="C99" s="86"/>
      <c r="D99" s="48"/>
      <c r="E99" s="48"/>
      <c r="F99" s="48"/>
      <c r="G99" s="87"/>
      <c r="H99" s="87"/>
      <c r="I99" s="87"/>
      <c r="J99" s="87"/>
      <c r="K99" s="87"/>
      <c r="L99" s="87"/>
      <c r="M99" s="87"/>
      <c r="N99" s="87"/>
      <c r="O99" s="87"/>
      <c r="T99"/>
      <c r="U99"/>
    </row>
    <row r="100" spans="1:28" x14ac:dyDescent="0.3">
      <c r="B100" s="83" t="s">
        <v>1879</v>
      </c>
      <c r="C100" t="s">
        <v>1878</v>
      </c>
      <c r="D100" s="44"/>
      <c r="G100" s="5">
        <v>300</v>
      </c>
      <c r="H100" s="82">
        <f>G100/(1-0.4)*2</f>
        <v>1000</v>
      </c>
      <c r="I100" s="82"/>
      <c r="J100" s="5">
        <v>0</v>
      </c>
      <c r="K100" s="5">
        <v>0</v>
      </c>
      <c r="L100" s="5">
        <v>0</v>
      </c>
      <c r="M100" s="5">
        <v>500</v>
      </c>
      <c r="N100" s="5">
        <v>0</v>
      </c>
      <c r="O100" s="5">
        <v>0</v>
      </c>
      <c r="P100" s="5">
        <v>0</v>
      </c>
      <c r="U100" s="42"/>
      <c r="V100" s="42"/>
      <c r="W100" s="42"/>
      <c r="X100" s="42"/>
      <c r="Y100" s="42"/>
      <c r="Z100" s="42"/>
    </row>
    <row r="101" spans="1:28" x14ac:dyDescent="0.3">
      <c r="U101" s="42"/>
      <c r="V101" s="42"/>
      <c r="W101" s="42"/>
      <c r="X101" s="42"/>
      <c r="Y101" s="42"/>
      <c r="Z101" s="42"/>
    </row>
    <row r="102" spans="1:28" x14ac:dyDescent="0.3">
      <c r="U102" s="42"/>
      <c r="V102" s="42"/>
      <c r="W102" s="42"/>
      <c r="X102" s="42"/>
      <c r="Y102" s="42"/>
      <c r="Z102" s="42"/>
    </row>
    <row r="103" spans="1:28" x14ac:dyDescent="0.3">
      <c r="A103" s="48" t="s">
        <v>1880</v>
      </c>
      <c r="B103" s="95"/>
      <c r="C103" s="96"/>
      <c r="V103" s="42"/>
      <c r="W103" s="42"/>
      <c r="X103" s="42"/>
      <c r="Y103" s="42"/>
      <c r="Z103" s="42"/>
      <c r="AA103" s="42"/>
      <c r="AB103" s="42"/>
    </row>
    <row r="104" spans="1:28" x14ac:dyDescent="0.3">
      <c r="C104" s="92"/>
      <c r="V104" s="42"/>
      <c r="W104" s="42"/>
      <c r="X104" s="42"/>
      <c r="Y104" s="42"/>
      <c r="Z104" s="42"/>
      <c r="AA104" s="42"/>
      <c r="AB104" s="42"/>
    </row>
    <row r="105" spans="1:28" x14ac:dyDescent="0.3">
      <c r="B105" s="48" t="s">
        <v>1881</v>
      </c>
      <c r="C105" s="86" t="s">
        <v>1731</v>
      </c>
      <c r="D105" s="48" t="s">
        <v>1882</v>
      </c>
      <c r="E105" s="48" t="s">
        <v>1883</v>
      </c>
      <c r="F105" t="s">
        <v>3</v>
      </c>
      <c r="G105" s="87" t="s">
        <v>1884</v>
      </c>
    </row>
    <row r="106" spans="1:28" x14ac:dyDescent="0.3">
      <c r="B106" s="97" t="s">
        <v>1885</v>
      </c>
      <c r="C106" s="50" t="s">
        <v>1886</v>
      </c>
      <c r="D106" s="98">
        <v>2715.32</v>
      </c>
      <c r="E106" s="5">
        <v>3280.9</v>
      </c>
      <c r="F106" s="5">
        <f>D106*(1-$D$254)</f>
        <v>1357.66</v>
      </c>
      <c r="G106" s="83" t="s">
        <v>1887</v>
      </c>
    </row>
    <row r="107" spans="1:28" x14ac:dyDescent="0.3">
      <c r="B107" s="97" t="s">
        <v>1888</v>
      </c>
      <c r="C107" s="50" t="s">
        <v>1889</v>
      </c>
      <c r="D107" s="98">
        <v>2657.42</v>
      </c>
      <c r="E107" s="5">
        <v>2493.5</v>
      </c>
      <c r="F107" s="5">
        <f>D107*(1-$D$254)</f>
        <v>1328.71</v>
      </c>
      <c r="G107" s="83" t="s">
        <v>1890</v>
      </c>
    </row>
    <row r="108" spans="1:28" x14ac:dyDescent="0.3">
      <c r="B108" s="49" t="s">
        <v>1891</v>
      </c>
      <c r="C108" s="50" t="s">
        <v>1892</v>
      </c>
      <c r="D108" s="98">
        <v>3387.27</v>
      </c>
      <c r="E108" s="5">
        <v>3439.49</v>
      </c>
      <c r="F108" s="5">
        <f>D108*(1-$D$254)</f>
        <v>1693.635</v>
      </c>
      <c r="G108" s="83" t="s">
        <v>1893</v>
      </c>
    </row>
    <row r="109" spans="1:28" x14ac:dyDescent="0.3">
      <c r="B109" s="49" t="s">
        <v>1894</v>
      </c>
      <c r="C109" s="50" t="s">
        <v>1895</v>
      </c>
      <c r="D109" s="98">
        <v>2824.95</v>
      </c>
      <c r="E109" s="5">
        <v>2739.12</v>
      </c>
      <c r="F109" s="5">
        <f>D109*(1-$D$254)</f>
        <v>1412.4749999999999</v>
      </c>
      <c r="G109" s="83" t="s">
        <v>1896</v>
      </c>
    </row>
    <row r="110" spans="1:28" x14ac:dyDescent="0.3">
      <c r="B110" s="49" t="s">
        <v>1897</v>
      </c>
      <c r="C110" s="50" t="s">
        <v>1898</v>
      </c>
      <c r="D110" s="98">
        <v>2090.9299999999998</v>
      </c>
      <c r="E110" s="5">
        <v>2174.7800000000002</v>
      </c>
      <c r="F110" s="5">
        <f>D110*(1-$D$254)</f>
        <v>1045.4649999999999</v>
      </c>
      <c r="G110" s="83" t="s">
        <v>1899</v>
      </c>
    </row>
    <row r="111" spans="1:28" x14ac:dyDescent="0.3">
      <c r="B111"/>
      <c r="F111" s="5"/>
      <c r="G111" s="83"/>
    </row>
    <row r="112" spans="1:28" x14ac:dyDescent="0.3">
      <c r="B112" s="48" t="s">
        <v>1900</v>
      </c>
      <c r="C112" s="48"/>
      <c r="D112" s="48"/>
      <c r="F112" s="5"/>
      <c r="G112" s="87" t="s">
        <v>1884</v>
      </c>
    </row>
    <row r="113" spans="2:7" x14ac:dyDescent="0.3">
      <c r="B113" s="97" t="s">
        <v>1901</v>
      </c>
      <c r="C113" s="50" t="s">
        <v>1902</v>
      </c>
      <c r="D113" s="98">
        <v>4622.88</v>
      </c>
      <c r="E113" s="5">
        <v>5108.88</v>
      </c>
      <c r="F113" s="5">
        <f t="shared" ref="F113:F118" si="10">D113*(1-$D$254)</f>
        <v>2311.44</v>
      </c>
      <c r="G113" s="83" t="s">
        <v>1903</v>
      </c>
    </row>
    <row r="114" spans="2:7" x14ac:dyDescent="0.3">
      <c r="B114" s="97" t="s">
        <v>1904</v>
      </c>
      <c r="C114" s="50" t="s">
        <v>1905</v>
      </c>
      <c r="D114" s="98">
        <v>5022.1499999999996</v>
      </c>
      <c r="E114" s="5">
        <v>6155.71</v>
      </c>
      <c r="F114" s="5">
        <f t="shared" si="10"/>
        <v>2511.0749999999998</v>
      </c>
      <c r="G114" s="83" t="s">
        <v>1906</v>
      </c>
    </row>
    <row r="115" spans="2:7" x14ac:dyDescent="0.3">
      <c r="B115" s="49" t="s">
        <v>1907</v>
      </c>
      <c r="C115" s="50" t="s">
        <v>1908</v>
      </c>
      <c r="D115" s="98">
        <v>4622.88</v>
      </c>
      <c r="E115" s="5">
        <v>5170.8500000000004</v>
      </c>
      <c r="F115" s="5">
        <f t="shared" si="10"/>
        <v>2311.44</v>
      </c>
      <c r="G115" s="83" t="s">
        <v>1909</v>
      </c>
    </row>
    <row r="116" spans="2:7" x14ac:dyDescent="0.3">
      <c r="B116" s="49" t="s">
        <v>1910</v>
      </c>
      <c r="C116" s="50" t="s">
        <v>1911</v>
      </c>
      <c r="D116" s="98">
        <v>4790.12</v>
      </c>
      <c r="E116" s="5">
        <v>5149.68</v>
      </c>
      <c r="F116" s="5">
        <f t="shared" si="10"/>
        <v>2395.06</v>
      </c>
      <c r="G116" s="83" t="s">
        <v>1912</v>
      </c>
    </row>
    <row r="117" spans="2:7" x14ac:dyDescent="0.3">
      <c r="B117" s="49" t="s">
        <v>1913</v>
      </c>
      <c r="C117" s="50" t="s">
        <v>1914</v>
      </c>
      <c r="D117" s="98">
        <v>7014.03</v>
      </c>
      <c r="E117" s="5">
        <v>7123.87</v>
      </c>
      <c r="F117" s="5">
        <f t="shared" si="10"/>
        <v>3507.0149999999999</v>
      </c>
      <c r="G117" s="83" t="s">
        <v>1915</v>
      </c>
    </row>
    <row r="118" spans="2:7" x14ac:dyDescent="0.3">
      <c r="B118" s="49" t="s">
        <v>1916</v>
      </c>
      <c r="C118" s="50" t="s">
        <v>1917</v>
      </c>
      <c r="D118" s="98">
        <v>4377.03</v>
      </c>
      <c r="E118" s="5">
        <v>4323.6000000000004</v>
      </c>
      <c r="F118" s="5">
        <f t="shared" si="10"/>
        <v>2188.5149999999999</v>
      </c>
      <c r="G118" s="83" t="s">
        <v>1918</v>
      </c>
    </row>
    <row r="119" spans="2:7" x14ac:dyDescent="0.3">
      <c r="B119" s="52"/>
      <c r="C119" s="53"/>
      <c r="D119" s="54"/>
      <c r="F119" s="5"/>
      <c r="G119" s="83"/>
    </row>
    <row r="120" spans="2:7" x14ac:dyDescent="0.3">
      <c r="B120" s="48" t="s">
        <v>1919</v>
      </c>
      <c r="C120" s="48"/>
      <c r="D120" s="48"/>
      <c r="F120" s="5"/>
      <c r="G120" s="83"/>
    </row>
    <row r="121" spans="2:7" x14ac:dyDescent="0.3">
      <c r="B121" s="97" t="s">
        <v>1920</v>
      </c>
      <c r="C121" s="50" t="s">
        <v>1921</v>
      </c>
      <c r="D121" s="98">
        <v>7541.78</v>
      </c>
      <c r="E121" s="5">
        <v>9308.2099999999991</v>
      </c>
      <c r="F121" s="5">
        <f>D121*(1-$D$254)</f>
        <v>3770.89</v>
      </c>
      <c r="G121" s="83" t="s">
        <v>1922</v>
      </c>
    </row>
    <row r="122" spans="2:7" x14ac:dyDescent="0.3">
      <c r="B122" s="49" t="s">
        <v>1923</v>
      </c>
      <c r="C122" s="50" t="s">
        <v>1924</v>
      </c>
      <c r="D122" s="98">
        <v>7030.63</v>
      </c>
      <c r="E122" s="5">
        <v>7913.86</v>
      </c>
      <c r="F122" s="5">
        <f>D122*(1-$D$254)</f>
        <v>3515.3150000000001</v>
      </c>
      <c r="G122" s="83" t="s">
        <v>1925</v>
      </c>
    </row>
    <row r="123" spans="2:7" x14ac:dyDescent="0.3">
      <c r="B123" s="49" t="s">
        <v>1926</v>
      </c>
      <c r="C123" s="50" t="s">
        <v>1927</v>
      </c>
      <c r="D123" s="98">
        <v>7030.63</v>
      </c>
      <c r="E123" s="5">
        <v>8157.55</v>
      </c>
      <c r="F123" s="5">
        <f>D123*(1-$D$254)</f>
        <v>3515.3150000000001</v>
      </c>
      <c r="G123" s="83" t="s">
        <v>1928</v>
      </c>
    </row>
    <row r="124" spans="2:7" x14ac:dyDescent="0.3">
      <c r="B124" s="49" t="s">
        <v>1929</v>
      </c>
      <c r="C124" s="50" t="s">
        <v>1930</v>
      </c>
      <c r="D124" s="98">
        <v>7963.06</v>
      </c>
      <c r="E124" s="5">
        <v>9936.5300000000007</v>
      </c>
      <c r="F124" s="5">
        <f>D124*(1-$D$254)</f>
        <v>3981.53</v>
      </c>
      <c r="G124" s="83" t="s">
        <v>1931</v>
      </c>
    </row>
    <row r="125" spans="2:7" x14ac:dyDescent="0.3">
      <c r="B125"/>
      <c r="F125" s="5"/>
      <c r="G125" s="83"/>
    </row>
    <row r="126" spans="2:7" x14ac:dyDescent="0.3">
      <c r="B126" s="48" t="s">
        <v>1932</v>
      </c>
      <c r="C126" s="48"/>
      <c r="D126" s="48"/>
      <c r="F126" s="5"/>
      <c r="G126" s="83"/>
    </row>
    <row r="127" spans="2:7" x14ac:dyDescent="0.3">
      <c r="B127" s="49" t="s">
        <v>1933</v>
      </c>
      <c r="C127" t="s">
        <v>1934</v>
      </c>
      <c r="D127" s="98">
        <v>1218.0899999999999</v>
      </c>
      <c r="E127" s="5">
        <v>1122.8900000000001</v>
      </c>
      <c r="F127" s="5">
        <f>D127*(1-$D$254)</f>
        <v>609.04499999999996</v>
      </c>
      <c r="G127" s="5" t="s">
        <v>1935</v>
      </c>
    </row>
    <row r="128" spans="2:7" x14ac:dyDescent="0.3">
      <c r="B128" s="49" t="s">
        <v>1936</v>
      </c>
      <c r="C128" t="s">
        <v>1937</v>
      </c>
      <c r="D128" s="98">
        <v>2393.41</v>
      </c>
      <c r="E128" s="5">
        <v>2206.36</v>
      </c>
      <c r="F128" s="5">
        <f>D128*(1-$D$254)</f>
        <v>1196.7049999999999</v>
      </c>
      <c r="G128" s="5" t="s">
        <v>1938</v>
      </c>
    </row>
    <row r="129" spans="2:28" x14ac:dyDescent="0.3">
      <c r="B129" s="49" t="s">
        <v>1939</v>
      </c>
      <c r="C129" t="s">
        <v>1940</v>
      </c>
      <c r="D129" s="98">
        <v>2324.89</v>
      </c>
      <c r="E129" s="5">
        <v>2143.19</v>
      </c>
      <c r="F129" s="5">
        <f>D129*(1-$D$254)</f>
        <v>1162.4449999999999</v>
      </c>
      <c r="G129" s="5" t="s">
        <v>1941</v>
      </c>
    </row>
    <row r="130" spans="2:28" x14ac:dyDescent="0.3">
      <c r="B130" s="49" t="s">
        <v>1942</v>
      </c>
      <c r="C130" t="s">
        <v>1943</v>
      </c>
      <c r="D130" s="98">
        <v>4034.32</v>
      </c>
      <c r="E130" s="5">
        <v>3719.02</v>
      </c>
      <c r="F130" s="5">
        <f>D130*(1-$D$254)</f>
        <v>2017.16</v>
      </c>
      <c r="G130" s="5" t="s">
        <v>1944</v>
      </c>
    </row>
    <row r="131" spans="2:28" x14ac:dyDescent="0.3">
      <c r="B131" s="49" t="s">
        <v>1945</v>
      </c>
      <c r="C131" t="s">
        <v>1946</v>
      </c>
      <c r="D131" s="98">
        <v>4014.19</v>
      </c>
      <c r="E131" s="5">
        <v>3700.47</v>
      </c>
      <c r="F131" s="5">
        <f>D131*(1-$D$254)</f>
        <v>2007.095</v>
      </c>
      <c r="G131" s="5" t="s">
        <v>1475</v>
      </c>
    </row>
    <row r="132" spans="2:28" x14ac:dyDescent="0.3">
      <c r="B132" s="49"/>
      <c r="D132" s="98"/>
      <c r="F132" s="5"/>
    </row>
    <row r="133" spans="2:28" x14ac:dyDescent="0.3">
      <c r="B133" s="48" t="s">
        <v>1947</v>
      </c>
      <c r="C133" s="48"/>
      <c r="D133" s="48"/>
      <c r="F133" s="5"/>
      <c r="G133" s="83"/>
    </row>
    <row r="134" spans="2:28" x14ac:dyDescent="0.3">
      <c r="B134" s="49" t="s">
        <v>1948</v>
      </c>
      <c r="C134" s="50" t="s">
        <v>1949</v>
      </c>
      <c r="D134" s="98">
        <v>14729.99</v>
      </c>
      <c r="E134" s="5">
        <v>13578.78</v>
      </c>
      <c r="F134" s="5">
        <f>D134*(1-$D$254)</f>
        <v>7364.9949999999999</v>
      </c>
      <c r="G134" s="83" t="s">
        <v>1935</v>
      </c>
    </row>
    <row r="135" spans="2:28" x14ac:dyDescent="0.3">
      <c r="B135" s="49" t="s">
        <v>1950</v>
      </c>
      <c r="C135" s="50" t="s">
        <v>1951</v>
      </c>
      <c r="D135" s="98">
        <v>14518.47</v>
      </c>
      <c r="E135" s="5">
        <v>13383.8</v>
      </c>
      <c r="F135" s="5">
        <f>D135*(1-$D$254)</f>
        <v>7259.2349999999997</v>
      </c>
      <c r="G135" s="83" t="s">
        <v>1938</v>
      </c>
    </row>
    <row r="136" spans="2:28" x14ac:dyDescent="0.3">
      <c r="B136" s="49" t="s">
        <v>1952</v>
      </c>
      <c r="C136" s="50" t="s">
        <v>1953</v>
      </c>
      <c r="D136" s="98">
        <v>15236.56</v>
      </c>
      <c r="E136" s="5">
        <v>14045.76</v>
      </c>
      <c r="F136" s="5">
        <f>D136*(1-$D$254)</f>
        <v>7618.28</v>
      </c>
      <c r="G136" s="83" t="s">
        <v>1954</v>
      </c>
    </row>
    <row r="137" spans="2:28" x14ac:dyDescent="0.3">
      <c r="B137" s="49" t="s">
        <v>1955</v>
      </c>
      <c r="C137" s="50" t="s">
        <v>1956</v>
      </c>
      <c r="D137" s="98">
        <v>15027.66</v>
      </c>
      <c r="E137" s="5">
        <v>13853.19</v>
      </c>
      <c r="F137" s="5">
        <f>D137*(1-$D$254)</f>
        <v>7513.83</v>
      </c>
      <c r="G137" s="83" t="s">
        <v>1944</v>
      </c>
    </row>
    <row r="138" spans="2:28" x14ac:dyDescent="0.3">
      <c r="B138"/>
      <c r="F138" s="5"/>
      <c r="G138" s="83"/>
    </row>
    <row r="139" spans="2:28" x14ac:dyDescent="0.3">
      <c r="B139" s="48" t="s">
        <v>1957</v>
      </c>
      <c r="C139" s="48"/>
      <c r="D139" s="48"/>
      <c r="F139" s="5"/>
      <c r="G139" s="83"/>
      <c r="V139" s="42"/>
      <c r="W139" s="42"/>
      <c r="X139" s="42"/>
      <c r="Y139" s="42"/>
      <c r="Z139" s="42"/>
      <c r="AA139" s="42"/>
      <c r="AB139" s="42"/>
    </row>
    <row r="140" spans="2:28" x14ac:dyDescent="0.3">
      <c r="B140" s="49" t="s">
        <v>1958</v>
      </c>
      <c r="C140" t="s">
        <v>1959</v>
      </c>
      <c r="D140" s="98">
        <v>14017.63</v>
      </c>
      <c r="E140" s="5">
        <v>12922.1</v>
      </c>
      <c r="F140" s="5">
        <f>D140*(1-$D$254)</f>
        <v>7008.8149999999996</v>
      </c>
      <c r="G140" s="83" t="s">
        <v>1941</v>
      </c>
    </row>
    <row r="141" spans="2:28" x14ac:dyDescent="0.3">
      <c r="B141" s="49" t="s">
        <v>1960</v>
      </c>
      <c r="C141" s="50" t="s">
        <v>1961</v>
      </c>
      <c r="D141" s="98">
        <v>13825.44</v>
      </c>
      <c r="E141" s="5">
        <v>12744.93</v>
      </c>
      <c r="F141" s="5">
        <f>D141*(1-$D$254)</f>
        <v>6912.72</v>
      </c>
      <c r="G141" s="83" t="s">
        <v>1944</v>
      </c>
    </row>
    <row r="142" spans="2:28" x14ac:dyDescent="0.3">
      <c r="B142" s="49" t="s">
        <v>1962</v>
      </c>
      <c r="C142" s="50" t="s">
        <v>1963</v>
      </c>
      <c r="D142" s="98">
        <v>13356.99</v>
      </c>
      <c r="E142" s="5">
        <v>12313.09</v>
      </c>
      <c r="F142" s="5">
        <f>D142*(1-$D$254)</f>
        <v>6678.4949999999999</v>
      </c>
      <c r="G142" s="83" t="s">
        <v>1938</v>
      </c>
    </row>
    <row r="143" spans="2:28" x14ac:dyDescent="0.3">
      <c r="B143"/>
      <c r="F143" s="5"/>
      <c r="G143" s="83"/>
      <c r="V143" s="42"/>
      <c r="W143" s="42"/>
      <c r="X143" s="42"/>
      <c r="Y143" s="42"/>
      <c r="Z143" s="42"/>
      <c r="AA143" s="42"/>
    </row>
    <row r="144" spans="2:28" x14ac:dyDescent="0.3">
      <c r="B144" s="48" t="s">
        <v>1964</v>
      </c>
      <c r="C144" s="48"/>
      <c r="D144" s="48"/>
      <c r="F144" s="5"/>
      <c r="G144" s="83"/>
      <c r="V144" s="42"/>
      <c r="W144" s="42"/>
      <c r="X144" s="42"/>
      <c r="Y144" s="42"/>
      <c r="Z144" s="42"/>
      <c r="AA144" s="42"/>
    </row>
    <row r="145" spans="2:27" x14ac:dyDescent="0.3">
      <c r="B145" s="49" t="s">
        <v>1965</v>
      </c>
      <c r="C145" s="50" t="s">
        <v>1966</v>
      </c>
      <c r="D145" s="98">
        <v>8408.17</v>
      </c>
      <c r="E145" s="5">
        <v>7751.04</v>
      </c>
      <c r="F145" s="5">
        <f>D145*(1-$D$254)</f>
        <v>4204.085</v>
      </c>
      <c r="G145" s="83"/>
      <c r="V145" s="42"/>
      <c r="W145" s="42"/>
      <c r="X145" s="42"/>
      <c r="Y145" s="42"/>
      <c r="Z145" s="42"/>
      <c r="AA145" s="42"/>
    </row>
    <row r="146" spans="2:27" x14ac:dyDescent="0.3">
      <c r="B146" s="49" t="s">
        <v>1967</v>
      </c>
      <c r="C146" s="50" t="s">
        <v>1968</v>
      </c>
      <c r="D146" s="98">
        <v>8215.9699999999993</v>
      </c>
      <c r="E146" s="5">
        <v>7573.86</v>
      </c>
      <c r="F146" s="5">
        <f>D146*(1-$D$254)</f>
        <v>4107.9849999999997</v>
      </c>
      <c r="G146" s="83"/>
    </row>
    <row r="147" spans="2:27" x14ac:dyDescent="0.3">
      <c r="B147"/>
      <c r="F147" s="5"/>
      <c r="G147" s="83"/>
    </row>
    <row r="148" spans="2:27" x14ac:dyDescent="0.3">
      <c r="B148" s="48" t="s">
        <v>1969</v>
      </c>
      <c r="C148" s="48"/>
      <c r="D148" s="48"/>
      <c r="F148" s="5"/>
      <c r="G148" s="83"/>
    </row>
    <row r="149" spans="2:27" x14ac:dyDescent="0.3">
      <c r="B149" s="49" t="s">
        <v>1970</v>
      </c>
      <c r="C149" s="50" t="s">
        <v>1971</v>
      </c>
      <c r="D149" s="98">
        <v>6573.06</v>
      </c>
      <c r="E149" s="5">
        <v>6059.35</v>
      </c>
      <c r="F149" s="5">
        <f>D149*(1-$D$253)</f>
        <v>3615.1830000000004</v>
      </c>
      <c r="G149" s="83"/>
    </row>
    <row r="150" spans="2:27" x14ac:dyDescent="0.3">
      <c r="B150"/>
      <c r="F150" s="5"/>
      <c r="G150" s="83"/>
    </row>
    <row r="151" spans="2:27" x14ac:dyDescent="0.3">
      <c r="B151" s="48" t="s">
        <v>1972</v>
      </c>
      <c r="C151" s="48"/>
      <c r="D151" s="48"/>
      <c r="F151" s="5"/>
      <c r="G151" s="83"/>
    </row>
    <row r="152" spans="2:27" x14ac:dyDescent="0.3">
      <c r="B152" s="49" t="s">
        <v>1973</v>
      </c>
      <c r="C152" s="50" t="s">
        <v>1974</v>
      </c>
      <c r="D152" s="98">
        <v>696.48</v>
      </c>
      <c r="E152" s="5">
        <v>642.04999999999995</v>
      </c>
      <c r="F152" s="5">
        <f>D152*(1-$D$254)</f>
        <v>348.24</v>
      </c>
      <c r="G152" s="83"/>
    </row>
    <row r="153" spans="2:27" x14ac:dyDescent="0.3">
      <c r="B153" s="49" t="s">
        <v>1975</v>
      </c>
      <c r="C153" s="50" t="s">
        <v>1976</v>
      </c>
      <c r="D153" s="98">
        <f>98.44</f>
        <v>98.44</v>
      </c>
      <c r="E153" s="99">
        <v>95</v>
      </c>
      <c r="F153" s="5">
        <f>D153*(1-$D$255)</f>
        <v>98.44</v>
      </c>
      <c r="G153" s="83"/>
      <c r="H153"/>
    </row>
    <row r="154" spans="2:27" x14ac:dyDescent="0.3">
      <c r="B154" s="49" t="s">
        <v>1977</v>
      </c>
      <c r="C154" s="50" t="s">
        <v>1978</v>
      </c>
      <c r="D154" s="98">
        <f>126</f>
        <v>126</v>
      </c>
      <c r="E154" s="99">
        <v>132</v>
      </c>
      <c r="F154" s="5">
        <f>D154*(1-$D$255)</f>
        <v>126</v>
      </c>
      <c r="G154" s="83"/>
    </row>
    <row r="155" spans="2:27" x14ac:dyDescent="0.3">
      <c r="B155"/>
      <c r="F155" s="5"/>
      <c r="G155" s="83"/>
    </row>
    <row r="156" spans="2:27" x14ac:dyDescent="0.3">
      <c r="B156" s="48" t="s">
        <v>1874</v>
      </c>
      <c r="C156" s="48"/>
      <c r="D156" s="48"/>
      <c r="F156" s="5"/>
      <c r="G156" s="83"/>
    </row>
    <row r="157" spans="2:27" x14ac:dyDescent="0.3">
      <c r="B157" s="97" t="s">
        <v>1979</v>
      </c>
      <c r="C157" s="50" t="s">
        <v>1980</v>
      </c>
      <c r="D157" s="98">
        <v>339.4</v>
      </c>
      <c r="E157" s="5">
        <v>312.87</v>
      </c>
      <c r="F157" s="5">
        <f>D157*(1-$D$254)</f>
        <v>169.7</v>
      </c>
      <c r="G157" s="83"/>
    </row>
    <row r="158" spans="2:27" x14ac:dyDescent="0.3">
      <c r="B158" s="97" t="s">
        <v>1981</v>
      </c>
      <c r="C158" s="50" t="s">
        <v>1982</v>
      </c>
      <c r="D158" s="98">
        <v>392.03</v>
      </c>
      <c r="E158" s="5">
        <v>361.39</v>
      </c>
      <c r="F158" s="5">
        <f>D158*(1-$D$254)</f>
        <v>196.01499999999999</v>
      </c>
      <c r="G158" s="83"/>
    </row>
    <row r="159" spans="2:27" x14ac:dyDescent="0.3">
      <c r="B159" s="97" t="s">
        <v>1983</v>
      </c>
      <c r="C159" s="50" t="s">
        <v>1984</v>
      </c>
      <c r="D159" s="98">
        <v>598.53</v>
      </c>
      <c r="E159" s="5">
        <v>551.76</v>
      </c>
      <c r="F159" s="5">
        <f>D159*(1-$D$254)</f>
        <v>299.26499999999999</v>
      </c>
      <c r="G159" s="83"/>
    </row>
    <row r="160" spans="2:27" x14ac:dyDescent="0.3">
      <c r="B160" s="97" t="s">
        <v>1985</v>
      </c>
      <c r="C160" s="70" t="s">
        <v>1986</v>
      </c>
      <c r="D160" s="98">
        <v>849.99</v>
      </c>
      <c r="E160" s="5"/>
      <c r="F160" s="5">
        <f>D160*(1-$D$255)</f>
        <v>849.99</v>
      </c>
      <c r="G160" s="83"/>
    </row>
    <row r="161" spans="2:10" x14ac:dyDescent="0.3">
      <c r="B161"/>
      <c r="F161" s="5"/>
      <c r="G161" s="83"/>
    </row>
    <row r="162" spans="2:10" x14ac:dyDescent="0.3">
      <c r="B162" s="48" t="s">
        <v>1987</v>
      </c>
      <c r="C162" s="48"/>
      <c r="D162" s="48"/>
      <c r="F162" s="5"/>
      <c r="G162" s="83"/>
    </row>
    <row r="163" spans="2:10" x14ac:dyDescent="0.3">
      <c r="B163" s="97" t="s">
        <v>1988</v>
      </c>
      <c r="C163" s="50" t="s">
        <v>1989</v>
      </c>
      <c r="D163" s="98">
        <v>1615.52</v>
      </c>
      <c r="E163" s="100"/>
      <c r="F163" s="5">
        <f>D163*(1-$D$254)</f>
        <v>807.76</v>
      </c>
      <c r="H163" s="5" t="s">
        <v>1990</v>
      </c>
      <c r="I163" s="5" t="s">
        <v>1991</v>
      </c>
      <c r="J163" s="101">
        <v>1489.26</v>
      </c>
    </row>
    <row r="164" spans="2:10" x14ac:dyDescent="0.3">
      <c r="B164" s="97" t="s">
        <v>1992</v>
      </c>
      <c r="C164" s="50" t="s">
        <v>1993</v>
      </c>
      <c r="D164" s="98">
        <v>199.41</v>
      </c>
      <c r="E164" s="5">
        <v>175.82</v>
      </c>
      <c r="F164" s="5">
        <f>D164*(1-$D$254)</f>
        <v>99.704999999999998</v>
      </c>
    </row>
    <row r="165" spans="2:10" x14ac:dyDescent="0.3">
      <c r="B165" s="97" t="s">
        <v>1994</v>
      </c>
      <c r="C165" s="50" t="s">
        <v>1995</v>
      </c>
      <c r="D165" s="98">
        <v>136.69999999999999</v>
      </c>
      <c r="E165" s="5">
        <v>120.54</v>
      </c>
      <c r="F165" s="5">
        <f>D165*(1-$D$254)</f>
        <v>68.349999999999994</v>
      </c>
    </row>
    <row r="166" spans="2:10" x14ac:dyDescent="0.3">
      <c r="F166" s="5"/>
    </row>
    <row r="167" spans="2:10" x14ac:dyDescent="0.3">
      <c r="B167" s="48" t="s">
        <v>1996</v>
      </c>
      <c r="C167" s="48"/>
      <c r="D167" s="48"/>
      <c r="F167" s="5"/>
      <c r="G167" s="83"/>
    </row>
    <row r="168" spans="2:10" x14ac:dyDescent="0.3">
      <c r="B168" s="97" t="s">
        <v>1997</v>
      </c>
      <c r="C168" s="50" t="s">
        <v>1998</v>
      </c>
      <c r="D168" s="98">
        <v>2826.25</v>
      </c>
      <c r="E168" s="5">
        <v>2605.37</v>
      </c>
      <c r="F168" s="5">
        <f t="shared" ref="F168:F174" si="11">D168*(1-$D$254)</f>
        <v>1413.125</v>
      </c>
    </row>
    <row r="169" spans="2:10" x14ac:dyDescent="0.3">
      <c r="B169" s="97" t="s">
        <v>1999</v>
      </c>
      <c r="C169" s="50" t="s">
        <v>2000</v>
      </c>
      <c r="D169" s="98">
        <v>1288.1099999999999</v>
      </c>
      <c r="E169" s="5">
        <v>1187.44</v>
      </c>
      <c r="F169" s="5">
        <f t="shared" si="11"/>
        <v>644.05499999999995</v>
      </c>
    </row>
    <row r="170" spans="2:10" x14ac:dyDescent="0.3">
      <c r="B170" s="97" t="s">
        <v>2001</v>
      </c>
      <c r="C170" s="50" t="s">
        <v>2002</v>
      </c>
      <c r="D170" s="98">
        <v>1923.42</v>
      </c>
      <c r="E170" s="5">
        <v>1773.1</v>
      </c>
      <c r="F170" s="5">
        <f t="shared" si="11"/>
        <v>961.71</v>
      </c>
    </row>
    <row r="171" spans="2:10" x14ac:dyDescent="0.3">
      <c r="B171" s="97" t="s">
        <v>2003</v>
      </c>
      <c r="C171" s="50" t="s">
        <v>2004</v>
      </c>
      <c r="D171" s="98">
        <v>2912.54</v>
      </c>
      <c r="E171" s="5">
        <v>2684.91</v>
      </c>
      <c r="F171" s="5">
        <f t="shared" si="11"/>
        <v>1456.27</v>
      </c>
    </row>
    <row r="172" spans="2:10" x14ac:dyDescent="0.3">
      <c r="B172" s="97" t="s">
        <v>2005</v>
      </c>
      <c r="C172" s="50" t="s">
        <v>2006</v>
      </c>
      <c r="D172" s="98">
        <v>1994.85</v>
      </c>
      <c r="E172" s="5">
        <v>1838.94</v>
      </c>
      <c r="F172" s="5">
        <f t="shared" si="11"/>
        <v>997.42499999999995</v>
      </c>
    </row>
    <row r="173" spans="2:10" x14ac:dyDescent="0.3">
      <c r="B173" s="97" t="s">
        <v>2007</v>
      </c>
      <c r="C173" s="50" t="s">
        <v>2008</v>
      </c>
      <c r="D173" s="98">
        <v>2800.18</v>
      </c>
      <c r="E173" s="5">
        <v>2581.34</v>
      </c>
      <c r="F173" s="5">
        <f t="shared" si="11"/>
        <v>1400.09</v>
      </c>
    </row>
    <row r="174" spans="2:10" x14ac:dyDescent="0.3">
      <c r="B174" s="97" t="s">
        <v>2009</v>
      </c>
      <c r="C174" s="50" t="s">
        <v>2010</v>
      </c>
      <c r="D174" s="98">
        <v>3702.64</v>
      </c>
      <c r="E174" s="5">
        <v>3413.26</v>
      </c>
      <c r="F174" s="5">
        <f t="shared" si="11"/>
        <v>1851.32</v>
      </c>
    </row>
    <row r="175" spans="2:10" x14ac:dyDescent="0.3">
      <c r="F175" s="5"/>
    </row>
    <row r="176" spans="2:10" x14ac:dyDescent="0.3">
      <c r="B176" s="48" t="s">
        <v>2011</v>
      </c>
      <c r="C176" s="48"/>
      <c r="D176" s="48"/>
      <c r="F176" s="5"/>
      <c r="G176" s="83"/>
    </row>
    <row r="177" spans="2:7" x14ac:dyDescent="0.3">
      <c r="B177" s="97" t="s">
        <v>2012</v>
      </c>
      <c r="C177" s="50" t="s">
        <v>2013</v>
      </c>
      <c r="D177" s="98">
        <v>2830.6</v>
      </c>
      <c r="E177" s="5">
        <v>2609.38</v>
      </c>
      <c r="F177" s="5">
        <f>D177*(1-$D$252)</f>
        <v>1698.36</v>
      </c>
    </row>
    <row r="178" spans="2:7" x14ac:dyDescent="0.3">
      <c r="B178" s="97" t="s">
        <v>2014</v>
      </c>
      <c r="C178" s="50" t="s">
        <v>2015</v>
      </c>
      <c r="D178" s="98">
        <v>15398.49</v>
      </c>
      <c r="E178" s="5">
        <v>14195.04</v>
      </c>
      <c r="F178" s="5">
        <f>D178*(1-$D$252)</f>
        <v>9239.0939999999991</v>
      </c>
    </row>
    <row r="179" spans="2:7" x14ac:dyDescent="0.3">
      <c r="B179" s="97" t="s">
        <v>2016</v>
      </c>
      <c r="C179" s="50" t="s">
        <v>2017</v>
      </c>
      <c r="D179" s="98">
        <v>21512.6</v>
      </c>
      <c r="E179" s="5">
        <v>19831.3</v>
      </c>
      <c r="F179" s="5">
        <f>D179*(1-$D$252)</f>
        <v>12907.56</v>
      </c>
    </row>
    <row r="180" spans="2:7" x14ac:dyDescent="0.3">
      <c r="B180" s="97" t="s">
        <v>2018</v>
      </c>
      <c r="C180" s="50" t="s">
        <v>2019</v>
      </c>
      <c r="D180" s="98">
        <v>226.92</v>
      </c>
      <c r="E180" s="5">
        <v>209.19</v>
      </c>
      <c r="F180" s="5">
        <f>D180*(1-$D$254)</f>
        <v>113.46</v>
      </c>
    </row>
    <row r="181" spans="2:7" x14ac:dyDescent="0.3">
      <c r="F181" s="5"/>
    </row>
    <row r="182" spans="2:7" x14ac:dyDescent="0.3">
      <c r="B182" s="48" t="s">
        <v>2020</v>
      </c>
      <c r="C182" s="48"/>
      <c r="D182" s="48"/>
      <c r="F182" s="5"/>
      <c r="G182" s="83"/>
    </row>
    <row r="183" spans="2:7" x14ac:dyDescent="0.3">
      <c r="B183" s="97" t="s">
        <v>2021</v>
      </c>
      <c r="C183" s="50" t="s">
        <v>2022</v>
      </c>
      <c r="D183" s="98">
        <v>4764.26</v>
      </c>
      <c r="E183" s="5">
        <v>4391.91</v>
      </c>
      <c r="F183" s="5">
        <f>D183*(1-$D$254)</f>
        <v>2382.13</v>
      </c>
    </row>
    <row r="184" spans="2:7" x14ac:dyDescent="0.3">
      <c r="F184" s="5"/>
    </row>
    <row r="185" spans="2:7" x14ac:dyDescent="0.3">
      <c r="B185" s="48" t="s">
        <v>2023</v>
      </c>
      <c r="C185" s="48"/>
      <c r="D185" s="48"/>
      <c r="F185" s="5"/>
      <c r="G185" s="83"/>
    </row>
    <row r="186" spans="2:7" x14ac:dyDescent="0.3">
      <c r="B186" s="97" t="s">
        <v>2024</v>
      </c>
      <c r="C186" s="70" t="s">
        <v>2025</v>
      </c>
      <c r="D186" s="98">
        <f>4754.12</f>
        <v>4754.12</v>
      </c>
      <c r="E186" s="100"/>
      <c r="F186" s="5">
        <f>D186*(1-$D$255)</f>
        <v>4754.12</v>
      </c>
    </row>
    <row r="187" spans="2:7" x14ac:dyDescent="0.3">
      <c r="F187" s="5"/>
    </row>
    <row r="188" spans="2:7" x14ac:dyDescent="0.3">
      <c r="B188" s="48" t="s">
        <v>2026</v>
      </c>
      <c r="C188" s="48"/>
      <c r="D188" s="48"/>
      <c r="F188" s="5"/>
      <c r="G188" s="83"/>
    </row>
    <row r="189" spans="2:7" x14ac:dyDescent="0.3">
      <c r="B189" s="97" t="s">
        <v>2027</v>
      </c>
      <c r="C189" s="48" t="s">
        <v>2026</v>
      </c>
      <c r="D189" s="98">
        <v>6750</v>
      </c>
      <c r="E189" s="100"/>
      <c r="F189" s="5">
        <f>D189*(1-$D$255)</f>
        <v>6750</v>
      </c>
    </row>
    <row r="190" spans="2:7" x14ac:dyDescent="0.3">
      <c r="F190" s="5"/>
    </row>
    <row r="191" spans="2:7" x14ac:dyDescent="0.3">
      <c r="B191" s="48" t="s">
        <v>2028</v>
      </c>
      <c r="C191" s="48"/>
      <c r="D191" s="48"/>
      <c r="F191" s="5"/>
      <c r="G191" s="83"/>
    </row>
    <row r="192" spans="2:7" x14ac:dyDescent="0.3">
      <c r="B192" s="97" t="s">
        <v>2029</v>
      </c>
      <c r="C192" s="50" t="s">
        <v>2030</v>
      </c>
      <c r="D192" s="98">
        <v>1849.79</v>
      </c>
      <c r="E192" s="100"/>
      <c r="F192" s="5">
        <f>D192*(1-$D$254)</f>
        <v>924.89499999999998</v>
      </c>
    </row>
    <row r="193" spans="2:10" x14ac:dyDescent="0.3">
      <c r="B193" s="97"/>
      <c r="F193" s="5"/>
    </row>
    <row r="194" spans="2:10" x14ac:dyDescent="0.3">
      <c r="B194" s="48" t="s">
        <v>2031</v>
      </c>
      <c r="C194" s="48"/>
      <c r="D194" s="48"/>
      <c r="F194" s="5"/>
      <c r="G194" s="83"/>
      <c r="H194" s="102" t="s">
        <v>2032</v>
      </c>
    </row>
    <row r="195" spans="2:10" x14ac:dyDescent="0.3">
      <c r="B195" s="97" t="s">
        <v>2033</v>
      </c>
      <c r="C195" s="50" t="s">
        <v>2034</v>
      </c>
      <c r="D195" s="98">
        <v>763.2</v>
      </c>
      <c r="E195" s="100"/>
      <c r="F195" s="5">
        <f t="shared" ref="F195:F218" si="12">D195*(1-$D$254)</f>
        <v>381.6</v>
      </c>
      <c r="H195" s="102" t="s">
        <v>2035</v>
      </c>
      <c r="I195" s="50" t="s">
        <v>2034</v>
      </c>
      <c r="J195" s="101">
        <v>703.38</v>
      </c>
    </row>
    <row r="196" spans="2:10" x14ac:dyDescent="0.3">
      <c r="B196" s="97" t="s">
        <v>2036</v>
      </c>
      <c r="C196" s="50" t="s">
        <v>2037</v>
      </c>
      <c r="D196" s="98">
        <v>763.2</v>
      </c>
      <c r="E196" s="100"/>
      <c r="F196" s="5">
        <f t="shared" si="12"/>
        <v>381.6</v>
      </c>
      <c r="H196" s="102" t="s">
        <v>2038</v>
      </c>
      <c r="I196" s="50" t="s">
        <v>2037</v>
      </c>
      <c r="J196" s="101">
        <v>703.38</v>
      </c>
    </row>
    <row r="197" spans="2:10" x14ac:dyDescent="0.3">
      <c r="B197" s="97" t="s">
        <v>2039</v>
      </c>
      <c r="C197" s="50" t="s">
        <v>2040</v>
      </c>
      <c r="D197" s="98">
        <v>763.2</v>
      </c>
      <c r="E197" s="100"/>
      <c r="F197" s="5">
        <f t="shared" si="12"/>
        <v>381.6</v>
      </c>
      <c r="H197" s="102" t="s">
        <v>2041</v>
      </c>
      <c r="I197" s="50" t="s">
        <v>2040</v>
      </c>
      <c r="J197" s="101">
        <v>703.38</v>
      </c>
    </row>
    <row r="198" spans="2:10" x14ac:dyDescent="0.3">
      <c r="B198" s="97" t="s">
        <v>2042</v>
      </c>
      <c r="C198" s="50" t="s">
        <v>2043</v>
      </c>
      <c r="D198" s="98">
        <v>763.2</v>
      </c>
      <c r="E198" s="100"/>
      <c r="F198" s="5">
        <f t="shared" si="12"/>
        <v>381.6</v>
      </c>
      <c r="H198" s="102" t="s">
        <v>2044</v>
      </c>
      <c r="I198" s="50" t="s">
        <v>2043</v>
      </c>
      <c r="J198" s="101">
        <v>703.38</v>
      </c>
    </row>
    <row r="199" spans="2:10" x14ac:dyDescent="0.3">
      <c r="B199" s="97" t="s">
        <v>2045</v>
      </c>
      <c r="C199" s="50" t="s">
        <v>2046</v>
      </c>
      <c r="D199" s="98">
        <v>763.2</v>
      </c>
      <c r="E199" s="100"/>
      <c r="F199" s="5">
        <f t="shared" si="12"/>
        <v>381.6</v>
      </c>
      <c r="H199" s="102" t="s">
        <v>2047</v>
      </c>
      <c r="I199" s="50" t="s">
        <v>2046</v>
      </c>
      <c r="J199" s="101">
        <v>703.38</v>
      </c>
    </row>
    <row r="200" spans="2:10" x14ac:dyDescent="0.3">
      <c r="B200" s="97" t="s">
        <v>2048</v>
      </c>
      <c r="C200" s="50" t="s">
        <v>2049</v>
      </c>
      <c r="D200" s="98">
        <v>763.2</v>
      </c>
      <c r="E200" s="100"/>
      <c r="F200" s="5">
        <f t="shared" si="12"/>
        <v>381.6</v>
      </c>
      <c r="H200" s="102" t="s">
        <v>2050</v>
      </c>
      <c r="I200" s="50" t="s">
        <v>2049</v>
      </c>
      <c r="J200" s="101">
        <v>703.38</v>
      </c>
    </row>
    <row r="201" spans="2:10" x14ac:dyDescent="0.3">
      <c r="B201" s="97" t="s">
        <v>2051</v>
      </c>
      <c r="C201" s="50" t="s">
        <v>2052</v>
      </c>
      <c r="D201" s="98">
        <v>763.2</v>
      </c>
      <c r="E201" s="100"/>
      <c r="F201" s="5">
        <f t="shared" si="12"/>
        <v>381.6</v>
      </c>
      <c r="H201" s="102" t="s">
        <v>2053</v>
      </c>
      <c r="I201" s="50" t="s">
        <v>2052</v>
      </c>
      <c r="J201" s="101">
        <v>703.38</v>
      </c>
    </row>
    <row r="202" spans="2:10" x14ac:dyDescent="0.3">
      <c r="B202" s="97" t="s">
        <v>2054</v>
      </c>
      <c r="C202" s="50" t="s">
        <v>2055</v>
      </c>
      <c r="D202" s="98">
        <v>763.2</v>
      </c>
      <c r="E202" s="100"/>
      <c r="F202" s="5">
        <f t="shared" si="12"/>
        <v>381.6</v>
      </c>
      <c r="H202" s="102" t="s">
        <v>2056</v>
      </c>
      <c r="I202" s="50" t="s">
        <v>2055</v>
      </c>
      <c r="J202" s="101">
        <v>703.38</v>
      </c>
    </row>
    <row r="203" spans="2:10" x14ac:dyDescent="0.3">
      <c r="B203" s="97" t="s">
        <v>2057</v>
      </c>
      <c r="C203" s="50" t="s">
        <v>2058</v>
      </c>
      <c r="D203" s="98">
        <v>763.2</v>
      </c>
      <c r="E203" s="100"/>
      <c r="F203" s="5">
        <f t="shared" si="12"/>
        <v>381.6</v>
      </c>
      <c r="H203" s="102" t="s">
        <v>2059</v>
      </c>
      <c r="I203" s="50" t="s">
        <v>2058</v>
      </c>
      <c r="J203" s="101">
        <v>703.38</v>
      </c>
    </row>
    <row r="204" spans="2:10" x14ac:dyDescent="0.3">
      <c r="B204" s="97" t="s">
        <v>2060</v>
      </c>
      <c r="C204" s="50" t="s">
        <v>2061</v>
      </c>
      <c r="D204" s="98">
        <v>763.2</v>
      </c>
      <c r="E204" s="100"/>
      <c r="F204" s="5">
        <f t="shared" si="12"/>
        <v>381.6</v>
      </c>
      <c r="H204" s="102" t="s">
        <v>2062</v>
      </c>
      <c r="I204" s="50" t="s">
        <v>2061</v>
      </c>
      <c r="J204" s="101">
        <v>703.38</v>
      </c>
    </row>
    <row r="205" spans="2:10" x14ac:dyDescent="0.3">
      <c r="B205" s="97" t="s">
        <v>2063</v>
      </c>
      <c r="C205" s="50" t="s">
        <v>2064</v>
      </c>
      <c r="D205" s="98">
        <v>763.2</v>
      </c>
      <c r="E205" s="100"/>
      <c r="F205" s="5">
        <f t="shared" si="12"/>
        <v>381.6</v>
      </c>
      <c r="H205" s="102" t="s">
        <v>2065</v>
      </c>
      <c r="I205" s="50" t="s">
        <v>2064</v>
      </c>
      <c r="J205" s="101">
        <v>703.38</v>
      </c>
    </row>
    <row r="206" spans="2:10" x14ac:dyDescent="0.3">
      <c r="B206" s="97" t="s">
        <v>2066</v>
      </c>
      <c r="C206" s="50" t="s">
        <v>2067</v>
      </c>
      <c r="D206" s="98">
        <v>763.2</v>
      </c>
      <c r="E206" s="100"/>
      <c r="F206" s="5">
        <f t="shared" si="12"/>
        <v>381.6</v>
      </c>
      <c r="H206" s="102" t="s">
        <v>2068</v>
      </c>
      <c r="I206" s="50" t="s">
        <v>2067</v>
      </c>
      <c r="J206" s="101">
        <v>703.38</v>
      </c>
    </row>
    <row r="207" spans="2:10" x14ac:dyDescent="0.3">
      <c r="B207" s="97" t="s">
        <v>2069</v>
      </c>
      <c r="C207" s="50" t="s">
        <v>2070</v>
      </c>
      <c r="D207" s="98">
        <v>763.2</v>
      </c>
      <c r="E207" s="100"/>
      <c r="F207" s="5">
        <f t="shared" si="12"/>
        <v>381.6</v>
      </c>
      <c r="H207" s="102" t="s">
        <v>2071</v>
      </c>
      <c r="I207" s="5" t="s">
        <v>2072</v>
      </c>
      <c r="J207" s="101">
        <v>703.38</v>
      </c>
    </row>
    <row r="208" spans="2:10" x14ac:dyDescent="0.3">
      <c r="B208" s="97" t="s">
        <v>2073</v>
      </c>
      <c r="C208" s="50" t="s">
        <v>2074</v>
      </c>
      <c r="D208" s="98">
        <v>763.2</v>
      </c>
      <c r="E208" s="100"/>
      <c r="F208" s="5">
        <f t="shared" si="12"/>
        <v>381.6</v>
      </c>
      <c r="H208" s="102" t="s">
        <v>2075</v>
      </c>
      <c r="I208" s="5" t="s">
        <v>2076</v>
      </c>
      <c r="J208" s="101">
        <v>703.38</v>
      </c>
    </row>
    <row r="209" spans="2:14" x14ac:dyDescent="0.3">
      <c r="B209" s="97" t="s">
        <v>2077</v>
      </c>
      <c r="C209" s="50" t="s">
        <v>2078</v>
      </c>
      <c r="D209" s="98">
        <v>763.2</v>
      </c>
      <c r="E209" s="100"/>
      <c r="F209" s="5">
        <f t="shared" si="12"/>
        <v>381.6</v>
      </c>
      <c r="H209" s="102" t="s">
        <v>2079</v>
      </c>
      <c r="I209" s="5" t="s">
        <v>2080</v>
      </c>
      <c r="J209" s="101">
        <v>703.38</v>
      </c>
    </row>
    <row r="210" spans="2:14" x14ac:dyDescent="0.3">
      <c r="B210" s="97" t="s">
        <v>2081</v>
      </c>
      <c r="C210" s="50" t="s">
        <v>2082</v>
      </c>
      <c r="D210" s="98">
        <v>763.2</v>
      </c>
      <c r="E210" s="100"/>
      <c r="F210" s="5">
        <f t="shared" si="12"/>
        <v>381.6</v>
      </c>
      <c r="H210" s="102" t="s">
        <v>2083</v>
      </c>
      <c r="I210" s="5" t="s">
        <v>2084</v>
      </c>
      <c r="J210" s="101">
        <v>703.38</v>
      </c>
    </row>
    <row r="211" spans="2:14" x14ac:dyDescent="0.3">
      <c r="B211" s="97" t="s">
        <v>2085</v>
      </c>
      <c r="C211" s="50" t="s">
        <v>2086</v>
      </c>
      <c r="D211" s="98">
        <v>763.2</v>
      </c>
      <c r="E211" s="100"/>
      <c r="F211" s="5">
        <f t="shared" si="12"/>
        <v>381.6</v>
      </c>
      <c r="H211" s="102" t="s">
        <v>2087</v>
      </c>
      <c r="I211" s="5" t="s">
        <v>2088</v>
      </c>
      <c r="J211" s="101">
        <v>703.38</v>
      </c>
    </row>
    <row r="212" spans="2:14" x14ac:dyDescent="0.3">
      <c r="B212" s="97" t="s">
        <v>2089</v>
      </c>
      <c r="C212" s="50" t="s">
        <v>2090</v>
      </c>
      <c r="D212" s="98">
        <v>763.2</v>
      </c>
      <c r="E212" s="100"/>
      <c r="F212" s="5">
        <f t="shared" si="12"/>
        <v>381.6</v>
      </c>
      <c r="H212" s="102" t="s">
        <v>2091</v>
      </c>
      <c r="I212" s="5" t="s">
        <v>2092</v>
      </c>
      <c r="J212" s="101">
        <v>703.38</v>
      </c>
    </row>
    <row r="213" spans="2:14" x14ac:dyDescent="0.3">
      <c r="B213" s="97" t="s">
        <v>2093</v>
      </c>
      <c r="C213" s="50" t="s">
        <v>2094</v>
      </c>
      <c r="D213" s="98">
        <v>763.2</v>
      </c>
      <c r="E213" s="100"/>
      <c r="F213" s="5">
        <f t="shared" si="12"/>
        <v>381.6</v>
      </c>
      <c r="H213" s="102" t="s">
        <v>2095</v>
      </c>
      <c r="I213" s="5" t="s">
        <v>2096</v>
      </c>
      <c r="J213" s="101">
        <v>703.38</v>
      </c>
    </row>
    <row r="214" spans="2:14" x14ac:dyDescent="0.3">
      <c r="B214" s="97" t="s">
        <v>2097</v>
      </c>
      <c r="C214" s="50" t="s">
        <v>2098</v>
      </c>
      <c r="D214" s="98">
        <v>763.2</v>
      </c>
      <c r="E214" s="100"/>
      <c r="F214" s="5">
        <f t="shared" si="12"/>
        <v>381.6</v>
      </c>
      <c r="H214" s="102" t="s">
        <v>2099</v>
      </c>
      <c r="I214" s="5" t="s">
        <v>2100</v>
      </c>
      <c r="J214" s="101">
        <v>703.38</v>
      </c>
    </row>
    <row r="215" spans="2:14" x14ac:dyDescent="0.3">
      <c r="B215" s="97" t="s">
        <v>2101</v>
      </c>
      <c r="C215" s="50" t="s">
        <v>2102</v>
      </c>
      <c r="D215" s="98">
        <v>763.2</v>
      </c>
      <c r="E215" s="100"/>
      <c r="F215" s="5">
        <f t="shared" si="12"/>
        <v>381.6</v>
      </c>
      <c r="H215" s="102" t="s">
        <v>2103</v>
      </c>
      <c r="I215" s="5" t="s">
        <v>2104</v>
      </c>
      <c r="J215" s="101">
        <v>703.38</v>
      </c>
    </row>
    <row r="216" spans="2:14" x14ac:dyDescent="0.3">
      <c r="B216" s="97" t="s">
        <v>2105</v>
      </c>
      <c r="C216" s="50" t="s">
        <v>2106</v>
      </c>
      <c r="D216" s="98">
        <v>763.2</v>
      </c>
      <c r="E216" s="100"/>
      <c r="F216" s="5">
        <f t="shared" si="12"/>
        <v>381.6</v>
      </c>
      <c r="H216" s="102" t="s">
        <v>2107</v>
      </c>
      <c r="I216" s="5" t="s">
        <v>2108</v>
      </c>
      <c r="J216" s="101">
        <v>703.38</v>
      </c>
    </row>
    <row r="217" spans="2:14" x14ac:dyDescent="0.3">
      <c r="B217" s="97" t="s">
        <v>2109</v>
      </c>
      <c r="C217" s="50" t="s">
        <v>2110</v>
      </c>
      <c r="D217" s="98">
        <v>763.2</v>
      </c>
      <c r="E217" s="100"/>
      <c r="F217" s="5">
        <f t="shared" si="12"/>
        <v>381.6</v>
      </c>
      <c r="H217" s="102" t="s">
        <v>2111</v>
      </c>
      <c r="I217" s="5" t="s">
        <v>2112</v>
      </c>
      <c r="J217" s="101">
        <v>703.38</v>
      </c>
    </row>
    <row r="218" spans="2:14" x14ac:dyDescent="0.3">
      <c r="B218" s="97" t="s">
        <v>2113</v>
      </c>
      <c r="C218" s="50" t="s">
        <v>2114</v>
      </c>
      <c r="D218" s="98">
        <v>763.2</v>
      </c>
      <c r="E218" s="100"/>
      <c r="F218" s="5">
        <f t="shared" si="12"/>
        <v>381.6</v>
      </c>
      <c r="H218" s="102" t="s">
        <v>2115</v>
      </c>
      <c r="I218" s="5" t="s">
        <v>2116</v>
      </c>
      <c r="J218" s="101">
        <v>703.38</v>
      </c>
      <c r="L218" s="102" t="s">
        <v>1981</v>
      </c>
      <c r="M218" s="103" t="s">
        <v>1982</v>
      </c>
      <c r="N218" s="101">
        <v>361.39</v>
      </c>
    </row>
    <row r="219" spans="2:14" x14ac:dyDescent="0.3">
      <c r="B219" s="97"/>
      <c r="C219" s="50"/>
      <c r="D219" s="98"/>
      <c r="F219" s="5"/>
      <c r="H219" s="102" t="s">
        <v>2117</v>
      </c>
    </row>
    <row r="220" spans="2:14" x14ac:dyDescent="0.3">
      <c r="B220" s="97" t="s">
        <v>2118</v>
      </c>
      <c r="C220" s="50" t="s">
        <v>2119</v>
      </c>
      <c r="D220" s="98">
        <v>2157.54</v>
      </c>
      <c r="E220" s="100"/>
      <c r="F220" s="5">
        <f t="shared" ref="F220:F230" si="13">D220*(1-$D$254)</f>
        <v>1078.77</v>
      </c>
      <c r="H220" s="102" t="s">
        <v>2120</v>
      </c>
      <c r="I220" s="5" t="s">
        <v>2121</v>
      </c>
      <c r="K220" s="101">
        <v>1988.92</v>
      </c>
    </row>
    <row r="221" spans="2:14" x14ac:dyDescent="0.3">
      <c r="B221" s="97" t="s">
        <v>2122</v>
      </c>
      <c r="C221" s="50" t="s">
        <v>2123</v>
      </c>
      <c r="D221" s="98">
        <v>2157.54</v>
      </c>
      <c r="E221" s="100"/>
      <c r="F221" s="5">
        <f t="shared" si="13"/>
        <v>1078.77</v>
      </c>
      <c r="H221" s="102" t="s">
        <v>2124</v>
      </c>
      <c r="I221" s="5" t="s">
        <v>2125</v>
      </c>
      <c r="K221" s="101">
        <v>1988.92</v>
      </c>
    </row>
    <row r="222" spans="2:14" x14ac:dyDescent="0.3">
      <c r="B222" s="97" t="s">
        <v>2126</v>
      </c>
      <c r="C222" s="50" t="s">
        <v>2127</v>
      </c>
      <c r="D222" s="98">
        <v>2157.54</v>
      </c>
      <c r="E222" s="100"/>
      <c r="F222" s="5">
        <f t="shared" si="13"/>
        <v>1078.77</v>
      </c>
      <c r="H222" s="102" t="s">
        <v>2128</v>
      </c>
      <c r="I222" s="5" t="s">
        <v>2129</v>
      </c>
      <c r="K222" s="101">
        <v>1988.92</v>
      </c>
    </row>
    <row r="223" spans="2:14" x14ac:dyDescent="0.3">
      <c r="B223" s="97" t="s">
        <v>2130</v>
      </c>
      <c r="C223" s="50" t="s">
        <v>2131</v>
      </c>
      <c r="D223" s="98">
        <v>2157.54</v>
      </c>
      <c r="E223" s="100"/>
      <c r="F223" s="5">
        <f t="shared" si="13"/>
        <v>1078.77</v>
      </c>
      <c r="H223" s="102" t="s">
        <v>2132</v>
      </c>
      <c r="I223" s="5" t="s">
        <v>2133</v>
      </c>
      <c r="K223" s="101">
        <v>1988.92</v>
      </c>
    </row>
    <row r="224" spans="2:14" x14ac:dyDescent="0.3">
      <c r="B224" s="97" t="s">
        <v>2134</v>
      </c>
      <c r="C224" s="50" t="s">
        <v>2135</v>
      </c>
      <c r="D224" s="98">
        <v>2157.54</v>
      </c>
      <c r="E224" s="100"/>
      <c r="F224" s="5">
        <f t="shared" si="13"/>
        <v>1078.77</v>
      </c>
      <c r="H224" s="102" t="s">
        <v>2136</v>
      </c>
      <c r="I224" s="5" t="s">
        <v>2137</v>
      </c>
      <c r="K224" s="101">
        <v>1988.92</v>
      </c>
    </row>
    <row r="225" spans="2:12" x14ac:dyDescent="0.3">
      <c r="B225" s="97" t="s">
        <v>2138</v>
      </c>
      <c r="C225" s="50" t="s">
        <v>2139</v>
      </c>
      <c r="D225" s="98">
        <v>2341.7199999999998</v>
      </c>
      <c r="E225" s="100"/>
      <c r="F225" s="5">
        <f t="shared" si="13"/>
        <v>1170.8599999999999</v>
      </c>
      <c r="H225" s="102" t="s">
        <v>2140</v>
      </c>
      <c r="I225" s="5" t="s">
        <v>2141</v>
      </c>
      <c r="K225" s="101">
        <v>2158.6999999999998</v>
      </c>
    </row>
    <row r="226" spans="2:12" x14ac:dyDescent="0.3">
      <c r="B226" s="97" t="s">
        <v>2142</v>
      </c>
      <c r="C226" s="50" t="s">
        <v>2143</v>
      </c>
      <c r="D226" s="98">
        <v>2341.7199999999998</v>
      </c>
      <c r="E226" s="100"/>
      <c r="F226" s="5">
        <f t="shared" si="13"/>
        <v>1170.8599999999999</v>
      </c>
      <c r="H226" s="102" t="s">
        <v>2144</v>
      </c>
      <c r="I226" s="5" t="s">
        <v>2145</v>
      </c>
      <c r="K226" s="101">
        <v>2158.6999999999998</v>
      </c>
    </row>
    <row r="227" spans="2:12" x14ac:dyDescent="0.3">
      <c r="B227" s="97" t="s">
        <v>2146</v>
      </c>
      <c r="C227" s="50" t="s">
        <v>2147</v>
      </c>
      <c r="D227" s="98">
        <v>2341.7199999999998</v>
      </c>
      <c r="E227" s="100"/>
      <c r="F227" s="5">
        <f t="shared" si="13"/>
        <v>1170.8599999999999</v>
      </c>
      <c r="H227" s="102" t="s">
        <v>2148</v>
      </c>
      <c r="I227" s="5" t="s">
        <v>2149</v>
      </c>
      <c r="K227" s="101">
        <v>2158.6999999999998</v>
      </c>
    </row>
    <row r="228" spans="2:12" x14ac:dyDescent="0.3">
      <c r="B228" s="97" t="s">
        <v>2150</v>
      </c>
      <c r="C228" s="50" t="s">
        <v>2151</v>
      </c>
      <c r="D228" s="98">
        <v>2341.7199999999998</v>
      </c>
      <c r="E228" s="100"/>
      <c r="F228" s="5">
        <f t="shared" si="13"/>
        <v>1170.8599999999999</v>
      </c>
      <c r="H228" s="102" t="s">
        <v>2152</v>
      </c>
      <c r="I228" s="5" t="s">
        <v>2153</v>
      </c>
      <c r="K228" s="101">
        <v>2158.6999999999998</v>
      </c>
    </row>
    <row r="229" spans="2:12" x14ac:dyDescent="0.3">
      <c r="B229" s="97" t="s">
        <v>2154</v>
      </c>
      <c r="C229" s="50" t="s">
        <v>2155</v>
      </c>
      <c r="D229" s="98">
        <v>2341.7199999999998</v>
      </c>
      <c r="E229" s="100"/>
      <c r="F229" s="5">
        <f t="shared" si="13"/>
        <v>1170.8599999999999</v>
      </c>
      <c r="H229" s="102" t="s">
        <v>2156</v>
      </c>
      <c r="I229" s="5" t="s">
        <v>2157</v>
      </c>
      <c r="K229" s="101">
        <v>2158.6999999999998</v>
      </c>
    </row>
    <row r="230" spans="2:12" x14ac:dyDescent="0.3">
      <c r="B230" s="97" t="s">
        <v>2158</v>
      </c>
      <c r="C230" s="50" t="s">
        <v>2159</v>
      </c>
      <c r="D230" s="98">
        <v>2341.7199999999998</v>
      </c>
      <c r="E230" s="100"/>
      <c r="F230" s="5">
        <f t="shared" si="13"/>
        <v>1170.8599999999999</v>
      </c>
      <c r="H230" s="102" t="s">
        <v>2160</v>
      </c>
      <c r="I230" s="5" t="s">
        <v>2161</v>
      </c>
      <c r="K230" s="101">
        <v>2158.6999999999998</v>
      </c>
    </row>
    <row r="231" spans="2:12" x14ac:dyDescent="0.3">
      <c r="B231" s="97"/>
      <c r="C231" s="50"/>
      <c r="D231" s="98"/>
      <c r="F231" s="5"/>
      <c r="H231" s="102" t="s">
        <v>2162</v>
      </c>
      <c r="I231" s="103" t="s">
        <v>2163</v>
      </c>
      <c r="K231" s="101">
        <v>476.74</v>
      </c>
      <c r="L231" s="5" t="s">
        <v>2164</v>
      </c>
    </row>
    <row r="232" spans="2:12" x14ac:dyDescent="0.3">
      <c r="B232" s="97" t="s">
        <v>2165</v>
      </c>
      <c r="C232" s="50" t="s">
        <v>2166</v>
      </c>
      <c r="D232" s="98">
        <v>4162.43</v>
      </c>
      <c r="E232" s="5">
        <v>4848.58</v>
      </c>
      <c r="F232" s="5">
        <f t="shared" ref="F232:F242" si="14">D232*(1-$D$254)</f>
        <v>2081.2150000000001</v>
      </c>
      <c r="H232" s="102" t="s">
        <v>2167</v>
      </c>
      <c r="I232" s="103" t="s">
        <v>2168</v>
      </c>
      <c r="K232" s="101">
        <v>677.5</v>
      </c>
      <c r="L232" s="5" t="s">
        <v>2164</v>
      </c>
    </row>
    <row r="233" spans="2:12" x14ac:dyDescent="0.3">
      <c r="B233" s="97" t="s">
        <v>2169</v>
      </c>
      <c r="C233" s="50" t="s">
        <v>2170</v>
      </c>
      <c r="D233" s="98">
        <v>4235.93</v>
      </c>
      <c r="E233" s="5">
        <v>4871.29</v>
      </c>
      <c r="F233" s="5">
        <f t="shared" si="14"/>
        <v>2117.9650000000001</v>
      </c>
    </row>
    <row r="234" spans="2:12" x14ac:dyDescent="0.3">
      <c r="B234" s="97" t="s">
        <v>2171</v>
      </c>
      <c r="C234" s="50" t="s">
        <v>2172</v>
      </c>
      <c r="D234" s="98">
        <v>4312.43</v>
      </c>
      <c r="E234" s="5">
        <v>5066.82</v>
      </c>
      <c r="F234" s="5">
        <f t="shared" si="14"/>
        <v>2156.2150000000001</v>
      </c>
    </row>
    <row r="235" spans="2:12" x14ac:dyDescent="0.3">
      <c r="B235" s="97" t="s">
        <v>2173</v>
      </c>
      <c r="C235" s="50" t="s">
        <v>2174</v>
      </c>
      <c r="D235" s="98">
        <v>4354.53</v>
      </c>
      <c r="E235" s="5">
        <v>5067.72</v>
      </c>
      <c r="F235" s="5">
        <f t="shared" si="14"/>
        <v>2177.2649999999999</v>
      </c>
    </row>
    <row r="236" spans="2:12" x14ac:dyDescent="0.3">
      <c r="B236" s="97" t="s">
        <v>2175</v>
      </c>
      <c r="C236" s="50" t="s">
        <v>2176</v>
      </c>
      <c r="D236" s="98">
        <v>4428.18</v>
      </c>
      <c r="E236" s="5">
        <v>5293.53</v>
      </c>
      <c r="F236" s="5">
        <f t="shared" si="14"/>
        <v>2214.09</v>
      </c>
    </row>
    <row r="237" spans="2:12" x14ac:dyDescent="0.3">
      <c r="B237" s="97" t="s">
        <v>2177</v>
      </c>
      <c r="C237" s="50" t="s">
        <v>2178</v>
      </c>
      <c r="D237" s="98">
        <v>4712.37</v>
      </c>
      <c r="E237" s="5">
        <v>6174.26</v>
      </c>
      <c r="F237" s="5">
        <f t="shared" si="14"/>
        <v>2356.1849999999999</v>
      </c>
    </row>
    <row r="238" spans="2:12" x14ac:dyDescent="0.3">
      <c r="B238" s="97" t="s">
        <v>2179</v>
      </c>
      <c r="C238" s="50" t="s">
        <v>2180</v>
      </c>
      <c r="D238" s="98">
        <v>4770.25</v>
      </c>
      <c r="E238" s="5">
        <v>6096.74</v>
      </c>
      <c r="F238" s="5">
        <f t="shared" si="14"/>
        <v>2385.125</v>
      </c>
    </row>
    <row r="239" spans="2:12" x14ac:dyDescent="0.3">
      <c r="B239" s="97" t="s">
        <v>2181</v>
      </c>
      <c r="C239" s="50" t="s">
        <v>2182</v>
      </c>
      <c r="D239" s="98">
        <v>4857.08</v>
      </c>
      <c r="E239" s="5">
        <v>6115.78</v>
      </c>
      <c r="F239" s="5">
        <f t="shared" si="14"/>
        <v>2428.54</v>
      </c>
    </row>
    <row r="240" spans="2:12" x14ac:dyDescent="0.3">
      <c r="B240" s="97" t="s">
        <v>2183</v>
      </c>
      <c r="C240" s="50" t="s">
        <v>2184</v>
      </c>
      <c r="D240" s="98">
        <v>4943.87</v>
      </c>
      <c r="E240" s="5">
        <v>6191.04</v>
      </c>
      <c r="F240" s="5">
        <f t="shared" si="14"/>
        <v>2471.9349999999999</v>
      </c>
    </row>
    <row r="241" spans="2:7" x14ac:dyDescent="0.3">
      <c r="B241" s="97" t="s">
        <v>2185</v>
      </c>
      <c r="C241" s="50" t="s">
        <v>2186</v>
      </c>
      <c r="D241" s="98">
        <v>5030.71</v>
      </c>
      <c r="E241" s="5">
        <v>6183.6</v>
      </c>
      <c r="F241" s="5">
        <f t="shared" si="14"/>
        <v>2515.355</v>
      </c>
    </row>
    <row r="242" spans="2:7" x14ac:dyDescent="0.3">
      <c r="B242" s="97" t="s">
        <v>2187</v>
      </c>
      <c r="C242" s="50" t="s">
        <v>2188</v>
      </c>
      <c r="D242" s="98">
        <v>5117.54</v>
      </c>
      <c r="E242" s="5">
        <v>6148.02</v>
      </c>
      <c r="F242" s="5">
        <f t="shared" si="14"/>
        <v>2558.77</v>
      </c>
    </row>
    <row r="243" spans="2:7" x14ac:dyDescent="0.3">
      <c r="B243" s="97"/>
      <c r="C243" s="50"/>
      <c r="D243" s="98"/>
      <c r="F243" s="5"/>
    </row>
    <row r="244" spans="2:7" x14ac:dyDescent="0.3">
      <c r="B244" s="97" t="s">
        <v>2189</v>
      </c>
      <c r="C244" s="50" t="s">
        <v>2190</v>
      </c>
      <c r="D244" s="98">
        <v>2920.13</v>
      </c>
      <c r="E244" s="5">
        <v>3644.21</v>
      </c>
      <c r="F244" s="5">
        <f>D244*(1-$D$254)</f>
        <v>1460.0650000000001</v>
      </c>
    </row>
    <row r="245" spans="2:7" x14ac:dyDescent="0.3">
      <c r="B245" s="97" t="s">
        <v>2191</v>
      </c>
      <c r="C245" s="50" t="s">
        <v>2192</v>
      </c>
      <c r="D245" s="98">
        <v>2951.56</v>
      </c>
      <c r="E245" s="5">
        <v>3666.92</v>
      </c>
      <c r="F245" s="5">
        <f>D245*(1-$D$254)</f>
        <v>1475.78</v>
      </c>
    </row>
    <row r="246" spans="2:7" x14ac:dyDescent="0.3">
      <c r="B246" s="97" t="s">
        <v>2193</v>
      </c>
      <c r="C246" s="50" t="s">
        <v>2194</v>
      </c>
      <c r="D246" s="98">
        <v>3089.87</v>
      </c>
      <c r="E246" s="5">
        <v>3862.45</v>
      </c>
      <c r="F246" s="5">
        <f>D246*(1-$D$254)</f>
        <v>1544.9349999999999</v>
      </c>
    </row>
    <row r="247" spans="2:7" x14ac:dyDescent="0.3">
      <c r="B247" s="97" t="s">
        <v>2195</v>
      </c>
      <c r="C247" s="50" t="s">
        <v>2196</v>
      </c>
      <c r="D247" s="98">
        <v>3165.63</v>
      </c>
      <c r="E247" s="5">
        <v>3851.7</v>
      </c>
      <c r="F247" s="5">
        <f>D247*(1-$D$254)</f>
        <v>1582.8150000000001</v>
      </c>
    </row>
    <row r="248" spans="2:7" x14ac:dyDescent="0.3">
      <c r="B248" s="97" t="s">
        <v>2197</v>
      </c>
      <c r="C248" s="50" t="s">
        <v>2198</v>
      </c>
      <c r="D248" s="98">
        <v>3248.54</v>
      </c>
      <c r="E248" s="5">
        <v>4089.16</v>
      </c>
      <c r="F248" s="5">
        <f>D248*(1-$D$254)</f>
        <v>1624.27</v>
      </c>
    </row>
    <row r="249" spans="2:7" x14ac:dyDescent="0.3">
      <c r="B249" s="97"/>
      <c r="C249" s="50"/>
      <c r="D249" s="98"/>
      <c r="E249" s="5"/>
      <c r="F249" s="54"/>
    </row>
    <row r="251" spans="2:7" x14ac:dyDescent="0.3">
      <c r="B251" s="48" t="s">
        <v>2199</v>
      </c>
      <c r="C251" s="48"/>
      <c r="D251" s="48"/>
      <c r="G251" s="83"/>
    </row>
    <row r="252" spans="2:7" x14ac:dyDescent="0.3">
      <c r="B252" s="97" t="s">
        <v>2200</v>
      </c>
      <c r="C252" s="70"/>
      <c r="D252" s="104">
        <v>0.4</v>
      </c>
    </row>
    <row r="253" spans="2:7" x14ac:dyDescent="0.3">
      <c r="B253" s="97" t="s">
        <v>2201</v>
      </c>
      <c r="C253" s="70"/>
      <c r="D253" s="104">
        <v>0.45</v>
      </c>
    </row>
    <row r="254" spans="2:7" x14ac:dyDescent="0.3">
      <c r="B254" s="97" t="s">
        <v>2202</v>
      </c>
      <c r="C254" s="70"/>
      <c r="D254" s="104">
        <v>0.5</v>
      </c>
    </row>
    <row r="255" spans="2:7" x14ac:dyDescent="0.3">
      <c r="B255" s="97" t="s">
        <v>2028</v>
      </c>
      <c r="D255" s="104">
        <v>0</v>
      </c>
    </row>
  </sheetData>
  <sheetProtection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9B4EF-4CEF-4C06-8BF6-28CE4E20F658}">
  <dimension ref="A2:AA130"/>
  <sheetViews>
    <sheetView zoomScale="86" zoomScaleNormal="86" workbookViewId="0">
      <selection activeCell="F36" sqref="F36"/>
    </sheetView>
  </sheetViews>
  <sheetFormatPr defaultColWidth="11" defaultRowHeight="15.6" x14ac:dyDescent="0.3"/>
  <cols>
    <col min="1" max="1" width="22.3984375" customWidth="1"/>
    <col min="2" max="2" width="29.8984375" customWidth="1"/>
    <col min="3" max="3" width="22.09765625" customWidth="1"/>
    <col min="4" max="4" width="11.09765625" customWidth="1"/>
    <col min="5" max="5" width="13.3984375" customWidth="1"/>
    <col min="6" max="6" width="17.09765625" customWidth="1"/>
    <col min="7" max="7" width="16.3984375" customWidth="1"/>
    <col min="8" max="8" width="15.3984375" customWidth="1"/>
    <col min="9" max="10" width="16.296875" customWidth="1"/>
    <col min="11" max="11" width="10.19921875" bestFit="1" customWidth="1"/>
    <col min="12" max="12" width="14.296875" customWidth="1"/>
    <col min="13" max="13" width="12.3984375" customWidth="1"/>
    <col min="14" max="14" width="12.296875" customWidth="1"/>
    <col min="15" max="16" width="13" customWidth="1"/>
    <col min="17" max="20" width="14.296875" customWidth="1"/>
    <col min="21" max="21" width="15.296875" customWidth="1"/>
  </cols>
  <sheetData>
    <row r="2" spans="1:25" x14ac:dyDescent="0.3">
      <c r="A2" t="s">
        <v>1655</v>
      </c>
      <c r="D2" t="s">
        <v>1757</v>
      </c>
      <c r="E2" t="s">
        <v>1758</v>
      </c>
      <c r="F2" t="s">
        <v>1759</v>
      </c>
    </row>
    <row r="3" spans="1:25" x14ac:dyDescent="0.3">
      <c r="A3" t="s">
        <v>0</v>
      </c>
      <c r="B3" t="s">
        <v>1731</v>
      </c>
      <c r="C3" t="str">
        <f>""</f>
        <v/>
      </c>
      <c r="D3">
        <v>0</v>
      </c>
      <c r="E3">
        <v>0</v>
      </c>
      <c r="G3" t="s">
        <v>2203</v>
      </c>
      <c r="H3" t="s">
        <v>1657</v>
      </c>
      <c r="I3" s="41" t="s">
        <v>2</v>
      </c>
      <c r="J3" s="41" t="s">
        <v>3</v>
      </c>
      <c r="L3" t="s">
        <v>1842</v>
      </c>
      <c r="M3" t="s">
        <v>1671</v>
      </c>
      <c r="N3" t="s">
        <v>1587</v>
      </c>
      <c r="O3" t="s">
        <v>1760</v>
      </c>
      <c r="P3" t="s">
        <v>1761</v>
      </c>
      <c r="Q3" t="s">
        <v>2204</v>
      </c>
      <c r="R3" t="s">
        <v>2205</v>
      </c>
      <c r="S3" t="s">
        <v>2206</v>
      </c>
      <c r="T3" t="s">
        <v>2207</v>
      </c>
    </row>
    <row r="4" spans="1:25" x14ac:dyDescent="0.3">
      <c r="B4" t="s">
        <v>2208</v>
      </c>
      <c r="C4" t="str">
        <f>B4</f>
        <v>500 LC - LED (3P)</v>
      </c>
      <c r="D4">
        <v>1</v>
      </c>
      <c r="E4">
        <v>1</v>
      </c>
      <c r="F4" t="s">
        <v>1661</v>
      </c>
      <c r="G4" s="42">
        <f>SUM(L4:AA4)</f>
        <v>16357.74</v>
      </c>
      <c r="H4" s="42">
        <f>G4*(1-0.5)</f>
        <v>8178.87</v>
      </c>
      <c r="I4" s="43">
        <f>H4/(1-0.4)*2</f>
        <v>27262.9</v>
      </c>
      <c r="J4" s="43">
        <f>I4*(1-0.5)</f>
        <v>13631.45</v>
      </c>
      <c r="K4" s="43"/>
      <c r="L4" s="42">
        <f>$D$128</f>
        <v>598.53</v>
      </c>
      <c r="M4" s="42">
        <v>763.02</v>
      </c>
      <c r="N4" s="42">
        <v>344.25</v>
      </c>
      <c r="O4" s="42">
        <f>D96</f>
        <v>2090.9299999999998</v>
      </c>
      <c r="P4" s="42">
        <v>0</v>
      </c>
      <c r="Q4" s="42">
        <f>M72</f>
        <v>12561.01</v>
      </c>
      <c r="R4" s="42"/>
      <c r="S4" s="42"/>
      <c r="T4" s="42"/>
      <c r="U4" s="42"/>
      <c r="V4" s="42"/>
      <c r="W4" s="42"/>
      <c r="X4" s="42"/>
      <c r="Y4" s="42"/>
    </row>
    <row r="5" spans="1:25" x14ac:dyDescent="0.3">
      <c r="B5" t="s">
        <v>1763</v>
      </c>
      <c r="C5" t="s">
        <v>1495</v>
      </c>
      <c r="D5">
        <v>1</v>
      </c>
      <c r="E5">
        <v>1</v>
      </c>
      <c r="F5" t="s">
        <v>1661</v>
      </c>
      <c r="G5" s="42">
        <f>SUM(L5:AA5)</f>
        <v>24397.25</v>
      </c>
      <c r="H5" s="42">
        <f t="shared" ref="H5:H46" si="0">G5*0.5</f>
        <v>12198.625</v>
      </c>
      <c r="I5" s="43">
        <f t="shared" ref="I5:I18" si="1">H5/(1-0.4)*2</f>
        <v>40662.083333333336</v>
      </c>
      <c r="J5" s="43">
        <f t="shared" ref="J5:J47" si="2">I5*(1-0.5)</f>
        <v>20331.041666666668</v>
      </c>
      <c r="K5" s="43"/>
      <c r="L5" s="42">
        <f t="shared" ref="L5:L18" si="3">$D$128</f>
        <v>598.53</v>
      </c>
      <c r="M5" s="42">
        <v>763.02</v>
      </c>
      <c r="N5" s="42">
        <v>344.25</v>
      </c>
      <c r="O5" s="42">
        <f>D97</f>
        <v>3387.27</v>
      </c>
      <c r="P5" s="42">
        <v>0</v>
      </c>
      <c r="Q5" s="42">
        <f>M75</f>
        <v>19304.18</v>
      </c>
      <c r="R5" s="42"/>
      <c r="S5" s="42"/>
      <c r="T5" s="42"/>
      <c r="U5" s="42"/>
      <c r="V5" s="42"/>
      <c r="W5" s="42"/>
      <c r="X5" s="42"/>
      <c r="Y5" s="42"/>
    </row>
    <row r="6" spans="1:25" x14ac:dyDescent="0.3">
      <c r="B6" t="s">
        <v>1765</v>
      </c>
      <c r="C6" t="s">
        <v>1498</v>
      </c>
      <c r="D6">
        <v>2</v>
      </c>
      <c r="E6">
        <v>2</v>
      </c>
      <c r="F6" t="s">
        <v>1661</v>
      </c>
      <c r="G6" s="42">
        <f t="shared" ref="G6:G18" si="4">SUM(L6:AA6)</f>
        <v>47328.19</v>
      </c>
      <c r="H6" s="42">
        <f t="shared" si="0"/>
        <v>23664.095000000001</v>
      </c>
      <c r="I6" s="43">
        <f t="shared" si="1"/>
        <v>78880.31666666668</v>
      </c>
      <c r="J6" s="43">
        <f t="shared" si="2"/>
        <v>39440.15833333334</v>
      </c>
      <c r="K6" s="43"/>
      <c r="L6" s="42">
        <f t="shared" si="3"/>
        <v>598.53</v>
      </c>
      <c r="M6" s="42">
        <v>763.02</v>
      </c>
      <c r="N6" s="42">
        <v>344.25</v>
      </c>
      <c r="O6" s="42">
        <f>D101</f>
        <v>7014.03</v>
      </c>
      <c r="P6" s="42">
        <v>0</v>
      </c>
      <c r="Q6" s="42">
        <f>M75</f>
        <v>19304.18</v>
      </c>
      <c r="R6" s="42">
        <f>M75</f>
        <v>19304.18</v>
      </c>
      <c r="S6" s="42"/>
      <c r="T6" s="42"/>
      <c r="U6" s="42"/>
      <c r="V6" s="42"/>
      <c r="W6" s="42"/>
      <c r="X6" s="42"/>
      <c r="Y6" s="42"/>
    </row>
    <row r="7" spans="1:25" x14ac:dyDescent="0.3">
      <c r="B7" t="s">
        <v>1767</v>
      </c>
      <c r="C7" t="s">
        <v>1501</v>
      </c>
      <c r="D7">
        <v>3</v>
      </c>
      <c r="E7">
        <v>3</v>
      </c>
      <c r="F7" t="s">
        <v>1661</v>
      </c>
      <c r="G7" s="42">
        <f t="shared" si="4"/>
        <v>67581.399999999994</v>
      </c>
      <c r="H7" s="42">
        <f t="shared" si="0"/>
        <v>33790.699999999997</v>
      </c>
      <c r="I7" s="43">
        <f t="shared" si="1"/>
        <v>112635.66666666666</v>
      </c>
      <c r="J7" s="43">
        <f t="shared" si="2"/>
        <v>56317.833333333328</v>
      </c>
      <c r="K7" s="43"/>
      <c r="L7" s="42">
        <f t="shared" si="3"/>
        <v>598.53</v>
      </c>
      <c r="M7" s="42">
        <v>763.02</v>
      </c>
      <c r="N7" s="42">
        <v>344.25</v>
      </c>
      <c r="O7" s="42">
        <f>D107</f>
        <v>7963.06</v>
      </c>
      <c r="P7" s="42">
        <v>0</v>
      </c>
      <c r="Q7" s="42">
        <f>M75</f>
        <v>19304.18</v>
      </c>
      <c r="R7" s="42">
        <f>M75</f>
        <v>19304.18</v>
      </c>
      <c r="S7" s="42">
        <f>M75</f>
        <v>19304.18</v>
      </c>
      <c r="T7" s="42"/>
      <c r="U7" s="42"/>
      <c r="V7" s="42"/>
      <c r="W7" s="42"/>
      <c r="X7" s="42"/>
      <c r="Y7" s="42"/>
    </row>
    <row r="8" spans="1:25" x14ac:dyDescent="0.3">
      <c r="B8" t="s">
        <v>1769</v>
      </c>
      <c r="C8" t="s">
        <v>1504</v>
      </c>
      <c r="D8">
        <v>2</v>
      </c>
      <c r="E8">
        <v>1</v>
      </c>
      <c r="F8" t="s">
        <v>1661</v>
      </c>
      <c r="G8" s="42">
        <f t="shared" si="4"/>
        <v>34866.25</v>
      </c>
      <c r="H8" s="42">
        <f t="shared" si="0"/>
        <v>17433.125</v>
      </c>
      <c r="I8" s="43">
        <f t="shared" si="1"/>
        <v>58110.416666666672</v>
      </c>
      <c r="J8" s="43">
        <f t="shared" si="2"/>
        <v>29055.208333333336</v>
      </c>
      <c r="K8" s="43"/>
      <c r="L8" s="42">
        <f t="shared" si="3"/>
        <v>598.53</v>
      </c>
      <c r="M8" s="42">
        <v>763.02</v>
      </c>
      <c r="N8" s="42">
        <v>344.25</v>
      </c>
      <c r="O8" s="42">
        <f>D103</f>
        <v>4622.88</v>
      </c>
      <c r="P8" s="42">
        <v>392.03</v>
      </c>
      <c r="Q8" s="42">
        <f>M75</f>
        <v>19304.18</v>
      </c>
      <c r="R8" s="42">
        <f>M78</f>
        <v>8841.36</v>
      </c>
      <c r="S8" s="42"/>
      <c r="T8" s="42"/>
      <c r="U8" s="42"/>
      <c r="V8" s="42"/>
      <c r="W8" s="42"/>
      <c r="X8" s="42"/>
      <c r="Y8" s="42"/>
    </row>
    <row r="9" spans="1:25" x14ac:dyDescent="0.3">
      <c r="B9" t="s">
        <v>1771</v>
      </c>
      <c r="C9" t="s">
        <v>1507</v>
      </c>
      <c r="D9">
        <v>2</v>
      </c>
      <c r="E9">
        <v>1</v>
      </c>
      <c r="F9" t="s">
        <v>1661</v>
      </c>
      <c r="G9" s="42">
        <f t="shared" si="4"/>
        <v>34641.46</v>
      </c>
      <c r="H9" s="42">
        <f t="shared" si="0"/>
        <v>17320.73</v>
      </c>
      <c r="I9" s="43">
        <f t="shared" si="1"/>
        <v>57735.76666666667</v>
      </c>
      <c r="J9" s="43">
        <f t="shared" si="2"/>
        <v>28867.883333333335</v>
      </c>
      <c r="K9" s="43"/>
      <c r="L9" s="42">
        <f t="shared" si="3"/>
        <v>598.53</v>
      </c>
      <c r="M9" s="42">
        <v>763.02</v>
      </c>
      <c r="N9" s="42">
        <v>344.25</v>
      </c>
      <c r="O9" s="42">
        <f>D102</f>
        <v>4790.12</v>
      </c>
      <c r="P9" s="42">
        <v>0</v>
      </c>
      <c r="Q9" s="42">
        <f>M78</f>
        <v>8841.36</v>
      </c>
      <c r="R9" s="42">
        <f>M75</f>
        <v>19304.18</v>
      </c>
      <c r="S9" s="42"/>
      <c r="T9" s="42"/>
      <c r="U9" s="42"/>
      <c r="V9" s="42"/>
      <c r="W9" s="42"/>
      <c r="X9" s="42"/>
      <c r="Y9" s="42"/>
    </row>
    <row r="10" spans="1:25" x14ac:dyDescent="0.3">
      <c r="B10" t="s">
        <v>1773</v>
      </c>
      <c r="C10" t="s">
        <v>1510</v>
      </c>
      <c r="D10">
        <v>3</v>
      </c>
      <c r="E10">
        <v>2</v>
      </c>
      <c r="F10" t="s">
        <v>1661</v>
      </c>
      <c r="G10" s="42">
        <f t="shared" si="4"/>
        <v>56578.18</v>
      </c>
      <c r="H10" s="42">
        <f t="shared" si="0"/>
        <v>28289.09</v>
      </c>
      <c r="I10" s="43">
        <f>H10/(1-0.4)*2</f>
        <v>94296.966666666674</v>
      </c>
      <c r="J10" s="43">
        <f t="shared" si="2"/>
        <v>47148.483333333337</v>
      </c>
      <c r="K10" s="43"/>
      <c r="L10" s="42">
        <f t="shared" si="3"/>
        <v>598.53</v>
      </c>
      <c r="M10" s="42">
        <v>763.02</v>
      </c>
      <c r="N10" s="42">
        <v>344.25</v>
      </c>
      <c r="O10" s="42">
        <f>D109</f>
        <v>7030.63</v>
      </c>
      <c r="P10" s="42">
        <v>392.03</v>
      </c>
      <c r="Q10" s="42">
        <f>M75</f>
        <v>19304.18</v>
      </c>
      <c r="R10" s="42">
        <f>M75</f>
        <v>19304.18</v>
      </c>
      <c r="S10" s="42">
        <f>M78</f>
        <v>8841.36</v>
      </c>
      <c r="T10" s="42"/>
      <c r="U10" s="42"/>
      <c r="V10" s="42"/>
      <c r="W10" s="42"/>
      <c r="X10" s="42"/>
      <c r="Y10" s="42"/>
    </row>
    <row r="11" spans="1:25" x14ac:dyDescent="0.3">
      <c r="B11" t="s">
        <v>1775</v>
      </c>
      <c r="C11" t="s">
        <v>1513</v>
      </c>
      <c r="D11">
        <v>2</v>
      </c>
      <c r="E11">
        <v>1</v>
      </c>
      <c r="F11" t="s">
        <v>1661</v>
      </c>
      <c r="G11" s="42">
        <f t="shared" si="4"/>
        <v>46673.279999999999</v>
      </c>
      <c r="H11" s="42">
        <f t="shared" si="0"/>
        <v>23336.639999999999</v>
      </c>
      <c r="I11" s="43">
        <f t="shared" si="1"/>
        <v>77788.800000000003</v>
      </c>
      <c r="J11" s="43">
        <f t="shared" si="2"/>
        <v>38894.400000000001</v>
      </c>
      <c r="K11" s="43"/>
      <c r="L11" s="42">
        <f t="shared" si="3"/>
        <v>598.53</v>
      </c>
      <c r="M11" s="42">
        <v>763.02</v>
      </c>
      <c r="N11" s="42">
        <v>344.25</v>
      </c>
      <c r="O11" s="42">
        <f>D101</f>
        <v>7014.03</v>
      </c>
      <c r="P11" s="42">
        <v>0</v>
      </c>
      <c r="Q11" s="42">
        <f>M75</f>
        <v>19304.18</v>
      </c>
      <c r="R11" s="42">
        <f>M80</f>
        <v>18649.27</v>
      </c>
      <c r="S11" s="42"/>
      <c r="T11" s="42"/>
      <c r="U11" s="42"/>
      <c r="V11" s="42"/>
      <c r="W11" s="42"/>
      <c r="X11" s="42"/>
      <c r="Y11" s="42"/>
    </row>
    <row r="12" spans="1:25" x14ac:dyDescent="0.3">
      <c r="B12" t="s">
        <v>1777</v>
      </c>
      <c r="C12" t="s">
        <v>1516</v>
      </c>
      <c r="D12">
        <v>3</v>
      </c>
      <c r="E12">
        <v>2</v>
      </c>
      <c r="F12" t="s">
        <v>1661</v>
      </c>
      <c r="G12" s="42">
        <f t="shared" si="4"/>
        <v>66926.490000000005</v>
      </c>
      <c r="H12" s="42">
        <f t="shared" si="0"/>
        <v>33463.245000000003</v>
      </c>
      <c r="I12" s="43">
        <f t="shared" si="1"/>
        <v>111544.15000000001</v>
      </c>
      <c r="J12" s="43">
        <f t="shared" si="2"/>
        <v>55772.075000000004</v>
      </c>
      <c r="K12" s="43"/>
      <c r="L12" s="42">
        <f t="shared" si="3"/>
        <v>598.53</v>
      </c>
      <c r="M12" s="42">
        <v>763.02</v>
      </c>
      <c r="N12" s="42">
        <v>344.25</v>
      </c>
      <c r="O12" s="42">
        <f>D107</f>
        <v>7963.06</v>
      </c>
      <c r="P12" s="42">
        <v>0</v>
      </c>
      <c r="Q12" s="42">
        <f>M75</f>
        <v>19304.18</v>
      </c>
      <c r="R12" s="42">
        <f>M75</f>
        <v>19304.18</v>
      </c>
      <c r="S12" s="42">
        <f>M80</f>
        <v>18649.27</v>
      </c>
      <c r="T12" s="42"/>
      <c r="U12" s="42"/>
      <c r="V12" s="42"/>
      <c r="W12" s="42"/>
      <c r="X12" s="42"/>
      <c r="Y12" s="42"/>
    </row>
    <row r="13" spans="1:25" x14ac:dyDescent="0.3">
      <c r="B13" t="s">
        <v>1779</v>
      </c>
      <c r="C13" s="41" t="str">
        <f>"No Lights - "&amp;B13</f>
        <v>No Lights - FP</v>
      </c>
      <c r="D13">
        <v>1</v>
      </c>
      <c r="E13">
        <v>0</v>
      </c>
      <c r="F13" t="s">
        <v>1661</v>
      </c>
      <c r="G13" s="42">
        <f t="shared" si="4"/>
        <v>13372.11</v>
      </c>
      <c r="H13" s="42">
        <f t="shared" si="0"/>
        <v>6686.0550000000003</v>
      </c>
      <c r="I13" s="55">
        <f t="shared" si="1"/>
        <v>22286.850000000002</v>
      </c>
      <c r="J13" s="55">
        <f t="shared" si="2"/>
        <v>11143.425000000001</v>
      </c>
      <c r="K13" s="43"/>
      <c r="L13" s="42">
        <f t="shared" si="3"/>
        <v>598.53</v>
      </c>
      <c r="M13" s="42">
        <v>763.02</v>
      </c>
      <c r="N13" s="42">
        <v>344.25</v>
      </c>
      <c r="O13" s="42">
        <f>D98</f>
        <v>2824.95</v>
      </c>
      <c r="P13" s="42">
        <v>0</v>
      </c>
      <c r="Q13" s="42">
        <f>M78</f>
        <v>8841.36</v>
      </c>
      <c r="R13" s="42"/>
      <c r="S13" s="42"/>
      <c r="T13" s="42"/>
      <c r="U13" s="42"/>
      <c r="V13" s="42"/>
      <c r="W13" s="42"/>
      <c r="X13" s="42"/>
      <c r="Y13" s="42"/>
    </row>
    <row r="14" spans="1:25" x14ac:dyDescent="0.3">
      <c r="B14" t="s">
        <v>1781</v>
      </c>
      <c r="C14" s="41" t="str">
        <f t="shared" ref="C14:C19" si="5">"No Lights - "&amp;B14</f>
        <v>No Lights - LS</v>
      </c>
      <c r="D14">
        <v>1</v>
      </c>
      <c r="E14">
        <v>0</v>
      </c>
      <c r="F14" t="s">
        <v>1661</v>
      </c>
      <c r="G14" s="42">
        <f t="shared" si="4"/>
        <v>23742.34</v>
      </c>
      <c r="H14" s="42">
        <f t="shared" si="0"/>
        <v>11871.17</v>
      </c>
      <c r="I14" s="55">
        <f t="shared" si="1"/>
        <v>39570.566666666666</v>
      </c>
      <c r="J14" s="55">
        <f t="shared" si="2"/>
        <v>19785.283333333333</v>
      </c>
      <c r="K14" s="43"/>
      <c r="L14" s="42">
        <f t="shared" si="3"/>
        <v>598.53</v>
      </c>
      <c r="M14" s="42">
        <v>763.02</v>
      </c>
      <c r="N14" s="42">
        <v>344.25</v>
      </c>
      <c r="O14" s="42">
        <f>D97</f>
        <v>3387.27</v>
      </c>
      <c r="P14" s="42">
        <v>0</v>
      </c>
      <c r="Q14" s="42">
        <f>M80</f>
        <v>18649.27</v>
      </c>
      <c r="R14" s="42"/>
      <c r="S14" s="42"/>
      <c r="T14" s="42"/>
      <c r="U14" s="42"/>
      <c r="V14" s="42"/>
      <c r="W14" s="42"/>
      <c r="X14" s="42"/>
      <c r="Y14" s="42"/>
    </row>
    <row r="15" spans="1:25" x14ac:dyDescent="0.3">
      <c r="B15" t="s">
        <v>1783</v>
      </c>
      <c r="C15" s="41" t="str">
        <f t="shared" si="5"/>
        <v>No Lights - FP / FP</v>
      </c>
      <c r="D15">
        <v>2</v>
      </c>
      <c r="E15">
        <v>0</v>
      </c>
      <c r="F15" t="s">
        <v>1661</v>
      </c>
      <c r="G15" s="42">
        <f t="shared" si="4"/>
        <v>24157.58</v>
      </c>
      <c r="H15" s="42">
        <f t="shared" si="0"/>
        <v>12078.79</v>
      </c>
      <c r="I15" s="55">
        <f t="shared" si="1"/>
        <v>40262.633333333339</v>
      </c>
      <c r="J15" s="55">
        <f t="shared" si="2"/>
        <v>20131.316666666669</v>
      </c>
      <c r="K15" s="43"/>
      <c r="L15" s="42">
        <f t="shared" si="3"/>
        <v>598.53</v>
      </c>
      <c r="M15" s="42">
        <v>763.02</v>
      </c>
      <c r="N15" s="42">
        <v>344.25</v>
      </c>
      <c r="O15" s="42">
        <f>D104</f>
        <v>4377.03</v>
      </c>
      <c r="P15" s="42">
        <v>392.03</v>
      </c>
      <c r="Q15" s="42">
        <f>M78</f>
        <v>8841.36</v>
      </c>
      <c r="R15" s="42">
        <f>M78</f>
        <v>8841.36</v>
      </c>
      <c r="S15" s="42"/>
      <c r="T15" s="42"/>
      <c r="U15" s="42"/>
      <c r="V15" s="42"/>
      <c r="W15" s="42"/>
      <c r="X15" s="42"/>
      <c r="Y15" s="42"/>
    </row>
    <row r="16" spans="1:25" x14ac:dyDescent="0.3">
      <c r="B16" t="s">
        <v>1785</v>
      </c>
      <c r="C16" s="41" t="str">
        <f t="shared" si="5"/>
        <v>No Lights - LS / LS</v>
      </c>
      <c r="D16">
        <v>2</v>
      </c>
      <c r="E16">
        <v>0</v>
      </c>
      <c r="F16" t="s">
        <v>1661</v>
      </c>
      <c r="G16" s="42">
        <f t="shared" si="4"/>
        <v>46018.369999999995</v>
      </c>
      <c r="H16" s="42">
        <f t="shared" si="0"/>
        <v>23009.184999999998</v>
      </c>
      <c r="I16" s="55">
        <f t="shared" si="1"/>
        <v>76697.283333333326</v>
      </c>
      <c r="J16" s="55">
        <f t="shared" si="2"/>
        <v>38348.641666666663</v>
      </c>
      <c r="K16" s="43"/>
      <c r="L16" s="42">
        <f t="shared" si="3"/>
        <v>598.53</v>
      </c>
      <c r="M16" s="42">
        <v>763.02</v>
      </c>
      <c r="N16" s="42">
        <v>344.25</v>
      </c>
      <c r="O16" s="42">
        <f>D101</f>
        <v>7014.03</v>
      </c>
      <c r="P16" s="42">
        <v>0</v>
      </c>
      <c r="Q16" s="42">
        <f>M80</f>
        <v>18649.27</v>
      </c>
      <c r="R16" s="42">
        <f>M80</f>
        <v>18649.27</v>
      </c>
      <c r="S16" s="42"/>
      <c r="T16" s="42"/>
      <c r="U16" s="42"/>
      <c r="V16" s="42"/>
      <c r="W16" s="42"/>
      <c r="X16" s="42"/>
      <c r="Y16" s="42"/>
    </row>
    <row r="17" spans="2:26" x14ac:dyDescent="0.3">
      <c r="B17" t="s">
        <v>1787</v>
      </c>
      <c r="C17" s="41" t="str">
        <f t="shared" si="5"/>
        <v>No Lights - FP / LS</v>
      </c>
      <c r="D17">
        <v>2</v>
      </c>
      <c r="E17">
        <v>0</v>
      </c>
      <c r="F17" t="s">
        <v>1661</v>
      </c>
      <c r="G17" s="42">
        <f t="shared" si="4"/>
        <v>33986.550000000003</v>
      </c>
      <c r="H17" s="42">
        <f t="shared" si="0"/>
        <v>16993.275000000001</v>
      </c>
      <c r="I17" s="55">
        <f t="shared" si="1"/>
        <v>56644.250000000007</v>
      </c>
      <c r="J17" s="55">
        <f t="shared" si="2"/>
        <v>28322.125000000004</v>
      </c>
      <c r="K17" s="43"/>
      <c r="L17" s="42">
        <f t="shared" si="3"/>
        <v>598.53</v>
      </c>
      <c r="M17" s="42">
        <v>763.02</v>
      </c>
      <c r="N17" s="42">
        <v>344.25</v>
      </c>
      <c r="O17" s="42">
        <f>D102</f>
        <v>4790.12</v>
      </c>
      <c r="P17" s="42">
        <v>0</v>
      </c>
      <c r="Q17" s="42">
        <f>M78</f>
        <v>8841.36</v>
      </c>
      <c r="R17" s="42">
        <f>M80</f>
        <v>18649.27</v>
      </c>
      <c r="S17" s="42"/>
      <c r="T17" s="42"/>
      <c r="U17" s="42"/>
      <c r="V17" s="42"/>
      <c r="W17" s="42"/>
      <c r="X17" s="42"/>
      <c r="Y17" s="42"/>
    </row>
    <row r="18" spans="2:26" x14ac:dyDescent="0.3">
      <c r="B18" t="s">
        <v>1789</v>
      </c>
      <c r="C18" s="41" t="str">
        <f t="shared" si="5"/>
        <v>No Lights - LS / FP</v>
      </c>
      <c r="D18">
        <v>2</v>
      </c>
      <c r="E18">
        <v>0</v>
      </c>
      <c r="F18" t="s">
        <v>1661</v>
      </c>
      <c r="G18" s="42">
        <f t="shared" si="4"/>
        <v>23412.07</v>
      </c>
      <c r="H18" s="42">
        <f t="shared" si="0"/>
        <v>11706.035</v>
      </c>
      <c r="I18" s="55">
        <f t="shared" si="1"/>
        <v>39020.116666666669</v>
      </c>
      <c r="J18" s="55">
        <f t="shared" si="2"/>
        <v>19510.058333333334</v>
      </c>
      <c r="K18" s="43"/>
      <c r="L18" s="42">
        <f t="shared" si="3"/>
        <v>598.53</v>
      </c>
      <c r="M18" s="42">
        <v>763.02</v>
      </c>
      <c r="N18" s="42">
        <v>344.25</v>
      </c>
      <c r="O18" s="42">
        <f>D103</f>
        <v>4622.88</v>
      </c>
      <c r="P18" s="42">
        <v>392.03</v>
      </c>
      <c r="Q18" s="42">
        <f>M79</f>
        <v>7850</v>
      </c>
      <c r="R18" s="42">
        <f>M78</f>
        <v>8841.36</v>
      </c>
      <c r="S18" s="42"/>
      <c r="T18" s="42"/>
      <c r="U18" s="42"/>
      <c r="V18" s="42"/>
      <c r="W18" s="42"/>
      <c r="X18" s="42"/>
      <c r="Y18" s="42"/>
    </row>
    <row r="19" spans="2:26" x14ac:dyDescent="0.3">
      <c r="B19" t="s">
        <v>2209</v>
      </c>
      <c r="C19" s="41" t="str">
        <f t="shared" si="5"/>
        <v>No Lights - TC FP (Ondal)</v>
      </c>
      <c r="D19">
        <v>1</v>
      </c>
      <c r="E19">
        <v>0</v>
      </c>
      <c r="F19" t="s">
        <v>1662</v>
      </c>
      <c r="G19" s="42">
        <f t="shared" ref="G19:G46" si="6">SUM(L19:AA19)</f>
        <v>7850</v>
      </c>
      <c r="H19" s="42">
        <f t="shared" si="0"/>
        <v>3925</v>
      </c>
      <c r="I19" s="55">
        <f t="shared" ref="I19:I28" si="7">H19/(1-0.4)*2</f>
        <v>13083.333333333334</v>
      </c>
      <c r="J19" s="55">
        <f t="shared" si="2"/>
        <v>6541.666666666667</v>
      </c>
      <c r="K19" s="42"/>
      <c r="L19" s="42"/>
      <c r="M19" s="42"/>
      <c r="N19" s="42"/>
      <c r="O19" s="42"/>
      <c r="P19" s="42"/>
      <c r="Q19" s="42">
        <f>M79</f>
        <v>7850</v>
      </c>
      <c r="R19" s="42"/>
      <c r="S19" s="42"/>
      <c r="T19" s="42"/>
      <c r="U19" s="42"/>
      <c r="V19" s="42"/>
      <c r="W19" s="42"/>
      <c r="X19" s="42"/>
      <c r="Y19" s="42"/>
      <c r="Z19" s="42"/>
    </row>
    <row r="20" spans="2:26" x14ac:dyDescent="0.3">
      <c r="B20" t="s">
        <v>1820</v>
      </c>
      <c r="C20" t="str">
        <f>B20</f>
        <v>4500 Exam Light</v>
      </c>
      <c r="D20">
        <v>0</v>
      </c>
      <c r="E20">
        <v>0</v>
      </c>
      <c r="F20" t="s">
        <v>1661</v>
      </c>
      <c r="G20" s="42">
        <f>D112</f>
        <v>6573.06</v>
      </c>
      <c r="H20" s="42">
        <f>G20*0.55</f>
        <v>3615.1830000000004</v>
      </c>
      <c r="I20" s="43">
        <f t="shared" si="7"/>
        <v>12050.610000000002</v>
      </c>
      <c r="J20" s="43">
        <f t="shared" si="2"/>
        <v>6025.3050000000012</v>
      </c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spans="2:26" x14ac:dyDescent="0.3">
      <c r="B21" t="s">
        <v>2210</v>
      </c>
      <c r="C21" t="str">
        <f>B21</f>
        <v>(1) LIGHT EXCHANGE</v>
      </c>
      <c r="D21">
        <v>1</v>
      </c>
      <c r="E21">
        <v>1</v>
      </c>
      <c r="F21" t="s">
        <v>1661</v>
      </c>
      <c r="G21" s="42">
        <f t="shared" si="6"/>
        <v>15000</v>
      </c>
      <c r="H21" s="42">
        <f t="shared" si="0"/>
        <v>7500</v>
      </c>
      <c r="I21" s="43">
        <f t="shared" si="7"/>
        <v>25000</v>
      </c>
      <c r="J21" s="43">
        <f t="shared" si="2"/>
        <v>12500</v>
      </c>
      <c r="K21" s="42"/>
      <c r="L21" s="42"/>
      <c r="M21" s="42"/>
      <c r="N21" s="42"/>
      <c r="O21" s="42"/>
      <c r="P21" s="42"/>
      <c r="Q21" s="42">
        <f>M81</f>
        <v>15000</v>
      </c>
      <c r="R21" s="42"/>
      <c r="S21" s="42"/>
      <c r="T21" s="42"/>
      <c r="U21" s="42"/>
      <c r="V21" s="42"/>
      <c r="W21" s="42"/>
      <c r="X21" s="42"/>
      <c r="Y21" s="42"/>
      <c r="Z21" s="42"/>
    </row>
    <row r="22" spans="2:26" x14ac:dyDescent="0.3">
      <c r="B22" t="s">
        <v>2211</v>
      </c>
      <c r="C22" t="str">
        <f>B22</f>
        <v>(2) LIGHTS EXCHANGE</v>
      </c>
      <c r="D22">
        <v>2</v>
      </c>
      <c r="E22">
        <v>2</v>
      </c>
      <c r="F22" t="s">
        <v>1661</v>
      </c>
      <c r="G22" s="42">
        <f t="shared" si="6"/>
        <v>30000</v>
      </c>
      <c r="H22" s="42">
        <f t="shared" si="0"/>
        <v>15000</v>
      </c>
      <c r="I22" s="43">
        <f t="shared" si="7"/>
        <v>50000</v>
      </c>
      <c r="J22" s="43">
        <f t="shared" si="2"/>
        <v>25000</v>
      </c>
      <c r="K22" s="42"/>
      <c r="L22" s="42"/>
      <c r="M22" s="42"/>
      <c r="N22" s="42"/>
      <c r="O22" s="42"/>
      <c r="P22" s="42"/>
      <c r="Q22" s="42">
        <f>M81</f>
        <v>15000</v>
      </c>
      <c r="R22" s="42">
        <f>M81</f>
        <v>15000</v>
      </c>
      <c r="S22" s="42"/>
      <c r="T22" s="42"/>
      <c r="U22" s="42"/>
      <c r="V22" s="42"/>
      <c r="W22" s="42"/>
      <c r="X22" s="42"/>
      <c r="Y22" s="42"/>
      <c r="Z22" s="42"/>
    </row>
    <row r="23" spans="2:26" x14ac:dyDescent="0.3">
      <c r="C23" t="s">
        <v>1519</v>
      </c>
      <c r="D23">
        <v>1</v>
      </c>
      <c r="E23">
        <v>1</v>
      </c>
      <c r="F23" t="s">
        <v>1661</v>
      </c>
      <c r="G23" s="42">
        <f t="shared" si="6"/>
        <v>26106.68</v>
      </c>
      <c r="H23" s="42">
        <f t="shared" si="0"/>
        <v>13053.34</v>
      </c>
      <c r="I23" s="43">
        <f t="shared" si="7"/>
        <v>43511.133333333339</v>
      </c>
      <c r="J23" s="43">
        <f t="shared" si="2"/>
        <v>21755.566666666669</v>
      </c>
      <c r="K23" s="43"/>
      <c r="L23" s="42">
        <f t="shared" ref="L23:L47" si="8">$D$128</f>
        <v>598.53</v>
      </c>
      <c r="M23" s="42">
        <v>763.02</v>
      </c>
      <c r="N23" s="42">
        <v>344.25</v>
      </c>
      <c r="O23" s="42">
        <f>O5</f>
        <v>3387.27</v>
      </c>
      <c r="P23" s="42">
        <v>0</v>
      </c>
      <c r="Q23" s="42">
        <f>M76</f>
        <v>21013.61</v>
      </c>
      <c r="R23" s="42"/>
      <c r="S23" s="42"/>
      <c r="T23" s="42"/>
      <c r="U23" s="42"/>
      <c r="V23" s="42"/>
      <c r="W23" s="42"/>
      <c r="X23" s="42"/>
      <c r="Y23" s="42"/>
    </row>
    <row r="24" spans="2:26" x14ac:dyDescent="0.3">
      <c r="C24" t="s">
        <v>1522</v>
      </c>
      <c r="D24">
        <v>2</v>
      </c>
      <c r="E24">
        <v>2</v>
      </c>
      <c r="F24" t="s">
        <v>1661</v>
      </c>
      <c r="G24" s="42">
        <f t="shared" si="6"/>
        <v>50747.05</v>
      </c>
      <c r="H24" s="42">
        <f t="shared" si="0"/>
        <v>25373.525000000001</v>
      </c>
      <c r="I24" s="43">
        <f t="shared" si="7"/>
        <v>84578.416666666672</v>
      </c>
      <c r="J24" s="43">
        <f t="shared" si="2"/>
        <v>42289.208333333336</v>
      </c>
      <c r="K24" s="43"/>
      <c r="L24" s="42">
        <f t="shared" si="8"/>
        <v>598.53</v>
      </c>
      <c r="M24" s="42">
        <v>763.02</v>
      </c>
      <c r="N24" s="42">
        <v>344.25</v>
      </c>
      <c r="O24" s="42">
        <f t="shared" ref="O24:O30" si="9">O6</f>
        <v>7014.03</v>
      </c>
      <c r="P24" s="42">
        <v>0</v>
      </c>
      <c r="Q24" s="42">
        <f>M76</f>
        <v>21013.61</v>
      </c>
      <c r="R24" s="42">
        <f>M76</f>
        <v>21013.61</v>
      </c>
      <c r="S24" s="42"/>
      <c r="T24" s="42"/>
      <c r="U24" s="42"/>
      <c r="V24" s="42"/>
      <c r="W24" s="42"/>
      <c r="X24" s="42"/>
      <c r="Y24" s="42"/>
    </row>
    <row r="25" spans="2:26" x14ac:dyDescent="0.3">
      <c r="C25" t="s">
        <v>1525</v>
      </c>
      <c r="D25">
        <v>3</v>
      </c>
      <c r="E25">
        <v>3</v>
      </c>
      <c r="F25" t="s">
        <v>1661</v>
      </c>
      <c r="G25" s="42">
        <f t="shared" si="6"/>
        <v>72709.69</v>
      </c>
      <c r="H25" s="42">
        <f t="shared" si="0"/>
        <v>36354.845000000001</v>
      </c>
      <c r="I25" s="43">
        <f t="shared" si="7"/>
        <v>121182.81666666668</v>
      </c>
      <c r="J25" s="43">
        <f t="shared" si="2"/>
        <v>60591.40833333334</v>
      </c>
      <c r="K25" s="43"/>
      <c r="L25" s="42">
        <f t="shared" si="8"/>
        <v>598.53</v>
      </c>
      <c r="M25" s="42">
        <v>763.02</v>
      </c>
      <c r="N25" s="42">
        <v>344.25</v>
      </c>
      <c r="O25" s="42">
        <f t="shared" si="9"/>
        <v>7963.06</v>
      </c>
      <c r="P25" s="42">
        <v>0</v>
      </c>
      <c r="Q25" s="42">
        <f>M76</f>
        <v>21013.61</v>
      </c>
      <c r="R25" s="42">
        <f>M76</f>
        <v>21013.61</v>
      </c>
      <c r="S25" s="42">
        <f>M76</f>
        <v>21013.61</v>
      </c>
      <c r="T25" s="42"/>
      <c r="U25" s="42"/>
      <c r="V25" s="42"/>
      <c r="W25" s="42"/>
      <c r="X25" s="42"/>
      <c r="Y25" s="42"/>
    </row>
    <row r="26" spans="2:26" x14ac:dyDescent="0.3">
      <c r="C26" t="s">
        <v>1528</v>
      </c>
      <c r="D26">
        <v>2</v>
      </c>
      <c r="E26">
        <v>1</v>
      </c>
      <c r="F26" t="s">
        <v>1661</v>
      </c>
      <c r="G26" s="42">
        <f t="shared" si="6"/>
        <v>36575.68</v>
      </c>
      <c r="H26" s="42">
        <f t="shared" si="0"/>
        <v>18287.84</v>
      </c>
      <c r="I26" s="43">
        <f t="shared" si="7"/>
        <v>60959.466666666667</v>
      </c>
      <c r="J26" s="43">
        <f t="shared" si="2"/>
        <v>30479.733333333334</v>
      </c>
      <c r="K26" s="43"/>
      <c r="L26" s="42">
        <f t="shared" si="8"/>
        <v>598.53</v>
      </c>
      <c r="M26" s="42">
        <v>763.02</v>
      </c>
      <c r="N26" s="42">
        <v>344.25</v>
      </c>
      <c r="O26" s="42">
        <f t="shared" si="9"/>
        <v>4622.88</v>
      </c>
      <c r="P26" s="42">
        <v>392.03</v>
      </c>
      <c r="Q26" s="42">
        <f>M76</f>
        <v>21013.61</v>
      </c>
      <c r="R26" s="42">
        <f>M78</f>
        <v>8841.36</v>
      </c>
      <c r="S26" s="42"/>
      <c r="T26" s="42"/>
      <c r="U26" s="42"/>
      <c r="V26" s="42"/>
      <c r="W26" s="42"/>
      <c r="X26" s="42"/>
      <c r="Y26" s="42"/>
    </row>
    <row r="27" spans="2:26" x14ac:dyDescent="0.3">
      <c r="C27" t="s">
        <v>1531</v>
      </c>
      <c r="D27">
        <v>2</v>
      </c>
      <c r="E27">
        <v>1</v>
      </c>
      <c r="F27" t="s">
        <v>1661</v>
      </c>
      <c r="G27" s="42">
        <f t="shared" si="6"/>
        <v>36350.89</v>
      </c>
      <c r="H27" s="42">
        <f t="shared" si="0"/>
        <v>18175.445</v>
      </c>
      <c r="I27" s="43">
        <f t="shared" si="7"/>
        <v>60584.816666666666</v>
      </c>
      <c r="J27" s="43">
        <f t="shared" si="2"/>
        <v>30292.408333333333</v>
      </c>
      <c r="K27" s="43"/>
      <c r="L27" s="42">
        <f t="shared" si="8"/>
        <v>598.53</v>
      </c>
      <c r="M27" s="42">
        <v>763.02</v>
      </c>
      <c r="N27" s="42">
        <v>344.25</v>
      </c>
      <c r="O27" s="42">
        <f t="shared" si="9"/>
        <v>4790.12</v>
      </c>
      <c r="P27" s="42">
        <v>0</v>
      </c>
      <c r="Q27" s="42">
        <f>M78</f>
        <v>8841.36</v>
      </c>
      <c r="R27" s="42">
        <f>M76</f>
        <v>21013.61</v>
      </c>
      <c r="S27" s="42"/>
      <c r="T27" s="42"/>
      <c r="U27" s="42"/>
      <c r="V27" s="42"/>
      <c r="W27" s="42"/>
      <c r="X27" s="42"/>
      <c r="Y27" s="42"/>
    </row>
    <row r="28" spans="2:26" x14ac:dyDescent="0.3">
      <c r="C28" t="s">
        <v>1534</v>
      </c>
      <c r="D28">
        <v>3</v>
      </c>
      <c r="E28">
        <v>2</v>
      </c>
      <c r="F28" t="s">
        <v>1661</v>
      </c>
      <c r="G28" s="42">
        <f t="shared" si="6"/>
        <v>59997.04</v>
      </c>
      <c r="H28" s="42">
        <f t="shared" si="0"/>
        <v>29998.52</v>
      </c>
      <c r="I28" s="43">
        <f t="shared" si="7"/>
        <v>99995.066666666666</v>
      </c>
      <c r="J28" s="43">
        <f t="shared" si="2"/>
        <v>49997.533333333333</v>
      </c>
      <c r="K28" s="43"/>
      <c r="L28" s="42">
        <f t="shared" si="8"/>
        <v>598.53</v>
      </c>
      <c r="M28" s="42">
        <v>763.02</v>
      </c>
      <c r="N28" s="42">
        <v>344.25</v>
      </c>
      <c r="O28" s="42">
        <f t="shared" si="9"/>
        <v>7030.63</v>
      </c>
      <c r="P28" s="42">
        <v>392.03</v>
      </c>
      <c r="Q28" s="42">
        <f>M76</f>
        <v>21013.61</v>
      </c>
      <c r="R28" s="42">
        <f>M76</f>
        <v>21013.61</v>
      </c>
      <c r="S28" s="42">
        <f>M78</f>
        <v>8841.36</v>
      </c>
      <c r="T28" s="42"/>
      <c r="U28" s="42"/>
      <c r="V28" s="42"/>
      <c r="W28" s="42"/>
      <c r="X28" s="42"/>
      <c r="Y28" s="42"/>
    </row>
    <row r="29" spans="2:26" x14ac:dyDescent="0.3">
      <c r="C29" t="s">
        <v>1537</v>
      </c>
      <c r="D29">
        <v>2</v>
      </c>
      <c r="E29">
        <v>1</v>
      </c>
      <c r="F29" t="s">
        <v>1661</v>
      </c>
      <c r="G29" s="42">
        <f t="shared" si="6"/>
        <v>48382.710000000006</v>
      </c>
      <c r="H29" s="42">
        <f t="shared" si="0"/>
        <v>24191.355000000003</v>
      </c>
      <c r="I29" s="43">
        <f t="shared" ref="I29:I35" si="10">H29/(1-0.4)*2</f>
        <v>80637.85000000002</v>
      </c>
      <c r="J29" s="43">
        <f t="shared" si="2"/>
        <v>40318.92500000001</v>
      </c>
      <c r="K29" s="43"/>
      <c r="L29" s="42">
        <f t="shared" si="8"/>
        <v>598.53</v>
      </c>
      <c r="M29" s="42">
        <v>763.02</v>
      </c>
      <c r="N29" s="42">
        <v>344.25</v>
      </c>
      <c r="O29" s="42">
        <f t="shared" si="9"/>
        <v>7014.03</v>
      </c>
      <c r="P29" s="42">
        <v>0</v>
      </c>
      <c r="Q29" s="42">
        <f>M76</f>
        <v>21013.61</v>
      </c>
      <c r="R29" s="42">
        <f>M80</f>
        <v>18649.27</v>
      </c>
      <c r="S29" s="42"/>
      <c r="T29" s="42"/>
      <c r="U29" s="42"/>
      <c r="V29" s="42"/>
      <c r="W29" s="42"/>
      <c r="X29" s="42"/>
      <c r="Y29" s="42"/>
    </row>
    <row r="30" spans="2:26" x14ac:dyDescent="0.3">
      <c r="C30" t="s">
        <v>1540</v>
      </c>
      <c r="D30">
        <v>3</v>
      </c>
      <c r="E30">
        <v>2</v>
      </c>
      <c r="F30" t="s">
        <v>1661</v>
      </c>
      <c r="G30" s="42">
        <f t="shared" si="6"/>
        <v>70345.350000000006</v>
      </c>
      <c r="H30" s="42">
        <f t="shared" si="0"/>
        <v>35172.675000000003</v>
      </c>
      <c r="I30" s="43">
        <f t="shared" si="10"/>
        <v>117242.25000000001</v>
      </c>
      <c r="J30" s="43">
        <f t="shared" si="2"/>
        <v>58621.125000000007</v>
      </c>
      <c r="K30" s="43"/>
      <c r="L30" s="42">
        <f t="shared" si="8"/>
        <v>598.53</v>
      </c>
      <c r="M30" s="42">
        <v>763.02</v>
      </c>
      <c r="N30" s="42">
        <v>344.25</v>
      </c>
      <c r="O30" s="42">
        <f t="shared" si="9"/>
        <v>7963.06</v>
      </c>
      <c r="P30" s="42">
        <v>0</v>
      </c>
      <c r="Q30" s="42">
        <f>M76</f>
        <v>21013.61</v>
      </c>
      <c r="R30" s="42">
        <f>M76</f>
        <v>21013.61</v>
      </c>
      <c r="S30" s="42">
        <f>M80</f>
        <v>18649.27</v>
      </c>
      <c r="T30" s="42"/>
      <c r="U30" s="42"/>
      <c r="V30" s="42"/>
      <c r="W30" s="42"/>
      <c r="X30" s="42"/>
      <c r="Y30" s="42"/>
    </row>
    <row r="31" spans="2:26" x14ac:dyDescent="0.3">
      <c r="C31" s="41" t="s">
        <v>1419</v>
      </c>
      <c r="D31">
        <v>1</v>
      </c>
      <c r="E31">
        <v>1</v>
      </c>
      <c r="F31" t="s">
        <v>1661</v>
      </c>
      <c r="G31" s="42">
        <f t="shared" si="6"/>
        <v>23387.219999999998</v>
      </c>
      <c r="H31" s="42">
        <f t="shared" si="0"/>
        <v>11693.609999999999</v>
      </c>
      <c r="I31" s="55">
        <f t="shared" si="10"/>
        <v>38978.699999999997</v>
      </c>
      <c r="J31" s="55">
        <f>I31*(1-0.5)</f>
        <v>19489.349999999999</v>
      </c>
      <c r="K31" s="43"/>
      <c r="L31" s="42">
        <f t="shared" si="8"/>
        <v>598.53</v>
      </c>
      <c r="M31" s="42">
        <v>763.02</v>
      </c>
      <c r="N31" s="42">
        <v>344.25</v>
      </c>
      <c r="O31" s="42">
        <f>O5</f>
        <v>3387.27</v>
      </c>
      <c r="P31" s="42">
        <v>0</v>
      </c>
      <c r="Q31" s="42">
        <f>M73</f>
        <v>18294.149999999998</v>
      </c>
      <c r="R31" s="42"/>
      <c r="S31" s="42"/>
      <c r="T31" s="42"/>
      <c r="U31" s="42"/>
      <c r="V31" s="42"/>
      <c r="W31" s="42"/>
      <c r="X31" s="42"/>
      <c r="Y31" s="42"/>
    </row>
    <row r="32" spans="2:26" x14ac:dyDescent="0.3">
      <c r="C32" s="41" t="s">
        <v>1423</v>
      </c>
      <c r="D32">
        <v>2</v>
      </c>
      <c r="E32">
        <v>2</v>
      </c>
      <c r="F32" t="s">
        <v>1661</v>
      </c>
      <c r="G32" s="42">
        <f t="shared" si="6"/>
        <v>45308.12999999999</v>
      </c>
      <c r="H32" s="42">
        <f t="shared" si="0"/>
        <v>22654.064999999995</v>
      </c>
      <c r="I32" s="55">
        <f t="shared" si="10"/>
        <v>75513.549999999988</v>
      </c>
      <c r="J32" s="55">
        <f t="shared" si="2"/>
        <v>37756.774999999994</v>
      </c>
      <c r="K32" s="43"/>
      <c r="L32" s="42">
        <f t="shared" si="8"/>
        <v>598.53</v>
      </c>
      <c r="M32" s="42">
        <v>763.02</v>
      </c>
      <c r="N32" s="42">
        <v>344.25</v>
      </c>
      <c r="O32" s="42">
        <f t="shared" ref="O32:O38" si="11">O6</f>
        <v>7014.03</v>
      </c>
      <c r="P32" s="42">
        <v>0</v>
      </c>
      <c r="Q32" s="42">
        <f>M73</f>
        <v>18294.149999999998</v>
      </c>
      <c r="R32" s="42">
        <f>M73</f>
        <v>18294.149999999998</v>
      </c>
      <c r="S32" s="42"/>
      <c r="T32" s="42"/>
      <c r="U32" s="42"/>
      <c r="V32" s="42"/>
      <c r="W32" s="42"/>
      <c r="X32" s="42"/>
      <c r="Y32" s="42"/>
    </row>
    <row r="33" spans="3:26" x14ac:dyDescent="0.3">
      <c r="C33" s="41" t="s">
        <v>1427</v>
      </c>
      <c r="D33">
        <v>3</v>
      </c>
      <c r="E33">
        <v>3</v>
      </c>
      <c r="F33" t="s">
        <v>1661</v>
      </c>
      <c r="G33" s="42">
        <f t="shared" si="6"/>
        <v>64551.31</v>
      </c>
      <c r="H33" s="42">
        <f t="shared" si="0"/>
        <v>32275.654999999999</v>
      </c>
      <c r="I33" s="55">
        <f t="shared" si="10"/>
        <v>107585.51666666666</v>
      </c>
      <c r="J33" s="55">
        <f t="shared" si="2"/>
        <v>53792.758333333331</v>
      </c>
      <c r="K33" s="43"/>
      <c r="L33" s="42">
        <f t="shared" si="8"/>
        <v>598.53</v>
      </c>
      <c r="M33" s="42">
        <v>763.02</v>
      </c>
      <c r="N33" s="42">
        <v>344.25</v>
      </c>
      <c r="O33" s="42">
        <f t="shared" si="11"/>
        <v>7963.06</v>
      </c>
      <c r="P33" s="42">
        <v>0</v>
      </c>
      <c r="Q33" s="42">
        <f>M73</f>
        <v>18294.149999999998</v>
      </c>
      <c r="R33" s="42">
        <f>M73</f>
        <v>18294.149999999998</v>
      </c>
      <c r="S33" s="42">
        <f>M73</f>
        <v>18294.149999999998</v>
      </c>
      <c r="T33" s="42"/>
      <c r="U33" s="42"/>
      <c r="V33" s="42"/>
      <c r="W33" s="42"/>
      <c r="X33" s="42"/>
      <c r="Y33" s="42"/>
    </row>
    <row r="34" spans="3:26" x14ac:dyDescent="0.3">
      <c r="C34" s="41" t="s">
        <v>1431</v>
      </c>
      <c r="D34">
        <v>2</v>
      </c>
      <c r="E34">
        <v>1</v>
      </c>
      <c r="F34" t="s">
        <v>1661</v>
      </c>
      <c r="G34" s="42">
        <f t="shared" si="6"/>
        <v>33856.22</v>
      </c>
      <c r="H34" s="42">
        <f t="shared" si="0"/>
        <v>16928.11</v>
      </c>
      <c r="I34" s="55">
        <f t="shared" si="10"/>
        <v>56427.03333333334</v>
      </c>
      <c r="J34" s="55">
        <f t="shared" si="2"/>
        <v>28213.51666666667</v>
      </c>
      <c r="K34" s="43"/>
      <c r="L34" s="42">
        <f t="shared" si="8"/>
        <v>598.53</v>
      </c>
      <c r="M34" s="42">
        <v>763.02</v>
      </c>
      <c r="N34" s="42">
        <v>344.25</v>
      </c>
      <c r="O34" s="42">
        <f t="shared" si="11"/>
        <v>4622.88</v>
      </c>
      <c r="P34" s="42">
        <v>392.03</v>
      </c>
      <c r="Q34" s="42">
        <f>M73</f>
        <v>18294.149999999998</v>
      </c>
      <c r="R34" s="42">
        <f>+M78</f>
        <v>8841.36</v>
      </c>
      <c r="S34" s="42"/>
      <c r="T34" s="42"/>
      <c r="U34" s="42"/>
      <c r="V34" s="42"/>
      <c r="W34" s="42"/>
      <c r="X34" s="42"/>
      <c r="Y34" s="42"/>
    </row>
    <row r="35" spans="3:26" x14ac:dyDescent="0.3">
      <c r="C35" s="41" t="s">
        <v>1435</v>
      </c>
      <c r="D35">
        <v>2</v>
      </c>
      <c r="E35">
        <v>1</v>
      </c>
      <c r="F35" t="s">
        <v>1661</v>
      </c>
      <c r="G35" s="42">
        <f t="shared" si="6"/>
        <v>33631.43</v>
      </c>
      <c r="H35" s="42">
        <f t="shared" si="0"/>
        <v>16815.715</v>
      </c>
      <c r="I35" s="55">
        <f t="shared" si="10"/>
        <v>56052.383333333339</v>
      </c>
      <c r="J35" s="55">
        <f t="shared" si="2"/>
        <v>28026.191666666669</v>
      </c>
      <c r="K35" s="43"/>
      <c r="L35" s="42">
        <f t="shared" si="8"/>
        <v>598.53</v>
      </c>
      <c r="M35" s="42">
        <v>763.02</v>
      </c>
      <c r="N35" s="42">
        <v>344.25</v>
      </c>
      <c r="O35" s="42">
        <f t="shared" si="11"/>
        <v>4790.12</v>
      </c>
      <c r="P35" s="42">
        <v>0</v>
      </c>
      <c r="Q35" s="42">
        <f>M78</f>
        <v>8841.36</v>
      </c>
      <c r="R35" s="42">
        <f>M73</f>
        <v>18294.149999999998</v>
      </c>
      <c r="S35" s="42"/>
      <c r="T35" s="42"/>
      <c r="U35" s="42"/>
      <c r="V35" s="42"/>
      <c r="W35" s="42"/>
      <c r="X35" s="42"/>
      <c r="Y35" s="42"/>
    </row>
    <row r="36" spans="3:26" x14ac:dyDescent="0.3">
      <c r="C36" s="41" t="s">
        <v>1439</v>
      </c>
      <c r="D36">
        <v>3</v>
      </c>
      <c r="E36">
        <v>2</v>
      </c>
      <c r="F36" t="s">
        <v>1661</v>
      </c>
      <c r="G36" s="42">
        <f t="shared" si="6"/>
        <v>54558.119999999995</v>
      </c>
      <c r="H36" s="42">
        <f t="shared" si="0"/>
        <v>27279.059999999998</v>
      </c>
      <c r="I36" s="55">
        <f>H36/(1-0.4)*2</f>
        <v>90930.2</v>
      </c>
      <c r="J36" s="55">
        <f t="shared" si="2"/>
        <v>45465.1</v>
      </c>
      <c r="K36" s="43"/>
      <c r="L36" s="42">
        <f t="shared" si="8"/>
        <v>598.53</v>
      </c>
      <c r="M36" s="42">
        <v>763.02</v>
      </c>
      <c r="N36" s="42">
        <v>344.25</v>
      </c>
      <c r="O36" s="42">
        <f t="shared" si="11"/>
        <v>7030.63</v>
      </c>
      <c r="P36" s="42">
        <v>392.03</v>
      </c>
      <c r="Q36" s="42">
        <f>M73</f>
        <v>18294.149999999998</v>
      </c>
      <c r="R36" s="42">
        <f>M73</f>
        <v>18294.149999999998</v>
      </c>
      <c r="S36" s="42">
        <f>M78</f>
        <v>8841.36</v>
      </c>
      <c r="T36" s="42"/>
      <c r="U36" s="42"/>
      <c r="V36" s="42"/>
      <c r="W36" s="42"/>
      <c r="X36" s="42"/>
      <c r="Y36" s="42"/>
    </row>
    <row r="37" spans="3:26" x14ac:dyDescent="0.3">
      <c r="C37" s="41" t="s">
        <v>1443</v>
      </c>
      <c r="D37">
        <v>2</v>
      </c>
      <c r="E37">
        <v>1</v>
      </c>
      <c r="F37" t="s">
        <v>1661</v>
      </c>
      <c r="G37" s="42">
        <f t="shared" si="6"/>
        <v>45663.25</v>
      </c>
      <c r="H37" s="42">
        <f t="shared" si="0"/>
        <v>22831.625</v>
      </c>
      <c r="I37" s="55">
        <f t="shared" ref="I37:I43" si="12">H37/(1-0.4)*2</f>
        <v>76105.416666666672</v>
      </c>
      <c r="J37" s="55">
        <f t="shared" si="2"/>
        <v>38052.708333333336</v>
      </c>
      <c r="K37" s="43"/>
      <c r="L37" s="42">
        <f t="shared" si="8"/>
        <v>598.53</v>
      </c>
      <c r="M37" s="42">
        <v>763.02</v>
      </c>
      <c r="N37" s="42">
        <v>344.25</v>
      </c>
      <c r="O37" s="42">
        <f t="shared" si="11"/>
        <v>7014.03</v>
      </c>
      <c r="P37" s="42">
        <v>0</v>
      </c>
      <c r="Q37" s="42">
        <f>M73</f>
        <v>18294.149999999998</v>
      </c>
      <c r="R37" s="42">
        <f>M80</f>
        <v>18649.27</v>
      </c>
      <c r="S37" s="42"/>
      <c r="T37" s="42"/>
      <c r="U37" s="42"/>
      <c r="V37" s="42"/>
      <c r="W37" s="42"/>
      <c r="X37" s="42"/>
      <c r="Y37" s="42"/>
    </row>
    <row r="38" spans="3:26" x14ac:dyDescent="0.3">
      <c r="C38" s="41" t="s">
        <v>1446</v>
      </c>
      <c r="D38">
        <v>3</v>
      </c>
      <c r="E38">
        <v>2</v>
      </c>
      <c r="F38" t="s">
        <v>1661</v>
      </c>
      <c r="G38" s="42">
        <f t="shared" si="6"/>
        <v>64906.429999999993</v>
      </c>
      <c r="H38" s="42">
        <f t="shared" si="0"/>
        <v>32453.214999999997</v>
      </c>
      <c r="I38" s="55">
        <f t="shared" si="12"/>
        <v>108177.38333333333</v>
      </c>
      <c r="J38" s="55">
        <f t="shared" si="2"/>
        <v>54088.691666666666</v>
      </c>
      <c r="K38" s="43"/>
      <c r="L38" s="42">
        <f t="shared" si="8"/>
        <v>598.53</v>
      </c>
      <c r="M38" s="42">
        <v>763.02</v>
      </c>
      <c r="N38" s="42">
        <v>344.25</v>
      </c>
      <c r="O38" s="42">
        <f t="shared" si="11"/>
        <v>7963.06</v>
      </c>
      <c r="P38" s="42">
        <v>0</v>
      </c>
      <c r="Q38" s="42">
        <f>M73</f>
        <v>18294.149999999998</v>
      </c>
      <c r="R38" s="42">
        <f>M73</f>
        <v>18294.149999999998</v>
      </c>
      <c r="S38" s="42">
        <f>M80</f>
        <v>18649.27</v>
      </c>
      <c r="T38" s="42"/>
      <c r="U38" s="42"/>
      <c r="V38" s="42"/>
      <c r="W38" s="42"/>
      <c r="X38" s="42"/>
      <c r="Y38" s="42"/>
    </row>
    <row r="39" spans="3:26" x14ac:dyDescent="0.3">
      <c r="C39" s="41" t="s">
        <v>1449</v>
      </c>
      <c r="D39">
        <v>1</v>
      </c>
      <c r="E39">
        <v>1</v>
      </c>
      <c r="F39" t="s">
        <v>1661</v>
      </c>
      <c r="G39" s="42">
        <f t="shared" si="6"/>
        <v>24904.460000000003</v>
      </c>
      <c r="H39" s="42">
        <f t="shared" si="0"/>
        <v>12452.230000000001</v>
      </c>
      <c r="I39" s="55">
        <f t="shared" si="12"/>
        <v>41507.433333333342</v>
      </c>
      <c r="J39" s="55">
        <f t="shared" si="2"/>
        <v>20753.716666666671</v>
      </c>
      <c r="K39" s="43"/>
      <c r="L39" s="42">
        <f t="shared" si="8"/>
        <v>598.53</v>
      </c>
      <c r="M39" s="42">
        <v>763.02</v>
      </c>
      <c r="N39" s="42">
        <v>344.25</v>
      </c>
      <c r="O39" s="42">
        <f>O5</f>
        <v>3387.27</v>
      </c>
      <c r="P39" s="42">
        <v>0</v>
      </c>
      <c r="Q39" s="42">
        <f>M74</f>
        <v>19811.390000000003</v>
      </c>
      <c r="R39" s="42"/>
      <c r="S39" s="42"/>
      <c r="T39" s="42"/>
      <c r="U39" s="42"/>
      <c r="V39" s="42"/>
      <c r="W39" s="42"/>
      <c r="X39" s="42"/>
      <c r="Y39" s="42"/>
    </row>
    <row r="40" spans="3:26" x14ac:dyDescent="0.3">
      <c r="C40" s="41" t="s">
        <v>1453</v>
      </c>
      <c r="D40">
        <v>2</v>
      </c>
      <c r="E40">
        <v>2</v>
      </c>
      <c r="F40" t="s">
        <v>1661</v>
      </c>
      <c r="G40" s="42">
        <f t="shared" si="6"/>
        <v>48342.61</v>
      </c>
      <c r="H40" s="42">
        <f t="shared" si="0"/>
        <v>24171.305</v>
      </c>
      <c r="I40" s="55">
        <f t="shared" si="12"/>
        <v>80571.016666666677</v>
      </c>
      <c r="J40" s="55">
        <f t="shared" si="2"/>
        <v>40285.508333333339</v>
      </c>
      <c r="K40" s="43"/>
      <c r="L40" s="42">
        <f t="shared" si="8"/>
        <v>598.53</v>
      </c>
      <c r="M40" s="42">
        <v>763.02</v>
      </c>
      <c r="N40" s="42">
        <v>344.25</v>
      </c>
      <c r="O40" s="42">
        <f t="shared" ref="O40:O47" si="13">O6</f>
        <v>7014.03</v>
      </c>
      <c r="P40" s="42">
        <v>0</v>
      </c>
      <c r="Q40" s="42">
        <f>M74</f>
        <v>19811.390000000003</v>
      </c>
      <c r="R40" s="42">
        <f>M74</f>
        <v>19811.390000000003</v>
      </c>
      <c r="S40" s="42"/>
      <c r="T40" s="42"/>
      <c r="U40" s="42"/>
      <c r="V40" s="42"/>
      <c r="W40" s="42"/>
      <c r="X40" s="42"/>
      <c r="Y40" s="42"/>
    </row>
    <row r="41" spans="3:26" x14ac:dyDescent="0.3">
      <c r="C41" s="41" t="s">
        <v>1456</v>
      </c>
      <c r="D41">
        <v>3</v>
      </c>
      <c r="E41">
        <v>3</v>
      </c>
      <c r="F41" t="s">
        <v>1661</v>
      </c>
      <c r="G41" s="42">
        <f t="shared" si="6"/>
        <v>69103.030000000013</v>
      </c>
      <c r="H41" s="42">
        <f t="shared" si="0"/>
        <v>34551.515000000007</v>
      </c>
      <c r="I41" s="55">
        <f t="shared" si="12"/>
        <v>115171.71666666669</v>
      </c>
      <c r="J41" s="55">
        <f t="shared" si="2"/>
        <v>57585.858333333344</v>
      </c>
      <c r="K41" s="43"/>
      <c r="L41" s="42">
        <f t="shared" si="8"/>
        <v>598.53</v>
      </c>
      <c r="M41" s="42">
        <v>763.02</v>
      </c>
      <c r="N41" s="42">
        <v>344.25</v>
      </c>
      <c r="O41" s="42">
        <f t="shared" si="13"/>
        <v>7963.06</v>
      </c>
      <c r="P41" s="42">
        <v>0</v>
      </c>
      <c r="Q41" s="42">
        <f>M74</f>
        <v>19811.390000000003</v>
      </c>
      <c r="R41" s="42">
        <f>M74</f>
        <v>19811.390000000003</v>
      </c>
      <c r="S41" s="42">
        <f>M74</f>
        <v>19811.390000000003</v>
      </c>
      <c r="T41" s="42"/>
      <c r="U41" s="42"/>
      <c r="V41" s="42"/>
      <c r="W41" s="42"/>
      <c r="X41" s="42"/>
      <c r="Y41" s="42"/>
    </row>
    <row r="42" spans="3:26" x14ac:dyDescent="0.3">
      <c r="C42" s="41" t="s">
        <v>1459</v>
      </c>
      <c r="D42">
        <v>2</v>
      </c>
      <c r="E42">
        <v>1</v>
      </c>
      <c r="F42" t="s">
        <v>1661</v>
      </c>
      <c r="G42" s="42">
        <f t="shared" si="6"/>
        <v>35373.460000000006</v>
      </c>
      <c r="H42" s="42">
        <f t="shared" si="0"/>
        <v>17686.730000000003</v>
      </c>
      <c r="I42" s="55">
        <f t="shared" si="12"/>
        <v>58955.766666666677</v>
      </c>
      <c r="J42" s="55">
        <f t="shared" si="2"/>
        <v>29477.883333333339</v>
      </c>
      <c r="K42" s="43"/>
      <c r="L42" s="42">
        <f t="shared" si="8"/>
        <v>598.53</v>
      </c>
      <c r="M42" s="42">
        <v>763.02</v>
      </c>
      <c r="N42" s="42">
        <v>344.25</v>
      </c>
      <c r="O42" s="42">
        <f t="shared" si="13"/>
        <v>4622.88</v>
      </c>
      <c r="P42" s="42">
        <v>392.03</v>
      </c>
      <c r="Q42" s="42">
        <f>M74</f>
        <v>19811.390000000003</v>
      </c>
      <c r="R42" s="42">
        <f>M78</f>
        <v>8841.36</v>
      </c>
      <c r="S42" s="42"/>
      <c r="T42" s="42"/>
      <c r="U42" s="42"/>
      <c r="V42" s="42"/>
      <c r="W42" s="42"/>
      <c r="X42" s="42"/>
      <c r="Y42" s="42"/>
    </row>
    <row r="43" spans="3:26" x14ac:dyDescent="0.3">
      <c r="C43" s="41" t="s">
        <v>1462</v>
      </c>
      <c r="D43">
        <v>2</v>
      </c>
      <c r="E43">
        <v>1</v>
      </c>
      <c r="F43" t="s">
        <v>1661</v>
      </c>
      <c r="G43" s="42">
        <f t="shared" si="6"/>
        <v>35148.670000000006</v>
      </c>
      <c r="H43" s="42">
        <f t="shared" si="0"/>
        <v>17574.335000000003</v>
      </c>
      <c r="I43" s="55">
        <f t="shared" si="12"/>
        <v>58581.116666666676</v>
      </c>
      <c r="J43" s="55">
        <f t="shared" si="2"/>
        <v>29290.558333333338</v>
      </c>
      <c r="K43" s="43"/>
      <c r="L43" s="42">
        <f t="shared" si="8"/>
        <v>598.53</v>
      </c>
      <c r="M43" s="42">
        <v>763.02</v>
      </c>
      <c r="N43" s="42">
        <v>344.25</v>
      </c>
      <c r="O43" s="42">
        <f t="shared" si="13"/>
        <v>4790.12</v>
      </c>
      <c r="P43" s="42">
        <v>0</v>
      </c>
      <c r="Q43" s="42">
        <f>M78</f>
        <v>8841.36</v>
      </c>
      <c r="R43" s="42">
        <f>M74</f>
        <v>19811.390000000003</v>
      </c>
      <c r="S43" s="42"/>
      <c r="T43" s="42"/>
      <c r="U43" s="42"/>
      <c r="V43" s="42"/>
      <c r="W43" s="42"/>
      <c r="X43" s="42"/>
      <c r="Y43" s="42"/>
    </row>
    <row r="44" spans="3:26" x14ac:dyDescent="0.3">
      <c r="C44" s="41" t="s">
        <v>1465</v>
      </c>
      <c r="D44">
        <v>3</v>
      </c>
      <c r="E44">
        <v>2</v>
      </c>
      <c r="F44" t="s">
        <v>1661</v>
      </c>
      <c r="G44" s="42">
        <f t="shared" si="6"/>
        <v>57592.600000000006</v>
      </c>
      <c r="H44" s="42">
        <f t="shared" si="0"/>
        <v>28796.300000000003</v>
      </c>
      <c r="I44" s="55">
        <f>H44/(1-0.4)*2</f>
        <v>95987.666666666686</v>
      </c>
      <c r="J44" s="55">
        <f t="shared" si="2"/>
        <v>47993.833333333343</v>
      </c>
      <c r="K44" s="43"/>
      <c r="L44" s="42">
        <f t="shared" si="8"/>
        <v>598.53</v>
      </c>
      <c r="M44" s="42">
        <v>763.02</v>
      </c>
      <c r="N44" s="42">
        <v>344.25</v>
      </c>
      <c r="O44" s="42">
        <f t="shared" si="13"/>
        <v>7030.63</v>
      </c>
      <c r="P44" s="42">
        <v>392.03</v>
      </c>
      <c r="Q44" s="42">
        <f>M74</f>
        <v>19811.390000000003</v>
      </c>
      <c r="R44" s="42">
        <f>M74</f>
        <v>19811.390000000003</v>
      </c>
      <c r="S44" s="42">
        <f>+M78</f>
        <v>8841.36</v>
      </c>
      <c r="T44" s="42"/>
      <c r="U44" s="42"/>
      <c r="V44" s="42"/>
      <c r="W44" s="42"/>
      <c r="X44" s="42"/>
      <c r="Y44" s="42"/>
    </row>
    <row r="45" spans="3:26" x14ac:dyDescent="0.3">
      <c r="C45" s="41" t="s">
        <v>1468</v>
      </c>
      <c r="D45">
        <v>2</v>
      </c>
      <c r="E45">
        <v>1</v>
      </c>
      <c r="F45" t="s">
        <v>1661</v>
      </c>
      <c r="G45" s="42">
        <f t="shared" si="6"/>
        <v>47180.490000000005</v>
      </c>
      <c r="H45" s="42">
        <f t="shared" si="0"/>
        <v>23590.245000000003</v>
      </c>
      <c r="I45" s="55">
        <f>H45/(1-0.4)*2</f>
        <v>78634.150000000009</v>
      </c>
      <c r="J45" s="55">
        <f>I45*(1-0.5)</f>
        <v>39317.075000000004</v>
      </c>
      <c r="K45" s="43"/>
      <c r="L45" s="42">
        <f t="shared" si="8"/>
        <v>598.53</v>
      </c>
      <c r="M45" s="42">
        <v>763.02</v>
      </c>
      <c r="N45" s="42">
        <v>344.25</v>
      </c>
      <c r="O45" s="42">
        <f t="shared" si="13"/>
        <v>7014.03</v>
      </c>
      <c r="P45" s="42">
        <v>0</v>
      </c>
      <c r="Q45" s="42">
        <f>M74</f>
        <v>19811.390000000003</v>
      </c>
      <c r="R45" s="42">
        <f>M80</f>
        <v>18649.27</v>
      </c>
      <c r="S45" s="42"/>
      <c r="T45" s="42"/>
      <c r="U45" s="42"/>
      <c r="V45" s="42"/>
      <c r="W45" s="42"/>
      <c r="X45" s="42"/>
      <c r="Y45" s="42"/>
    </row>
    <row r="46" spans="3:26" x14ac:dyDescent="0.3">
      <c r="C46" s="41" t="s">
        <v>1471</v>
      </c>
      <c r="D46">
        <v>3</v>
      </c>
      <c r="E46">
        <v>2</v>
      </c>
      <c r="F46" t="s">
        <v>1661</v>
      </c>
      <c r="G46" s="42">
        <f t="shared" si="6"/>
        <v>58133.000000000007</v>
      </c>
      <c r="H46" s="42">
        <f t="shared" si="0"/>
        <v>29066.500000000004</v>
      </c>
      <c r="I46" s="55">
        <f>H46/(1-0.4)*2</f>
        <v>96888.333333333343</v>
      </c>
      <c r="J46" s="55">
        <f t="shared" si="2"/>
        <v>48444.166666666672</v>
      </c>
      <c r="K46" s="43"/>
      <c r="L46" s="42">
        <f t="shared" si="8"/>
        <v>598.53</v>
      </c>
      <c r="M46" s="42">
        <v>763.02</v>
      </c>
      <c r="N46" s="42">
        <v>344.25</v>
      </c>
      <c r="O46" s="42">
        <f t="shared" si="13"/>
        <v>7963.06</v>
      </c>
      <c r="P46" s="42">
        <v>0</v>
      </c>
      <c r="Q46" s="42">
        <f>M74</f>
        <v>19811.390000000003</v>
      </c>
      <c r="R46" s="42">
        <f>M74</f>
        <v>19811.390000000003</v>
      </c>
      <c r="S46" s="42">
        <f>+M78</f>
        <v>8841.36</v>
      </c>
      <c r="T46" s="42"/>
      <c r="U46" s="42"/>
      <c r="V46" s="42"/>
      <c r="W46" s="42"/>
      <c r="X46" s="42"/>
      <c r="Y46" s="42"/>
    </row>
    <row r="47" spans="3:26" x14ac:dyDescent="0.3">
      <c r="C47" t="s">
        <v>2212</v>
      </c>
      <c r="D47">
        <v>1</v>
      </c>
      <c r="E47">
        <v>1</v>
      </c>
      <c r="F47" t="s">
        <v>1661</v>
      </c>
      <c r="G47" s="42">
        <f>SUM(L47:AA47)</f>
        <v>23394.26</v>
      </c>
      <c r="H47" s="42">
        <f>G47*0.5</f>
        <v>11697.13</v>
      </c>
      <c r="I47" s="55">
        <f>H47/(1-0.4)*2</f>
        <v>38990.433333333334</v>
      </c>
      <c r="J47" s="55">
        <f t="shared" si="2"/>
        <v>19495.216666666667</v>
      </c>
      <c r="K47" s="43"/>
      <c r="L47" s="42">
        <f t="shared" si="8"/>
        <v>598.53</v>
      </c>
      <c r="M47" s="42">
        <v>763.02</v>
      </c>
      <c r="N47" s="42">
        <v>344.25</v>
      </c>
      <c r="O47" s="42">
        <f t="shared" si="13"/>
        <v>2824.95</v>
      </c>
      <c r="P47" s="42">
        <v>0</v>
      </c>
      <c r="Q47" s="42">
        <f>M77</f>
        <v>18863.509999999998</v>
      </c>
      <c r="R47" s="42"/>
      <c r="S47" s="42"/>
      <c r="T47" s="42"/>
      <c r="U47" s="42"/>
      <c r="V47" s="42"/>
      <c r="W47" s="42"/>
      <c r="X47" s="42"/>
      <c r="Y47" s="42"/>
    </row>
    <row r="48" spans="3:26" x14ac:dyDescent="0.3"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spans="1:26" x14ac:dyDescent="0.3">
      <c r="A49" t="s">
        <v>2213</v>
      </c>
    </row>
    <row r="50" spans="1:26" x14ac:dyDescent="0.3">
      <c r="A50" t="s">
        <v>0</v>
      </c>
      <c r="B50" t="s">
        <v>1731</v>
      </c>
      <c r="D50" t="s">
        <v>2214</v>
      </c>
      <c r="E50" t="s">
        <v>2215</v>
      </c>
      <c r="G50" t="s">
        <v>2203</v>
      </c>
      <c r="H50" t="s">
        <v>1657</v>
      </c>
      <c r="I50" s="41" t="s">
        <v>2</v>
      </c>
    </row>
    <row r="51" spans="1:26" x14ac:dyDescent="0.3">
      <c r="B51" s="41" t="s">
        <v>1600</v>
      </c>
      <c r="D51" s="44">
        <v>1994.85</v>
      </c>
      <c r="E51">
        <v>0</v>
      </c>
      <c r="G51" s="42">
        <f>SUM(D51:F51)</f>
        <v>1994.85</v>
      </c>
      <c r="H51" s="44">
        <f t="shared" ref="H51:H66" si="14">G51*0.5</f>
        <v>997.42499999999995</v>
      </c>
      <c r="I51" s="57">
        <f t="shared" ref="I51:I64" si="15">H51/(1-0.4)*2</f>
        <v>3324.75</v>
      </c>
      <c r="J51" s="45"/>
      <c r="K51" s="45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spans="1:26" x14ac:dyDescent="0.3">
      <c r="B52" s="41" t="s">
        <v>1602</v>
      </c>
      <c r="D52" s="44">
        <v>2800.18</v>
      </c>
      <c r="E52">
        <v>0</v>
      </c>
      <c r="G52" s="42">
        <f t="shared" ref="G52:G66" si="16">SUM(D52:F52)</f>
        <v>2800.18</v>
      </c>
      <c r="H52" s="44">
        <f t="shared" si="14"/>
        <v>1400.09</v>
      </c>
      <c r="I52" s="57">
        <f t="shared" si="15"/>
        <v>4666.9666666666662</v>
      </c>
      <c r="J52" s="45"/>
      <c r="K52" s="45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spans="1:26" x14ac:dyDescent="0.3">
      <c r="B53" s="41" t="s">
        <v>1604</v>
      </c>
      <c r="D53" s="44">
        <v>3702.64</v>
      </c>
      <c r="E53">
        <v>0</v>
      </c>
      <c r="G53" s="42">
        <f t="shared" si="16"/>
        <v>3702.64</v>
      </c>
      <c r="H53" s="44">
        <f t="shared" si="14"/>
        <v>1851.32</v>
      </c>
      <c r="I53" s="57">
        <f t="shared" si="15"/>
        <v>6171.0666666666666</v>
      </c>
      <c r="J53" s="45"/>
      <c r="K53" s="45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spans="1:26" x14ac:dyDescent="0.3">
      <c r="B54" s="41" t="s">
        <v>1606</v>
      </c>
      <c r="D54" s="44">
        <f>2826.25+(72.99*3)</f>
        <v>3045.22</v>
      </c>
      <c r="E54">
        <v>0</v>
      </c>
      <c r="G54" s="42">
        <f t="shared" si="16"/>
        <v>3045.22</v>
      </c>
      <c r="H54" s="44">
        <f t="shared" si="14"/>
        <v>1522.61</v>
      </c>
      <c r="I54" s="57">
        <f t="shared" si="15"/>
        <v>5075.3666666666668</v>
      </c>
      <c r="J54" s="45"/>
      <c r="K54" s="45"/>
      <c r="L54" s="46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spans="1:26" x14ac:dyDescent="0.3">
      <c r="B55" s="41" t="s">
        <v>1608</v>
      </c>
      <c r="D55" s="44">
        <v>1994.85</v>
      </c>
      <c r="E55">
        <v>0</v>
      </c>
      <c r="G55" s="42">
        <f>SUM(D55:F55)</f>
        <v>1994.85</v>
      </c>
      <c r="H55" s="44">
        <f t="shared" si="14"/>
        <v>997.42499999999995</v>
      </c>
      <c r="I55" s="57">
        <f t="shared" si="15"/>
        <v>3324.75</v>
      </c>
      <c r="J55" s="45"/>
      <c r="K55" s="45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spans="1:26" x14ac:dyDescent="0.3">
      <c r="B56" s="41" t="s">
        <v>1610</v>
      </c>
      <c r="D56" s="44">
        <v>2800.18</v>
      </c>
      <c r="E56">
        <v>0</v>
      </c>
      <c r="G56" s="42">
        <f>SUM(D56:F56)</f>
        <v>2800.18</v>
      </c>
      <c r="H56" s="44">
        <f t="shared" si="14"/>
        <v>1400.09</v>
      </c>
      <c r="I56" s="57">
        <f t="shared" si="15"/>
        <v>4666.9666666666662</v>
      </c>
      <c r="J56" s="45"/>
      <c r="K56" s="45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spans="1:26" x14ac:dyDescent="0.3">
      <c r="B57" s="41" t="s">
        <v>1612</v>
      </c>
      <c r="D57" s="44">
        <v>3702.64</v>
      </c>
      <c r="E57">
        <v>0</v>
      </c>
      <c r="G57" s="42">
        <f>SUM(D57:F57)</f>
        <v>3702.64</v>
      </c>
      <c r="H57" s="44">
        <f t="shared" si="14"/>
        <v>1851.32</v>
      </c>
      <c r="I57" s="57">
        <f t="shared" si="15"/>
        <v>6171.0666666666666</v>
      </c>
      <c r="J57" s="45"/>
      <c r="K57" s="45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spans="1:26" x14ac:dyDescent="0.3">
      <c r="B58" s="41" t="s">
        <v>1593</v>
      </c>
      <c r="D58" s="44">
        <f>1849.79+25.16*3</f>
        <v>1925.27</v>
      </c>
      <c r="E58">
        <v>0</v>
      </c>
      <c r="G58" s="42">
        <f t="shared" si="16"/>
        <v>1925.27</v>
      </c>
      <c r="H58" s="44">
        <f t="shared" si="14"/>
        <v>962.63499999999999</v>
      </c>
      <c r="I58" s="57">
        <f t="shared" si="15"/>
        <v>3208.7833333333333</v>
      </c>
      <c r="J58" s="45"/>
      <c r="K58" s="45"/>
      <c r="L58" s="45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spans="1:26" x14ac:dyDescent="0.3">
      <c r="B59" s="41" t="s">
        <v>1617</v>
      </c>
      <c r="D59" s="44">
        <v>2830.6</v>
      </c>
      <c r="E59">
        <v>0</v>
      </c>
      <c r="G59" s="42">
        <f t="shared" si="16"/>
        <v>2830.6</v>
      </c>
      <c r="H59" s="44">
        <f t="shared" si="14"/>
        <v>1415.3</v>
      </c>
      <c r="I59" s="57">
        <f t="shared" si="15"/>
        <v>4717.666666666667</v>
      </c>
      <c r="J59" s="45"/>
      <c r="K59" s="45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spans="1:26" x14ac:dyDescent="0.3">
      <c r="B60" s="41" t="s">
        <v>1619</v>
      </c>
      <c r="D60" s="44">
        <v>15398.49</v>
      </c>
      <c r="E60">
        <v>0</v>
      </c>
      <c r="G60" s="42">
        <f t="shared" si="16"/>
        <v>15398.49</v>
      </c>
      <c r="H60" s="44">
        <f t="shared" si="14"/>
        <v>7699.2449999999999</v>
      </c>
      <c r="I60" s="57">
        <f>H60/(1-0.4)*2</f>
        <v>25664.15</v>
      </c>
      <c r="J60" s="45"/>
      <c r="K60" s="45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spans="1:26" x14ac:dyDescent="0.3">
      <c r="B61" s="41" t="s">
        <v>1621</v>
      </c>
      <c r="D61" s="44">
        <v>27173.82</v>
      </c>
      <c r="E61">
        <v>0</v>
      </c>
      <c r="G61" s="42">
        <f t="shared" si="16"/>
        <v>27173.82</v>
      </c>
      <c r="H61" s="44">
        <f t="shared" si="14"/>
        <v>13586.91</v>
      </c>
      <c r="I61" s="57">
        <f t="shared" si="15"/>
        <v>45289.700000000004</v>
      </c>
      <c r="J61" s="45"/>
      <c r="K61" s="45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spans="1:26" x14ac:dyDescent="0.3">
      <c r="B62" s="41" t="s">
        <v>1624</v>
      </c>
      <c r="D62" s="44">
        <v>0</v>
      </c>
      <c r="E62" s="44">
        <f>D125</f>
        <v>252</v>
      </c>
      <c r="G62" s="42">
        <f>SUM(E62:F62)</f>
        <v>252</v>
      </c>
      <c r="H62" s="44">
        <f t="shared" si="14"/>
        <v>126</v>
      </c>
      <c r="I62" s="57">
        <f t="shared" si="15"/>
        <v>420</v>
      </c>
      <c r="J62" s="45"/>
      <c r="K62" s="45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spans="1:26" x14ac:dyDescent="0.3">
      <c r="B63" s="41" t="s">
        <v>1626</v>
      </c>
      <c r="D63" s="44">
        <f>D123</f>
        <v>696.48</v>
      </c>
      <c r="E63">
        <f>D124</f>
        <v>196.88</v>
      </c>
      <c r="G63" s="42">
        <f t="shared" si="16"/>
        <v>893.36</v>
      </c>
      <c r="H63" s="44">
        <f t="shared" si="14"/>
        <v>446.68</v>
      </c>
      <c r="I63" s="57">
        <f>H63/(1-0.4)*2</f>
        <v>1488.9333333333334</v>
      </c>
      <c r="J63" s="45"/>
      <c r="K63" s="45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spans="1:26" x14ac:dyDescent="0.3">
      <c r="B64" s="41" t="s">
        <v>1840</v>
      </c>
      <c r="D64" s="44">
        <v>1500</v>
      </c>
      <c r="E64">
        <v>0</v>
      </c>
      <c r="G64" s="42">
        <f t="shared" si="16"/>
        <v>1500</v>
      </c>
      <c r="H64" s="44">
        <f t="shared" si="14"/>
        <v>750</v>
      </c>
      <c r="I64" s="57">
        <f t="shared" si="15"/>
        <v>2500</v>
      </c>
      <c r="J64" s="45"/>
      <c r="K64" s="45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spans="1:27" x14ac:dyDescent="0.3">
      <c r="B65" s="41" t="s">
        <v>2216</v>
      </c>
      <c r="D65" s="44">
        <f>I76-I75</f>
        <v>0</v>
      </c>
      <c r="E65">
        <v>0</v>
      </c>
      <c r="G65" s="42">
        <f t="shared" si="16"/>
        <v>0</v>
      </c>
      <c r="H65" s="44">
        <f t="shared" si="14"/>
        <v>0</v>
      </c>
      <c r="I65" s="57">
        <f>H65/(1-0.4)*2</f>
        <v>0</v>
      </c>
      <c r="J65" s="45"/>
      <c r="K65" s="45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spans="1:27" x14ac:dyDescent="0.3">
      <c r="B66" s="41" t="s">
        <v>2217</v>
      </c>
      <c r="D66" s="44">
        <f>3215.24</f>
        <v>3215.24</v>
      </c>
      <c r="E66">
        <v>0</v>
      </c>
      <c r="G66" s="42">
        <f t="shared" si="16"/>
        <v>3215.24</v>
      </c>
      <c r="H66" s="44">
        <f t="shared" si="14"/>
        <v>1607.62</v>
      </c>
      <c r="I66" s="57">
        <f>H66/(1-0.4)*2</f>
        <v>5358.7333333333336</v>
      </c>
      <c r="J66" s="45"/>
      <c r="K66" s="45"/>
    </row>
    <row r="68" spans="1:27" x14ac:dyDescent="0.3">
      <c r="D68" s="44"/>
      <c r="G68" s="42"/>
      <c r="H68" s="44"/>
      <c r="I68" s="45"/>
      <c r="J68" s="45"/>
      <c r="K68" s="45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spans="1:27" x14ac:dyDescent="0.3"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spans="1:27" x14ac:dyDescent="0.3">
      <c r="A70" t="s">
        <v>2218</v>
      </c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spans="1:27" x14ac:dyDescent="0.3">
      <c r="A71" t="s">
        <v>0</v>
      </c>
      <c r="B71" t="s">
        <v>1731</v>
      </c>
      <c r="G71" s="42" t="s">
        <v>1794</v>
      </c>
      <c r="H71" s="42" t="s">
        <v>2219</v>
      </c>
      <c r="I71" s="42" t="s">
        <v>1797</v>
      </c>
      <c r="J71" s="42"/>
      <c r="K71" s="42"/>
      <c r="L71" s="42" t="s">
        <v>2220</v>
      </c>
      <c r="M71" s="42" t="s">
        <v>2221</v>
      </c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</row>
    <row r="72" spans="1:27" x14ac:dyDescent="0.3">
      <c r="B72" t="s">
        <v>2222</v>
      </c>
      <c r="G72" s="44">
        <f>D119</f>
        <v>2393.41</v>
      </c>
      <c r="H72" s="47">
        <f>D93</f>
        <v>8215.9699999999993</v>
      </c>
      <c r="I72" s="44">
        <v>1615.52</v>
      </c>
      <c r="J72" s="44"/>
      <c r="K72" s="42"/>
      <c r="L72" s="42">
        <f t="shared" ref="L72:L77" si="17">199.41+136.7</f>
        <v>336.11</v>
      </c>
      <c r="M72" s="42">
        <f>SUM(G72:L72)</f>
        <v>12561.01</v>
      </c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</row>
    <row r="73" spans="1:27" x14ac:dyDescent="0.3">
      <c r="B73" t="str">
        <f>"7000"</f>
        <v>7000</v>
      </c>
      <c r="G73" s="44">
        <v>2324.89</v>
      </c>
      <c r="H73" s="44">
        <v>14017.63</v>
      </c>
      <c r="I73" s="44">
        <v>1615.52</v>
      </c>
      <c r="J73" s="44"/>
      <c r="K73" s="42"/>
      <c r="L73" s="42">
        <f t="shared" si="17"/>
        <v>336.11</v>
      </c>
      <c r="M73" s="42">
        <f>SUM(G73:L73)</f>
        <v>18294.149999999998</v>
      </c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</row>
    <row r="74" spans="1:27" x14ac:dyDescent="0.3">
      <c r="B74" t="s">
        <v>2223</v>
      </c>
      <c r="G74" s="44">
        <v>4034.32</v>
      </c>
      <c r="H74" s="44">
        <v>13825.44</v>
      </c>
      <c r="I74" s="44">
        <v>1615.52</v>
      </c>
      <c r="J74" s="44"/>
      <c r="K74" s="42"/>
      <c r="L74" s="42">
        <f t="shared" si="17"/>
        <v>336.11</v>
      </c>
      <c r="M74" s="42">
        <f>SUM(G74:L74)</f>
        <v>19811.390000000003</v>
      </c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</row>
    <row r="75" spans="1:27" x14ac:dyDescent="0.3">
      <c r="B75" t="str">
        <f>"8000"</f>
        <v>8000</v>
      </c>
      <c r="G75" s="44">
        <v>2324.89</v>
      </c>
      <c r="H75" s="44">
        <v>15027.66</v>
      </c>
      <c r="I75" s="44">
        <v>1615.52</v>
      </c>
      <c r="J75" s="44"/>
      <c r="K75" s="42"/>
      <c r="L75" s="42">
        <f t="shared" si="17"/>
        <v>336.11</v>
      </c>
      <c r="M75" s="42">
        <f t="shared" ref="M75:M81" si="18">SUM(G75:L75)</f>
        <v>19304.18</v>
      </c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</row>
    <row r="76" spans="1:27" x14ac:dyDescent="0.3">
      <c r="B76" t="s">
        <v>2224</v>
      </c>
      <c r="G76" s="44">
        <v>4034.32</v>
      </c>
      <c r="H76" s="44">
        <v>15027.66</v>
      </c>
      <c r="I76" s="44">
        <v>1615.52</v>
      </c>
      <c r="J76" s="44"/>
      <c r="K76" s="42"/>
      <c r="L76" s="42">
        <f t="shared" si="17"/>
        <v>336.11</v>
      </c>
      <c r="M76" s="42">
        <f>SUM(G76:L76)</f>
        <v>21013.61</v>
      </c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</row>
    <row r="77" spans="1:27" x14ac:dyDescent="0.3">
      <c r="B77" t="s">
        <v>2225</v>
      </c>
      <c r="G77" s="44">
        <f>D119</f>
        <v>2393.41</v>
      </c>
      <c r="H77" s="47">
        <f>D116</f>
        <v>14518.47</v>
      </c>
      <c r="I77" s="44">
        <v>1615.52</v>
      </c>
      <c r="J77" s="44"/>
      <c r="K77" s="42"/>
      <c r="L77" s="42">
        <f t="shared" si="17"/>
        <v>336.11</v>
      </c>
      <c r="M77" s="42">
        <f>SUM(G77:L77)</f>
        <v>18863.509999999998</v>
      </c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</row>
    <row r="78" spans="1:27" x14ac:dyDescent="0.3">
      <c r="B78" t="s">
        <v>1779</v>
      </c>
      <c r="G78" s="44">
        <v>4014.19</v>
      </c>
      <c r="H78" s="44">
        <v>4764.26</v>
      </c>
      <c r="I78" s="44">
        <v>0</v>
      </c>
      <c r="J78" s="44"/>
      <c r="K78" s="42"/>
      <c r="L78" s="42">
        <v>62.91</v>
      </c>
      <c r="M78" s="42">
        <f t="shared" si="18"/>
        <v>8841.36</v>
      </c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</row>
    <row r="79" spans="1:27" x14ac:dyDescent="0.3">
      <c r="B79" t="s">
        <v>1816</v>
      </c>
      <c r="G79" s="44">
        <v>0</v>
      </c>
      <c r="H79" s="44">
        <f>2*(3375+550)</f>
        <v>7850</v>
      </c>
      <c r="I79" s="44">
        <v>0</v>
      </c>
      <c r="J79" s="44"/>
      <c r="K79" s="42"/>
      <c r="L79" s="42"/>
      <c r="M79" s="42">
        <f>SUM(G79:L79)</f>
        <v>7850</v>
      </c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</row>
    <row r="80" spans="1:27" x14ac:dyDescent="0.3">
      <c r="B80" t="s">
        <v>1781</v>
      </c>
      <c r="G80" s="44">
        <v>3649.27</v>
      </c>
      <c r="H80" s="44">
        <v>15000</v>
      </c>
      <c r="I80" s="44">
        <v>0</v>
      </c>
      <c r="J80" s="44"/>
      <c r="K80" s="42"/>
      <c r="L80" s="42"/>
      <c r="M80" s="42">
        <f t="shared" si="18"/>
        <v>18649.27</v>
      </c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</row>
    <row r="81" spans="1:27" x14ac:dyDescent="0.3">
      <c r="B81" t="s">
        <v>1818</v>
      </c>
      <c r="G81" s="44">
        <v>0</v>
      </c>
      <c r="H81" s="44">
        <v>15000</v>
      </c>
      <c r="I81" s="44">
        <v>0</v>
      </c>
      <c r="J81" s="44"/>
      <c r="K81" s="42"/>
      <c r="L81" s="42"/>
      <c r="M81" s="42">
        <f t="shared" si="18"/>
        <v>15000</v>
      </c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</row>
    <row r="82" spans="1:27" x14ac:dyDescent="0.3">
      <c r="G82" s="44"/>
      <c r="H82" s="44"/>
      <c r="I82" s="44"/>
      <c r="J82" s="44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</row>
    <row r="83" spans="1:27" x14ac:dyDescent="0.3">
      <c r="A83" s="48" t="s">
        <v>2226</v>
      </c>
      <c r="B83" s="48"/>
      <c r="C83" s="48"/>
      <c r="D83" s="48"/>
      <c r="G83" s="44"/>
      <c r="H83" s="44"/>
      <c r="I83" s="44"/>
      <c r="J83" s="44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</row>
    <row r="84" spans="1:27" x14ac:dyDescent="0.3">
      <c r="G84" s="44"/>
      <c r="H84" s="44"/>
      <c r="I84" s="44"/>
      <c r="J84" s="44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</row>
    <row r="85" spans="1:27" x14ac:dyDescent="0.3">
      <c r="G85" s="44"/>
      <c r="H85" s="44"/>
      <c r="I85" s="44"/>
      <c r="J85" s="44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</row>
    <row r="86" spans="1:27" x14ac:dyDescent="0.3">
      <c r="G86" s="44"/>
      <c r="H86" s="44"/>
      <c r="I86" s="44"/>
      <c r="J86" s="44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</row>
    <row r="87" spans="1:27" x14ac:dyDescent="0.3">
      <c r="A87" s="48" t="s">
        <v>2227</v>
      </c>
      <c r="B87" s="48"/>
      <c r="C87" s="48"/>
      <c r="D87" s="48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</row>
    <row r="88" spans="1:27" x14ac:dyDescent="0.3"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spans="1:27" x14ac:dyDescent="0.3"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spans="1:27" x14ac:dyDescent="0.3"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spans="1:27" x14ac:dyDescent="0.3">
      <c r="A91" s="48" t="s">
        <v>2228</v>
      </c>
      <c r="B91" s="48"/>
      <c r="C91" s="48"/>
      <c r="D91" s="48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spans="1:27" x14ac:dyDescent="0.3">
      <c r="A92" s="49" t="s">
        <v>1965</v>
      </c>
      <c r="B92" s="50" t="s">
        <v>1966</v>
      </c>
      <c r="C92" s="50"/>
      <c r="D92" s="51">
        <v>8408.17</v>
      </c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spans="1:27" x14ac:dyDescent="0.3">
      <c r="A93" s="49" t="s">
        <v>1967</v>
      </c>
      <c r="B93" s="50" t="s">
        <v>1968</v>
      </c>
      <c r="C93" s="50"/>
      <c r="D93" s="51">
        <v>8215.9699999999993</v>
      </c>
    </row>
    <row r="95" spans="1:27" x14ac:dyDescent="0.3">
      <c r="A95" s="48" t="s">
        <v>1881</v>
      </c>
      <c r="B95" s="48"/>
      <c r="C95" s="48"/>
      <c r="D95" s="48"/>
    </row>
    <row r="96" spans="1:27" x14ac:dyDescent="0.3">
      <c r="A96" s="49" t="s">
        <v>1897</v>
      </c>
      <c r="B96" s="50" t="s">
        <v>1898</v>
      </c>
      <c r="C96" s="50"/>
      <c r="D96" s="51">
        <v>2090.9299999999998</v>
      </c>
    </row>
    <row r="97" spans="1:4" x14ac:dyDescent="0.3">
      <c r="A97" s="49" t="s">
        <v>1891</v>
      </c>
      <c r="B97" s="50" t="s">
        <v>1892</v>
      </c>
      <c r="C97" s="50"/>
      <c r="D97" s="51">
        <v>3387.27</v>
      </c>
    </row>
    <row r="98" spans="1:4" x14ac:dyDescent="0.3">
      <c r="A98" s="49" t="s">
        <v>1894</v>
      </c>
      <c r="B98" s="50" t="s">
        <v>1895</v>
      </c>
      <c r="C98" s="50"/>
      <c r="D98" s="51">
        <v>2824.95</v>
      </c>
    </row>
    <row r="100" spans="1:4" x14ac:dyDescent="0.3">
      <c r="A100" s="48" t="s">
        <v>1900</v>
      </c>
      <c r="B100" s="48"/>
      <c r="C100" s="48"/>
      <c r="D100" s="48"/>
    </row>
    <row r="101" spans="1:4" x14ac:dyDescent="0.3">
      <c r="A101" s="49" t="s">
        <v>1913</v>
      </c>
      <c r="B101" s="50" t="s">
        <v>1914</v>
      </c>
      <c r="C101" s="50"/>
      <c r="D101" s="51">
        <v>7014.03</v>
      </c>
    </row>
    <row r="102" spans="1:4" x14ac:dyDescent="0.3">
      <c r="A102" s="49" t="s">
        <v>1910</v>
      </c>
      <c r="B102" s="50" t="s">
        <v>1911</v>
      </c>
      <c r="C102" s="50"/>
      <c r="D102" s="51">
        <v>4790.12</v>
      </c>
    </row>
    <row r="103" spans="1:4" x14ac:dyDescent="0.3">
      <c r="A103" s="49" t="s">
        <v>1907</v>
      </c>
      <c r="B103" s="50" t="s">
        <v>1908</v>
      </c>
      <c r="C103" s="50"/>
      <c r="D103" s="51">
        <v>4622.88</v>
      </c>
    </row>
    <row r="104" spans="1:4" x14ac:dyDescent="0.3">
      <c r="A104" s="49" t="s">
        <v>1916</v>
      </c>
      <c r="B104" s="50" t="s">
        <v>1917</v>
      </c>
      <c r="C104" s="50"/>
      <c r="D104" s="51">
        <v>4377.03</v>
      </c>
    </row>
    <row r="105" spans="1:4" x14ac:dyDescent="0.3">
      <c r="A105" s="52"/>
      <c r="B105" s="53"/>
      <c r="C105" s="53"/>
      <c r="D105" s="54"/>
    </row>
    <row r="106" spans="1:4" x14ac:dyDescent="0.3">
      <c r="A106" s="48" t="s">
        <v>1919</v>
      </c>
      <c r="B106" s="48"/>
      <c r="C106" s="48"/>
      <c r="D106" s="48"/>
    </row>
    <row r="107" spans="1:4" x14ac:dyDescent="0.3">
      <c r="A107" s="49" t="s">
        <v>1929</v>
      </c>
      <c r="B107" s="50" t="s">
        <v>1930</v>
      </c>
      <c r="C107" s="50"/>
      <c r="D107" s="51">
        <v>7963.06</v>
      </c>
    </row>
    <row r="108" spans="1:4" x14ac:dyDescent="0.3">
      <c r="A108" s="49" t="s">
        <v>1923</v>
      </c>
      <c r="B108" s="50" t="s">
        <v>1924</v>
      </c>
      <c r="C108" s="50"/>
      <c r="D108" s="51">
        <v>7030.63</v>
      </c>
    </row>
    <row r="109" spans="1:4" x14ac:dyDescent="0.3">
      <c r="A109" s="49" t="s">
        <v>1926</v>
      </c>
      <c r="B109" s="50" t="s">
        <v>1927</v>
      </c>
      <c r="C109" s="50"/>
      <c r="D109" s="51">
        <v>7030.63</v>
      </c>
    </row>
    <row r="111" spans="1:4" x14ac:dyDescent="0.3">
      <c r="A111" s="48" t="s">
        <v>1969</v>
      </c>
      <c r="B111" s="48"/>
      <c r="C111" s="48"/>
      <c r="D111" s="48"/>
    </row>
    <row r="112" spans="1:4" x14ac:dyDescent="0.3">
      <c r="A112" s="49" t="s">
        <v>1970</v>
      </c>
      <c r="B112" s="50" t="s">
        <v>1971</v>
      </c>
      <c r="C112" s="50"/>
      <c r="D112" s="51">
        <v>6573.06</v>
      </c>
    </row>
    <row r="114" spans="1:4" x14ac:dyDescent="0.3">
      <c r="A114" s="48" t="s">
        <v>2229</v>
      </c>
      <c r="B114" s="48"/>
      <c r="C114" s="48"/>
      <c r="D114" s="48"/>
    </row>
    <row r="115" spans="1:4" x14ac:dyDescent="0.3">
      <c r="A115" s="49" t="s">
        <v>1948</v>
      </c>
      <c r="B115" s="50" t="s">
        <v>1949</v>
      </c>
      <c r="C115" s="50"/>
      <c r="D115" s="51">
        <v>14729.99</v>
      </c>
    </row>
    <row r="116" spans="1:4" x14ac:dyDescent="0.3">
      <c r="A116" s="49" t="s">
        <v>1950</v>
      </c>
      <c r="B116" s="50" t="s">
        <v>1951</v>
      </c>
      <c r="C116" s="50"/>
      <c r="D116" s="51">
        <v>14518.47</v>
      </c>
    </row>
    <row r="118" spans="1:4" x14ac:dyDescent="0.3">
      <c r="A118" s="48" t="s">
        <v>2230</v>
      </c>
      <c r="B118" s="48"/>
      <c r="C118" s="48"/>
      <c r="D118" s="48"/>
    </row>
    <row r="119" spans="1:4" x14ac:dyDescent="0.3">
      <c r="A119" s="49" t="s">
        <v>2231</v>
      </c>
      <c r="B119" s="50" t="s">
        <v>1937</v>
      </c>
      <c r="C119" s="50"/>
      <c r="D119" s="51">
        <v>2393.41</v>
      </c>
    </row>
    <row r="120" spans="1:4" x14ac:dyDescent="0.3">
      <c r="A120" s="49" t="s">
        <v>2232</v>
      </c>
      <c r="B120" s="50" t="s">
        <v>1934</v>
      </c>
      <c r="C120" s="50"/>
      <c r="D120" s="51">
        <v>1218.0899999999999</v>
      </c>
    </row>
    <row r="122" spans="1:4" x14ac:dyDescent="0.3">
      <c r="A122" s="48" t="s">
        <v>1972</v>
      </c>
      <c r="B122" s="48"/>
      <c r="C122" s="48"/>
      <c r="D122" s="48"/>
    </row>
    <row r="123" spans="1:4" x14ac:dyDescent="0.3">
      <c r="A123" s="49" t="s">
        <v>2233</v>
      </c>
      <c r="B123" s="50" t="s">
        <v>2234</v>
      </c>
      <c r="C123" s="50"/>
      <c r="D123" s="51">
        <v>696.48</v>
      </c>
    </row>
    <row r="124" spans="1:4" x14ac:dyDescent="0.3">
      <c r="A124" s="49" t="s">
        <v>1975</v>
      </c>
      <c r="B124" s="50" t="s">
        <v>1976</v>
      </c>
      <c r="C124" s="50"/>
      <c r="D124" s="51">
        <f>98.44*2</f>
        <v>196.88</v>
      </c>
    </row>
    <row r="125" spans="1:4" x14ac:dyDescent="0.3">
      <c r="A125" s="49" t="s">
        <v>1977</v>
      </c>
      <c r="B125" s="50" t="s">
        <v>1978</v>
      </c>
      <c r="C125" s="50"/>
      <c r="D125" s="51">
        <f>126*2</f>
        <v>252</v>
      </c>
    </row>
    <row r="127" spans="1:4" x14ac:dyDescent="0.3">
      <c r="A127" s="48" t="s">
        <v>1874</v>
      </c>
      <c r="B127" s="48"/>
      <c r="C127" s="48"/>
      <c r="D127" s="48"/>
    </row>
    <row r="128" spans="1:4" x14ac:dyDescent="0.3">
      <c r="A128" s="49" t="s">
        <v>2027</v>
      </c>
      <c r="B128" s="50" t="s">
        <v>1842</v>
      </c>
      <c r="D128">
        <v>598.53</v>
      </c>
    </row>
    <row r="130" spans="2:26" x14ac:dyDescent="0.3">
      <c r="B130" t="s">
        <v>1761</v>
      </c>
      <c r="D130" s="44">
        <v>392.03</v>
      </c>
      <c r="E130">
        <v>0</v>
      </c>
      <c r="G130" s="42">
        <f>SUM(D130:F130)</f>
        <v>392.03</v>
      </c>
      <c r="H130" s="44">
        <f>G130*0.5</f>
        <v>196.01499999999999</v>
      </c>
      <c r="I130" s="45">
        <f>H130/(1-0.4)*2</f>
        <v>653.38333333333333</v>
      </c>
      <c r="J130" s="45"/>
      <c r="K130" s="45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39750-B892-4FEB-BB6C-4652EFE653D7}">
  <dimension ref="A1:Y66"/>
  <sheetViews>
    <sheetView zoomScale="69" zoomScaleNormal="69" workbookViewId="0">
      <selection activeCell="K28" sqref="K28"/>
    </sheetView>
  </sheetViews>
  <sheetFormatPr defaultColWidth="11" defaultRowHeight="15.75" customHeight="1" x14ac:dyDescent="0.3"/>
  <cols>
    <col min="1" max="1" width="23.296875" customWidth="1"/>
    <col min="2" max="2" width="12.3984375" customWidth="1"/>
    <col min="3" max="3" width="13.09765625" bestFit="1" customWidth="1"/>
    <col min="4" max="4" width="13.69921875" customWidth="1"/>
    <col min="5" max="6" width="13.09765625" bestFit="1" customWidth="1"/>
    <col min="7" max="7" width="12" bestFit="1" customWidth="1"/>
    <col min="8" max="9" width="12.09765625" bestFit="1" customWidth="1"/>
    <col min="10" max="10" width="16.8984375" customWidth="1"/>
    <col min="11" max="11" width="42.09765625" bestFit="1" customWidth="1"/>
    <col min="12" max="12" width="14.09765625" customWidth="1"/>
    <col min="13" max="13" width="13.3984375" customWidth="1"/>
    <col min="14" max="14" width="12.3984375" customWidth="1"/>
    <col min="15" max="15" width="24.8984375" customWidth="1"/>
    <col min="16" max="17" width="2.796875" customWidth="1"/>
    <col min="19" max="19" width="11.3984375" hidden="1" customWidth="1"/>
    <col min="20" max="23" width="0" hidden="1" customWidth="1"/>
    <col min="24" max="24" width="11.3984375" hidden="1" customWidth="1"/>
    <col min="25" max="25" width="12.09765625" hidden="1" customWidth="1"/>
    <col min="26" max="26" width="11.3984375" bestFit="1" customWidth="1"/>
  </cols>
  <sheetData>
    <row r="1" spans="1:25" ht="23.4" x14ac:dyDescent="0.45">
      <c r="A1" s="156" t="s">
        <v>4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T1" s="31"/>
      <c r="U1" s="31"/>
      <c r="V1" s="31"/>
      <c r="W1" s="31"/>
    </row>
    <row r="2" spans="1:25" ht="15.6" x14ac:dyDescent="0.3">
      <c r="B2" t="s">
        <v>10</v>
      </c>
      <c r="C2" t="s">
        <v>11</v>
      </c>
    </row>
    <row r="3" spans="1:25" ht="15.6" x14ac:dyDescent="0.3">
      <c r="A3" s="71" t="s">
        <v>17</v>
      </c>
      <c r="B3" s="11" t="s">
        <v>18</v>
      </c>
      <c r="C3" s="4"/>
      <c r="D3" s="4">
        <v>600</v>
      </c>
      <c r="E3" s="4">
        <v>800</v>
      </c>
      <c r="F3" s="4">
        <v>1000</v>
      </c>
      <c r="G3" s="4">
        <v>1200</v>
      </c>
      <c r="H3" s="4">
        <v>1400</v>
      </c>
      <c r="I3" s="4">
        <v>1600</v>
      </c>
      <c r="K3" s="154" t="s">
        <v>5</v>
      </c>
      <c r="L3" s="155"/>
      <c r="O3" s="151" t="s">
        <v>20</v>
      </c>
      <c r="P3" s="151"/>
      <c r="Q3" s="151"/>
      <c r="S3" s="4" t="s">
        <v>21</v>
      </c>
      <c r="T3" s="4">
        <v>600</v>
      </c>
      <c r="U3" s="4">
        <v>800</v>
      </c>
      <c r="V3" s="4">
        <v>1000</v>
      </c>
      <c r="W3" s="4">
        <v>1200</v>
      </c>
      <c r="X3" s="4">
        <v>1400</v>
      </c>
      <c r="Y3" s="4">
        <v>1600</v>
      </c>
    </row>
    <row r="4" spans="1:25" ht="15.6" x14ac:dyDescent="0.3">
      <c r="A4" t="s">
        <v>26</v>
      </c>
      <c r="B4" s="1">
        <v>35398.800000000003</v>
      </c>
      <c r="C4" s="2">
        <v>200</v>
      </c>
      <c r="D4" s="1">
        <f>SUM($B$4+T4)</f>
        <v>35398.800000000003</v>
      </c>
      <c r="E4" s="1">
        <f t="shared" ref="E4:G8" si="0">SUM($B$4+U4)</f>
        <v>35398.800000000003</v>
      </c>
      <c r="F4" s="1">
        <f t="shared" si="0"/>
        <v>35398.800000000003</v>
      </c>
      <c r="G4" s="1">
        <f t="shared" si="0"/>
        <v>35398.800000000003</v>
      </c>
      <c r="H4" s="33" t="s">
        <v>27</v>
      </c>
      <c r="I4" s="34" t="s">
        <v>27</v>
      </c>
      <c r="K4" s="149" t="s">
        <v>12</v>
      </c>
      <c r="L4" s="150"/>
      <c r="O4" s="7" t="s">
        <v>29</v>
      </c>
      <c r="P4" s="10"/>
      <c r="Q4" s="7" t="s">
        <v>30</v>
      </c>
      <c r="S4" s="2">
        <v>200</v>
      </c>
      <c r="X4">
        <v>1591.55</v>
      </c>
      <c r="Y4">
        <v>3291.97</v>
      </c>
    </row>
    <row r="5" spans="1:25" ht="15.6" x14ac:dyDescent="0.3">
      <c r="A5" s="6" t="s">
        <v>35</v>
      </c>
      <c r="C5" s="2">
        <v>400</v>
      </c>
      <c r="D5" s="1">
        <f>SUM($B$4+T5)</f>
        <v>37373.710000000006</v>
      </c>
      <c r="E5" s="1">
        <f t="shared" si="0"/>
        <v>37373.710000000006</v>
      </c>
      <c r="F5" s="1">
        <f t="shared" si="0"/>
        <v>37373.710000000006</v>
      </c>
      <c r="G5" s="1">
        <f t="shared" si="0"/>
        <v>37373.710000000006</v>
      </c>
      <c r="H5" s="35" t="s">
        <v>27</v>
      </c>
      <c r="I5" s="35" t="s">
        <v>27</v>
      </c>
      <c r="K5" s="22" t="s">
        <v>19</v>
      </c>
      <c r="L5" s="20">
        <v>0</v>
      </c>
      <c r="O5" s="7" t="s">
        <v>37</v>
      </c>
      <c r="P5" s="8"/>
      <c r="Q5" s="152" t="s">
        <v>38</v>
      </c>
      <c r="S5" s="2">
        <v>400</v>
      </c>
      <c r="T5" s="3">
        <v>1974.91</v>
      </c>
      <c r="U5" s="3">
        <v>1974.91</v>
      </c>
      <c r="V5" s="3">
        <v>1974.91</v>
      </c>
      <c r="W5" s="1">
        <v>1974.91</v>
      </c>
      <c r="X5" s="5">
        <f>SUM(1974.91+1591.95)</f>
        <v>3566.86</v>
      </c>
      <c r="Y5" s="5">
        <f>SUM(3291.97+1974.91)</f>
        <v>5266.88</v>
      </c>
    </row>
    <row r="6" spans="1:25" ht="15.6" x14ac:dyDescent="0.3">
      <c r="C6" s="2">
        <v>600</v>
      </c>
      <c r="D6" s="1">
        <f>SUM($B$4+T6)</f>
        <v>39353.550000000003</v>
      </c>
      <c r="E6" s="1">
        <f t="shared" si="0"/>
        <v>39353.550000000003</v>
      </c>
      <c r="F6" s="1">
        <f t="shared" si="0"/>
        <v>39353.550000000003</v>
      </c>
      <c r="G6" s="1">
        <f t="shared" si="0"/>
        <v>39353.550000000003</v>
      </c>
      <c r="H6" s="35" t="s">
        <v>27</v>
      </c>
      <c r="I6" s="35" t="s">
        <v>27</v>
      </c>
      <c r="K6" s="22" t="s">
        <v>28</v>
      </c>
      <c r="L6" s="21">
        <v>251.81</v>
      </c>
      <c r="O6" s="7" t="s">
        <v>44</v>
      </c>
      <c r="P6" s="9"/>
      <c r="Q6" s="153"/>
      <c r="S6" s="2">
        <v>600</v>
      </c>
      <c r="T6" s="3">
        <v>3954.75</v>
      </c>
      <c r="U6" s="3">
        <v>3954.75</v>
      </c>
      <c r="V6" s="3">
        <v>3954.75</v>
      </c>
      <c r="W6" s="3">
        <v>3954.75</v>
      </c>
      <c r="X6" s="5">
        <f>SUM(3954.75+1591.55)</f>
        <v>5546.3</v>
      </c>
      <c r="Y6" s="5">
        <f>SUM(3291.97+3954.75)</f>
        <v>7246.7199999999993</v>
      </c>
    </row>
    <row r="7" spans="1:25" ht="15.6" x14ac:dyDescent="0.3">
      <c r="C7" s="2">
        <v>800</v>
      </c>
      <c r="D7" s="1">
        <f>SUM($B$4+T7)</f>
        <v>41392.670000000006</v>
      </c>
      <c r="E7" s="1">
        <f t="shared" si="0"/>
        <v>41392.670000000006</v>
      </c>
      <c r="F7" s="1">
        <f t="shared" si="0"/>
        <v>41392.670000000006</v>
      </c>
      <c r="G7" s="1">
        <f t="shared" si="0"/>
        <v>41392.670000000006</v>
      </c>
      <c r="H7" s="35" t="s">
        <v>27</v>
      </c>
      <c r="I7" s="35" t="s">
        <v>27</v>
      </c>
      <c r="K7" s="23" t="s">
        <v>36</v>
      </c>
      <c r="L7" s="18">
        <v>493.73</v>
      </c>
      <c r="O7" s="7" t="s">
        <v>49</v>
      </c>
      <c r="P7" s="13"/>
      <c r="Q7" s="7" t="s">
        <v>50</v>
      </c>
      <c r="S7" s="2">
        <v>800</v>
      </c>
      <c r="T7" s="3">
        <v>5993.87</v>
      </c>
      <c r="U7" s="1">
        <v>5993.87</v>
      </c>
      <c r="V7" s="1">
        <v>5993.87</v>
      </c>
      <c r="W7" s="1">
        <v>5993.87</v>
      </c>
      <c r="X7" s="5">
        <f>SUM(5993.87+1591.55)</f>
        <v>7585.42</v>
      </c>
      <c r="Y7" s="5">
        <f>SUM(5993.87+3291.97)</f>
        <v>9285.84</v>
      </c>
    </row>
    <row r="8" spans="1:25" ht="15.6" x14ac:dyDescent="0.3">
      <c r="C8" s="2">
        <v>1000</v>
      </c>
      <c r="D8" s="1">
        <f>SUM($B$4+T8)</f>
        <v>43426.83</v>
      </c>
      <c r="E8" s="1">
        <f t="shared" si="0"/>
        <v>43426.83</v>
      </c>
      <c r="F8" s="1">
        <f t="shared" si="0"/>
        <v>43426.83</v>
      </c>
      <c r="G8" s="1">
        <f t="shared" si="0"/>
        <v>43426.83</v>
      </c>
      <c r="H8" s="35" t="s">
        <v>27</v>
      </c>
      <c r="I8" s="35" t="s">
        <v>27</v>
      </c>
      <c r="K8" s="149" t="s">
        <v>43</v>
      </c>
      <c r="L8" s="150"/>
      <c r="O8" s="7" t="s">
        <v>55</v>
      </c>
      <c r="P8" s="14"/>
      <c r="Q8" s="7" t="s">
        <v>56</v>
      </c>
      <c r="S8" s="2">
        <v>1000</v>
      </c>
      <c r="T8" s="3">
        <v>8028.03</v>
      </c>
      <c r="U8" s="1">
        <v>8028.03</v>
      </c>
      <c r="V8" s="1">
        <v>8028.03</v>
      </c>
      <c r="W8" s="1">
        <v>8028.03</v>
      </c>
      <c r="X8" s="5">
        <v>9619.58</v>
      </c>
      <c r="Y8" s="5">
        <v>11320</v>
      </c>
    </row>
    <row r="9" spans="1:25" ht="15.6" x14ac:dyDescent="0.3">
      <c r="I9" s="1"/>
      <c r="K9" s="22" t="s">
        <v>19</v>
      </c>
      <c r="L9" s="20">
        <v>0</v>
      </c>
      <c r="O9" s="7" t="s">
        <v>61</v>
      </c>
      <c r="P9" s="15"/>
      <c r="Q9" s="7" t="s">
        <v>62</v>
      </c>
    </row>
    <row r="10" spans="1:25" ht="15.6" x14ac:dyDescent="0.3">
      <c r="A10" s="4" t="s">
        <v>53</v>
      </c>
      <c r="B10" s="11" t="s">
        <v>67</v>
      </c>
      <c r="C10" s="4"/>
      <c r="D10" s="4">
        <v>600</v>
      </c>
      <c r="E10" s="4">
        <v>800</v>
      </c>
      <c r="F10" s="4">
        <v>1000</v>
      </c>
      <c r="G10" s="4">
        <v>1200</v>
      </c>
      <c r="H10" s="4">
        <v>1400</v>
      </c>
      <c r="I10" s="4">
        <v>1600</v>
      </c>
      <c r="K10" s="22" t="s">
        <v>28</v>
      </c>
      <c r="L10" s="21">
        <v>508.53</v>
      </c>
      <c r="O10" s="7" t="s">
        <v>68</v>
      </c>
      <c r="P10" s="17"/>
      <c r="Q10" s="7" t="s">
        <v>69</v>
      </c>
    </row>
    <row r="11" spans="1:25" ht="15.6" x14ac:dyDescent="0.3">
      <c r="A11" t="s">
        <v>26</v>
      </c>
      <c r="B11" s="5">
        <v>39326.43</v>
      </c>
      <c r="C11" s="2">
        <v>200</v>
      </c>
      <c r="D11" s="5">
        <f>SUM($B$11+T4)</f>
        <v>39326.43</v>
      </c>
      <c r="E11" s="5">
        <f t="shared" ref="E11:I15" si="1">SUM($B$11+U4)</f>
        <v>39326.43</v>
      </c>
      <c r="F11" s="5">
        <f t="shared" si="1"/>
        <v>39326.43</v>
      </c>
      <c r="G11" s="5">
        <f t="shared" si="1"/>
        <v>39326.43</v>
      </c>
      <c r="H11" s="5">
        <f t="shared" si="1"/>
        <v>40917.980000000003</v>
      </c>
      <c r="I11" s="5">
        <f t="shared" si="1"/>
        <v>42618.400000000001</v>
      </c>
      <c r="K11" s="23" t="s">
        <v>36</v>
      </c>
      <c r="L11" s="19">
        <v>1214.5899999999999</v>
      </c>
      <c r="O11" s="146" t="s">
        <v>74</v>
      </c>
      <c r="P11" s="147"/>
      <c r="Q11" s="148"/>
    </row>
    <row r="12" spans="1:25" ht="15.6" x14ac:dyDescent="0.3">
      <c r="A12" s="6" t="s">
        <v>35</v>
      </c>
      <c r="C12" s="2">
        <v>400</v>
      </c>
      <c r="D12" s="5">
        <f>SUM($B$11+T5)</f>
        <v>41301.340000000004</v>
      </c>
      <c r="E12" s="5">
        <f t="shared" si="1"/>
        <v>41301.340000000004</v>
      </c>
      <c r="F12" s="5">
        <f t="shared" si="1"/>
        <v>41301.340000000004</v>
      </c>
      <c r="G12" s="5">
        <f t="shared" si="1"/>
        <v>41301.340000000004</v>
      </c>
      <c r="H12" s="5">
        <f t="shared" si="1"/>
        <v>42893.29</v>
      </c>
      <c r="I12" s="5">
        <f t="shared" si="1"/>
        <v>44593.31</v>
      </c>
    </row>
    <row r="13" spans="1:25" ht="15.6" x14ac:dyDescent="0.3">
      <c r="C13" s="2">
        <v>600</v>
      </c>
      <c r="D13" s="5">
        <f>SUM($B$11+T6)</f>
        <v>43281.18</v>
      </c>
      <c r="E13" s="5">
        <f t="shared" si="1"/>
        <v>43281.18</v>
      </c>
      <c r="F13" s="5">
        <f t="shared" si="1"/>
        <v>43281.18</v>
      </c>
      <c r="G13" s="5">
        <f t="shared" si="1"/>
        <v>43281.18</v>
      </c>
      <c r="H13" s="5">
        <f t="shared" si="1"/>
        <v>44872.73</v>
      </c>
      <c r="I13" s="5">
        <f t="shared" si="1"/>
        <v>46573.15</v>
      </c>
      <c r="O13" s="12" t="s">
        <v>83</v>
      </c>
    </row>
    <row r="14" spans="1:25" ht="15.6" x14ac:dyDescent="0.3">
      <c r="C14" s="2">
        <v>800</v>
      </c>
      <c r="D14" s="5">
        <f>SUM($B$11+T7)</f>
        <v>45320.3</v>
      </c>
      <c r="E14" s="5">
        <f t="shared" si="1"/>
        <v>45320.3</v>
      </c>
      <c r="F14" s="5">
        <f t="shared" si="1"/>
        <v>45320.3</v>
      </c>
      <c r="G14" s="5">
        <f t="shared" si="1"/>
        <v>45320.3</v>
      </c>
      <c r="H14" s="5">
        <f t="shared" si="1"/>
        <v>46911.85</v>
      </c>
      <c r="I14" s="5">
        <f t="shared" si="1"/>
        <v>48612.270000000004</v>
      </c>
      <c r="K14" s="157" t="s">
        <v>77</v>
      </c>
      <c r="L14" s="158"/>
      <c r="M14" s="28" t="s">
        <v>78</v>
      </c>
    </row>
    <row r="15" spans="1:25" ht="15.6" x14ac:dyDescent="0.3">
      <c r="C15" s="2">
        <v>1000</v>
      </c>
      <c r="D15" s="5">
        <f>SUM($B$11+T8)</f>
        <v>47354.46</v>
      </c>
      <c r="E15" s="5">
        <f t="shared" si="1"/>
        <v>47354.46</v>
      </c>
      <c r="F15" s="5">
        <f t="shared" si="1"/>
        <v>47354.46</v>
      </c>
      <c r="G15" s="5">
        <f t="shared" si="1"/>
        <v>47354.46</v>
      </c>
      <c r="H15" s="5">
        <f t="shared" si="1"/>
        <v>48946.01</v>
      </c>
      <c r="I15" s="5">
        <f t="shared" si="1"/>
        <v>50646.43</v>
      </c>
      <c r="K15" s="25" t="s">
        <v>81</v>
      </c>
      <c r="L15" s="26">
        <v>790</v>
      </c>
      <c r="M15" s="29" t="s">
        <v>82</v>
      </c>
    </row>
    <row r="16" spans="1:25" ht="15.75" customHeight="1" x14ac:dyDescent="0.3">
      <c r="F16" s="5"/>
      <c r="K16" s="29" t="s">
        <v>86</v>
      </c>
      <c r="L16" s="30">
        <v>543.12</v>
      </c>
      <c r="M16" s="29" t="s">
        <v>87</v>
      </c>
    </row>
    <row r="17" spans="1:19" ht="15.6" x14ac:dyDescent="0.3">
      <c r="A17" s="71" t="s">
        <v>17</v>
      </c>
      <c r="B17" s="11" t="s">
        <v>97</v>
      </c>
      <c r="C17" s="4"/>
      <c r="D17" s="4">
        <v>600</v>
      </c>
      <c r="E17" s="4">
        <v>800</v>
      </c>
      <c r="F17" s="4">
        <v>1000</v>
      </c>
      <c r="G17" s="4">
        <v>1200</v>
      </c>
      <c r="H17" s="4">
        <v>1400</v>
      </c>
      <c r="I17" s="4">
        <v>1600</v>
      </c>
      <c r="K17" s="29" t="s">
        <v>91</v>
      </c>
      <c r="L17" s="27">
        <v>997.33</v>
      </c>
      <c r="M17" s="29" t="s">
        <v>87</v>
      </c>
    </row>
    <row r="18" spans="1:19" ht="15.6" x14ac:dyDescent="0.3">
      <c r="A18" t="s">
        <v>102</v>
      </c>
      <c r="B18" s="5">
        <v>33594.720000000001</v>
      </c>
      <c r="C18" s="2">
        <v>200</v>
      </c>
      <c r="D18" s="1">
        <f>SUM($B$18+T4)</f>
        <v>33594.720000000001</v>
      </c>
      <c r="E18" s="1">
        <f t="shared" ref="E18:G22" si="2">SUM($B$18+U4)</f>
        <v>33594.720000000001</v>
      </c>
      <c r="F18" s="1">
        <f t="shared" si="2"/>
        <v>33594.720000000001</v>
      </c>
      <c r="G18" s="1">
        <f t="shared" si="2"/>
        <v>33594.720000000001</v>
      </c>
      <c r="H18" s="33" t="s">
        <v>27</v>
      </c>
      <c r="I18" s="34" t="s">
        <v>27</v>
      </c>
      <c r="K18" s="25" t="s">
        <v>94</v>
      </c>
      <c r="L18" s="27">
        <v>0</v>
      </c>
      <c r="M18" s="24"/>
    </row>
    <row r="19" spans="1:19" ht="15.6" x14ac:dyDescent="0.3">
      <c r="A19" s="6" t="s">
        <v>35</v>
      </c>
      <c r="C19" s="2">
        <v>400</v>
      </c>
      <c r="D19" s="1">
        <f>SUM($B$18+T5)</f>
        <v>35569.630000000005</v>
      </c>
      <c r="E19" s="1">
        <f t="shared" si="2"/>
        <v>35569.630000000005</v>
      </c>
      <c r="F19" s="1">
        <f t="shared" si="2"/>
        <v>35569.630000000005</v>
      </c>
      <c r="G19" s="1">
        <f t="shared" si="2"/>
        <v>35569.630000000005</v>
      </c>
      <c r="H19" s="35" t="s">
        <v>27</v>
      </c>
      <c r="I19" s="35" t="s">
        <v>27</v>
      </c>
      <c r="K19" s="25" t="s">
        <v>98</v>
      </c>
      <c r="L19" s="27">
        <v>2105.9199999999983</v>
      </c>
      <c r="M19" s="24" t="s">
        <v>99</v>
      </c>
    </row>
    <row r="20" spans="1:19" ht="15.6" x14ac:dyDescent="0.3">
      <c r="C20" s="2">
        <v>600</v>
      </c>
      <c r="D20" s="1">
        <f>SUM($B$18+T6)</f>
        <v>37549.47</v>
      </c>
      <c r="E20" s="1">
        <f t="shared" si="2"/>
        <v>37549.47</v>
      </c>
      <c r="F20" s="1">
        <f t="shared" si="2"/>
        <v>37549.47</v>
      </c>
      <c r="G20" s="1">
        <f t="shared" si="2"/>
        <v>37549.47</v>
      </c>
      <c r="H20" s="35" t="s">
        <v>27</v>
      </c>
      <c r="I20" s="35" t="s">
        <v>27</v>
      </c>
      <c r="K20" s="25" t="s">
        <v>103</v>
      </c>
      <c r="L20" s="27">
        <v>770.21333333333325</v>
      </c>
      <c r="M20" s="24" t="s">
        <v>99</v>
      </c>
    </row>
    <row r="21" spans="1:19" ht="15.6" x14ac:dyDescent="0.3">
      <c r="C21" s="2">
        <v>800</v>
      </c>
      <c r="D21" s="1">
        <f>SUM($B$18+T7)</f>
        <v>39588.590000000004</v>
      </c>
      <c r="E21" s="1">
        <f t="shared" si="2"/>
        <v>39588.590000000004</v>
      </c>
      <c r="F21" s="1">
        <f t="shared" si="2"/>
        <v>39588.590000000004</v>
      </c>
      <c r="G21" s="1">
        <f t="shared" si="2"/>
        <v>39588.590000000004</v>
      </c>
      <c r="H21" s="35" t="s">
        <v>27</v>
      </c>
      <c r="I21" s="35" t="s">
        <v>27</v>
      </c>
      <c r="K21" s="25" t="s">
        <v>106</v>
      </c>
      <c r="L21" s="27">
        <v>3393.2066666666669</v>
      </c>
      <c r="M21" s="24" t="s">
        <v>107</v>
      </c>
      <c r="N21" s="3"/>
      <c r="O21" s="1"/>
      <c r="R21" s="5"/>
      <c r="S21" s="5"/>
    </row>
    <row r="22" spans="1:19" ht="15.6" x14ac:dyDescent="0.3">
      <c r="C22" s="2">
        <v>1000</v>
      </c>
      <c r="D22" s="1">
        <f>SUM($B$18+T8)</f>
        <v>41622.75</v>
      </c>
      <c r="E22" s="1">
        <f t="shared" si="2"/>
        <v>41622.75</v>
      </c>
      <c r="F22" s="1">
        <f t="shared" si="2"/>
        <v>41622.75</v>
      </c>
      <c r="G22" s="1">
        <f t="shared" si="2"/>
        <v>41622.75</v>
      </c>
      <c r="H22" s="35" t="s">
        <v>27</v>
      </c>
      <c r="I22" s="35" t="s">
        <v>27</v>
      </c>
      <c r="K22" s="25" t="s">
        <v>110</v>
      </c>
      <c r="L22" s="39"/>
      <c r="M22" s="40"/>
      <c r="N22" s="3"/>
      <c r="O22" s="3"/>
      <c r="R22" s="5"/>
      <c r="S22" s="5"/>
    </row>
    <row r="23" spans="1:19" ht="15.6" x14ac:dyDescent="0.3">
      <c r="G23" s="1"/>
      <c r="K23" s="25" t="s">
        <v>113</v>
      </c>
      <c r="L23" s="27">
        <v>1344.62222222222</v>
      </c>
      <c r="M23" s="24" t="s">
        <v>114</v>
      </c>
      <c r="N23" s="3"/>
      <c r="O23" s="3"/>
      <c r="R23" s="5"/>
      <c r="S23" s="5"/>
    </row>
    <row r="24" spans="1:19" ht="15.75" customHeight="1" x14ac:dyDescent="0.3">
      <c r="A24" s="4" t="s">
        <v>53</v>
      </c>
      <c r="B24" s="11" t="s">
        <v>119</v>
      </c>
      <c r="C24" s="4"/>
      <c r="D24" s="4">
        <v>600</v>
      </c>
      <c r="E24" s="4">
        <v>800</v>
      </c>
      <c r="F24" s="4">
        <v>1000</v>
      </c>
      <c r="G24" s="4">
        <v>1200</v>
      </c>
      <c r="H24" s="4">
        <v>1400</v>
      </c>
      <c r="I24" s="4">
        <v>1600</v>
      </c>
    </row>
    <row r="25" spans="1:19" ht="15.6" x14ac:dyDescent="0.3">
      <c r="A25" t="s">
        <v>102</v>
      </c>
      <c r="B25" s="5">
        <v>38315.519999999997</v>
      </c>
      <c r="C25" s="2">
        <v>200</v>
      </c>
      <c r="D25" s="1">
        <f>SUM($B$25+T4)</f>
        <v>38315.519999999997</v>
      </c>
      <c r="E25" s="1">
        <f t="shared" ref="E25:I29" si="3">SUM($B$25+U4)</f>
        <v>38315.519999999997</v>
      </c>
      <c r="F25" s="1">
        <f t="shared" si="3"/>
        <v>38315.519999999997</v>
      </c>
      <c r="G25" s="1">
        <f t="shared" si="3"/>
        <v>38315.519999999997</v>
      </c>
      <c r="H25" s="1">
        <f t="shared" si="3"/>
        <v>39907.07</v>
      </c>
      <c r="I25" s="1">
        <f t="shared" si="3"/>
        <v>41607.49</v>
      </c>
      <c r="L25" s="38"/>
    </row>
    <row r="26" spans="1:19" ht="15.6" x14ac:dyDescent="0.3">
      <c r="A26" s="6" t="s">
        <v>35</v>
      </c>
      <c r="C26" s="2">
        <v>400</v>
      </c>
      <c r="D26" s="1">
        <f>SUM($B$25+T5)</f>
        <v>40290.43</v>
      </c>
      <c r="E26" s="1">
        <f t="shared" si="3"/>
        <v>40290.43</v>
      </c>
      <c r="F26" s="1">
        <f t="shared" si="3"/>
        <v>40290.43</v>
      </c>
      <c r="G26" s="1">
        <f t="shared" si="3"/>
        <v>40290.43</v>
      </c>
      <c r="H26" s="1">
        <f t="shared" si="3"/>
        <v>41882.379999999997</v>
      </c>
      <c r="I26" s="1">
        <f t="shared" si="3"/>
        <v>43582.399999999994</v>
      </c>
    </row>
    <row r="27" spans="1:19" ht="15.6" x14ac:dyDescent="0.3">
      <c r="C27" s="2">
        <v>600</v>
      </c>
      <c r="D27" s="1">
        <f>SUM($B$25+T6)</f>
        <v>42270.27</v>
      </c>
      <c r="E27" s="1">
        <f t="shared" si="3"/>
        <v>42270.27</v>
      </c>
      <c r="F27" s="1">
        <f t="shared" si="3"/>
        <v>42270.27</v>
      </c>
      <c r="G27" s="1">
        <f t="shared" si="3"/>
        <v>42270.27</v>
      </c>
      <c r="H27" s="1">
        <f t="shared" si="3"/>
        <v>43861.82</v>
      </c>
      <c r="I27" s="1">
        <f t="shared" si="3"/>
        <v>45562.239999999998</v>
      </c>
    </row>
    <row r="28" spans="1:19" ht="15.6" x14ac:dyDescent="0.3">
      <c r="C28" s="2">
        <v>800</v>
      </c>
      <c r="D28" s="1">
        <f>SUM($B$25+T7)</f>
        <v>44309.39</v>
      </c>
      <c r="E28" s="1">
        <f t="shared" si="3"/>
        <v>44309.39</v>
      </c>
      <c r="F28" s="1">
        <f t="shared" si="3"/>
        <v>44309.39</v>
      </c>
      <c r="G28" s="1">
        <f t="shared" si="3"/>
        <v>44309.39</v>
      </c>
      <c r="H28" s="1">
        <f t="shared" si="3"/>
        <v>45900.939999999995</v>
      </c>
      <c r="I28" s="1">
        <f t="shared" si="3"/>
        <v>47601.36</v>
      </c>
    </row>
    <row r="29" spans="1:19" ht="15.6" x14ac:dyDescent="0.3">
      <c r="C29" s="2">
        <v>1000</v>
      </c>
      <c r="D29" s="1">
        <f>SUM($B$25+T8)</f>
        <v>46343.549999999996</v>
      </c>
      <c r="E29" s="1">
        <f t="shared" si="3"/>
        <v>46343.549999999996</v>
      </c>
      <c r="F29" s="1">
        <f t="shared" si="3"/>
        <v>46343.549999999996</v>
      </c>
      <c r="G29" s="1">
        <f t="shared" si="3"/>
        <v>46343.549999999996</v>
      </c>
      <c r="H29" s="1">
        <f t="shared" si="3"/>
        <v>47935.1</v>
      </c>
      <c r="I29" s="1">
        <f t="shared" si="3"/>
        <v>49635.519999999997</v>
      </c>
    </row>
    <row r="30" spans="1:19" ht="15.6" x14ac:dyDescent="0.3">
      <c r="D30" s="3"/>
      <c r="E30" s="3"/>
      <c r="F30" s="3"/>
      <c r="G30" s="3"/>
      <c r="H30" s="36"/>
      <c r="I30" s="36"/>
    </row>
    <row r="31" spans="1:19" ht="15.75" customHeight="1" x14ac:dyDescent="0.3">
      <c r="A31" s="71" t="s">
        <v>17</v>
      </c>
      <c r="B31" s="11" t="s">
        <v>134</v>
      </c>
      <c r="C31" s="4"/>
      <c r="D31" s="4">
        <v>600</v>
      </c>
      <c r="E31" s="4">
        <v>800</v>
      </c>
      <c r="F31" s="4">
        <v>1000</v>
      </c>
      <c r="G31" s="4">
        <v>1200</v>
      </c>
      <c r="H31" s="4">
        <v>1400</v>
      </c>
      <c r="I31" s="4">
        <v>1600</v>
      </c>
    </row>
    <row r="32" spans="1:19" ht="15.75" customHeight="1" x14ac:dyDescent="0.3">
      <c r="A32" s="159" t="s">
        <v>138</v>
      </c>
      <c r="B32" s="5">
        <v>23781.02</v>
      </c>
      <c r="C32" s="2">
        <v>200</v>
      </c>
      <c r="D32" s="1">
        <f>SUM($B$32+T4)</f>
        <v>23781.02</v>
      </c>
      <c r="E32" s="1">
        <f t="shared" ref="E32:G36" si="4">SUM($B$32+U4)</f>
        <v>23781.02</v>
      </c>
      <c r="F32" s="1">
        <f t="shared" si="4"/>
        <v>23781.02</v>
      </c>
      <c r="G32" s="1">
        <f t="shared" si="4"/>
        <v>23781.02</v>
      </c>
      <c r="H32" s="33" t="s">
        <v>27</v>
      </c>
      <c r="I32" s="34" t="s">
        <v>27</v>
      </c>
    </row>
    <row r="33" spans="1:19" ht="15.6" x14ac:dyDescent="0.3">
      <c r="A33" s="159"/>
      <c r="C33" s="2">
        <v>400</v>
      </c>
      <c r="D33" s="1">
        <f>SUM($B$32+T5)</f>
        <v>25755.93</v>
      </c>
      <c r="E33" s="1">
        <f t="shared" si="4"/>
        <v>25755.93</v>
      </c>
      <c r="F33" s="1">
        <f t="shared" si="4"/>
        <v>25755.93</v>
      </c>
      <c r="G33" s="1">
        <f t="shared" si="4"/>
        <v>25755.93</v>
      </c>
      <c r="H33" s="35" t="s">
        <v>27</v>
      </c>
      <c r="I33" s="35" t="s">
        <v>27</v>
      </c>
      <c r="J33" s="5"/>
    </row>
    <row r="34" spans="1:19" ht="15.6" x14ac:dyDescent="0.3">
      <c r="C34" s="2">
        <v>600</v>
      </c>
      <c r="D34" s="1">
        <f>SUM($B$32+T6)</f>
        <v>27735.77</v>
      </c>
      <c r="E34" s="1">
        <f t="shared" si="4"/>
        <v>27735.77</v>
      </c>
      <c r="F34" s="1">
        <f t="shared" si="4"/>
        <v>27735.77</v>
      </c>
      <c r="G34" s="1">
        <f t="shared" si="4"/>
        <v>27735.77</v>
      </c>
      <c r="H34" s="35" t="s">
        <v>27</v>
      </c>
      <c r="I34" s="35" t="s">
        <v>27</v>
      </c>
    </row>
    <row r="35" spans="1:19" ht="15.6" x14ac:dyDescent="0.3">
      <c r="C35" s="2">
        <v>800</v>
      </c>
      <c r="D35" s="1">
        <f>SUM($B$32+T7)</f>
        <v>29774.89</v>
      </c>
      <c r="E35" s="1">
        <f t="shared" si="4"/>
        <v>29774.89</v>
      </c>
      <c r="F35" s="1">
        <f t="shared" si="4"/>
        <v>29774.89</v>
      </c>
      <c r="G35" s="1">
        <f t="shared" si="4"/>
        <v>29774.89</v>
      </c>
      <c r="H35" s="35" t="s">
        <v>27</v>
      </c>
      <c r="I35" s="35" t="s">
        <v>27</v>
      </c>
    </row>
    <row r="36" spans="1:19" ht="15.6" x14ac:dyDescent="0.3">
      <c r="C36" s="2">
        <v>1000</v>
      </c>
      <c r="D36" s="1">
        <f>SUM($B$32+T8)</f>
        <v>31809.05</v>
      </c>
      <c r="E36" s="1">
        <f t="shared" si="4"/>
        <v>31809.05</v>
      </c>
      <c r="F36" s="1">
        <f t="shared" si="4"/>
        <v>31809.05</v>
      </c>
      <c r="G36" s="1">
        <f t="shared" si="4"/>
        <v>31809.05</v>
      </c>
      <c r="H36" s="35" t="s">
        <v>27</v>
      </c>
      <c r="I36" s="35" t="s">
        <v>27</v>
      </c>
    </row>
    <row r="37" spans="1:19" ht="15.6" x14ac:dyDescent="0.3"/>
    <row r="38" spans="1:19" ht="15.6" x14ac:dyDescent="0.3">
      <c r="A38" s="4" t="s">
        <v>53</v>
      </c>
      <c r="B38" s="11" t="s">
        <v>151</v>
      </c>
      <c r="C38" s="4"/>
      <c r="D38" s="4">
        <v>600</v>
      </c>
      <c r="E38" s="4">
        <v>800</v>
      </c>
      <c r="F38" s="4">
        <v>1000</v>
      </c>
      <c r="G38" s="4">
        <v>1200</v>
      </c>
      <c r="H38" s="4">
        <v>1400</v>
      </c>
      <c r="I38" s="4">
        <v>1600</v>
      </c>
    </row>
    <row r="39" spans="1:19" ht="15.75" customHeight="1" x14ac:dyDescent="0.3">
      <c r="A39" s="159" t="s">
        <v>138</v>
      </c>
      <c r="B39" s="5">
        <v>27382.03</v>
      </c>
      <c r="C39" s="2">
        <v>200</v>
      </c>
      <c r="D39" s="1">
        <f>SUM($B$39+T4)</f>
        <v>27382.03</v>
      </c>
      <c r="E39" s="1">
        <f t="shared" ref="E39:I43" si="5">SUM($B$39+U4)</f>
        <v>27382.03</v>
      </c>
      <c r="F39" s="1">
        <f t="shared" si="5"/>
        <v>27382.03</v>
      </c>
      <c r="G39" s="1">
        <f t="shared" si="5"/>
        <v>27382.03</v>
      </c>
      <c r="H39" s="1">
        <f t="shared" si="5"/>
        <v>28973.579999999998</v>
      </c>
      <c r="I39" s="1">
        <f t="shared" si="5"/>
        <v>30674</v>
      </c>
    </row>
    <row r="40" spans="1:19" ht="15.6" x14ac:dyDescent="0.3">
      <c r="A40" s="159"/>
      <c r="C40" s="2">
        <v>400</v>
      </c>
      <c r="D40" s="1">
        <f>SUM($B$39+T5)</f>
        <v>29356.94</v>
      </c>
      <c r="E40" s="1">
        <f t="shared" si="5"/>
        <v>29356.94</v>
      </c>
      <c r="F40" s="1">
        <f t="shared" si="5"/>
        <v>29356.94</v>
      </c>
      <c r="G40" s="1">
        <f t="shared" si="5"/>
        <v>29356.94</v>
      </c>
      <c r="H40" s="1">
        <f t="shared" si="5"/>
        <v>30948.89</v>
      </c>
      <c r="I40" s="1">
        <f t="shared" si="5"/>
        <v>32648.91</v>
      </c>
      <c r="N40" s="1"/>
      <c r="O40" s="1"/>
      <c r="R40" s="5"/>
      <c r="S40" s="5"/>
    </row>
    <row r="41" spans="1:19" ht="15.6" x14ac:dyDescent="0.3">
      <c r="C41" s="2">
        <v>600</v>
      </c>
      <c r="D41" s="1">
        <f>SUM($B$39+T6)</f>
        <v>31336.78</v>
      </c>
      <c r="E41" s="1">
        <f t="shared" si="5"/>
        <v>31336.78</v>
      </c>
      <c r="F41" s="1">
        <f t="shared" si="5"/>
        <v>31336.78</v>
      </c>
      <c r="G41" s="1">
        <f t="shared" si="5"/>
        <v>31336.78</v>
      </c>
      <c r="H41" s="1">
        <f t="shared" si="5"/>
        <v>32928.33</v>
      </c>
      <c r="I41" s="1">
        <f t="shared" si="5"/>
        <v>34628.75</v>
      </c>
      <c r="N41" s="1"/>
      <c r="O41" s="1"/>
      <c r="R41" s="5"/>
      <c r="S41" s="5"/>
    </row>
    <row r="42" spans="1:19" ht="15.6" x14ac:dyDescent="0.3">
      <c r="C42" s="2">
        <v>800</v>
      </c>
      <c r="D42" s="1">
        <f>SUM($B$39+T7)</f>
        <v>33375.9</v>
      </c>
      <c r="E42" s="1">
        <f t="shared" si="5"/>
        <v>33375.9</v>
      </c>
      <c r="F42" s="1">
        <f t="shared" si="5"/>
        <v>33375.9</v>
      </c>
      <c r="G42" s="1">
        <f t="shared" si="5"/>
        <v>33375.9</v>
      </c>
      <c r="H42" s="1">
        <f t="shared" si="5"/>
        <v>34967.449999999997</v>
      </c>
      <c r="I42" s="1">
        <f t="shared" si="5"/>
        <v>36667.869999999995</v>
      </c>
    </row>
    <row r="43" spans="1:19" ht="15.6" x14ac:dyDescent="0.3">
      <c r="C43" s="2">
        <v>1000</v>
      </c>
      <c r="D43" s="1">
        <f>SUM($B$39+T8)</f>
        <v>35410.06</v>
      </c>
      <c r="E43" s="1">
        <f t="shared" si="5"/>
        <v>35410.06</v>
      </c>
      <c r="F43" s="1">
        <f t="shared" si="5"/>
        <v>35410.06</v>
      </c>
      <c r="G43" s="1">
        <f t="shared" si="5"/>
        <v>35410.06</v>
      </c>
      <c r="H43" s="1">
        <f t="shared" si="5"/>
        <v>37001.61</v>
      </c>
      <c r="I43" s="1">
        <f t="shared" si="5"/>
        <v>38702.03</v>
      </c>
      <c r="L43" s="3"/>
      <c r="M43" s="3"/>
    </row>
    <row r="44" spans="1:19" ht="15.6" x14ac:dyDescent="0.3">
      <c r="D44" s="36"/>
      <c r="E44" s="36"/>
      <c r="F44" s="36"/>
      <c r="G44" s="36"/>
      <c r="H44" s="36"/>
      <c r="I44" s="36"/>
      <c r="L44" s="3"/>
      <c r="M44" s="3"/>
    </row>
    <row r="45" spans="1:19" ht="15.6" x14ac:dyDescent="0.3">
      <c r="A45" s="4" t="s">
        <v>166</v>
      </c>
      <c r="B45" s="16" t="s">
        <v>167</v>
      </c>
      <c r="C45" s="4"/>
      <c r="D45" s="4">
        <v>600</v>
      </c>
      <c r="E45" s="4">
        <v>800</v>
      </c>
      <c r="F45" s="4">
        <v>1000</v>
      </c>
      <c r="G45" s="4">
        <v>1200</v>
      </c>
      <c r="H45" s="4">
        <v>1400</v>
      </c>
      <c r="I45" s="4">
        <v>1600</v>
      </c>
      <c r="L45" s="3"/>
      <c r="M45" s="3"/>
    </row>
    <row r="46" spans="1:19" ht="15.75" customHeight="1" x14ac:dyDescent="0.3">
      <c r="A46" s="159" t="s">
        <v>138</v>
      </c>
      <c r="B46" s="5">
        <v>31047.26</v>
      </c>
      <c r="C46" s="2">
        <v>200</v>
      </c>
      <c r="D46" s="1">
        <f>SUM($B$46+T4)</f>
        <v>31047.26</v>
      </c>
      <c r="E46" s="1">
        <f t="shared" ref="E46:I50" si="6">SUM($B$46+U4)</f>
        <v>31047.26</v>
      </c>
      <c r="F46" s="1">
        <f t="shared" si="6"/>
        <v>31047.26</v>
      </c>
      <c r="G46" s="1">
        <f t="shared" si="6"/>
        <v>31047.26</v>
      </c>
      <c r="H46" s="1">
        <f t="shared" si="6"/>
        <v>32638.809999999998</v>
      </c>
      <c r="I46" s="1">
        <f t="shared" si="6"/>
        <v>34339.229999999996</v>
      </c>
    </row>
    <row r="47" spans="1:19" ht="15.6" x14ac:dyDescent="0.3">
      <c r="A47" s="159"/>
      <c r="C47" s="2">
        <v>400</v>
      </c>
      <c r="D47" s="1">
        <f>SUM($B$46+T5)</f>
        <v>33022.17</v>
      </c>
      <c r="E47" s="1">
        <f t="shared" si="6"/>
        <v>33022.17</v>
      </c>
      <c r="F47" s="1">
        <f t="shared" si="6"/>
        <v>33022.17</v>
      </c>
      <c r="G47" s="1">
        <f t="shared" si="6"/>
        <v>33022.17</v>
      </c>
      <c r="H47" s="1">
        <f t="shared" si="6"/>
        <v>34614.119999999995</v>
      </c>
      <c r="I47" s="1">
        <f t="shared" si="6"/>
        <v>36314.14</v>
      </c>
    </row>
    <row r="48" spans="1:19" ht="15.6" x14ac:dyDescent="0.3">
      <c r="C48" s="2">
        <v>600</v>
      </c>
      <c r="D48" s="1">
        <f>SUM($B$46+T6)</f>
        <v>35002.009999999995</v>
      </c>
      <c r="E48" s="1">
        <f t="shared" si="6"/>
        <v>35002.009999999995</v>
      </c>
      <c r="F48" s="1">
        <f t="shared" si="6"/>
        <v>35002.009999999995</v>
      </c>
      <c r="G48" s="1">
        <f t="shared" si="6"/>
        <v>35002.009999999995</v>
      </c>
      <c r="H48" s="1">
        <f t="shared" si="6"/>
        <v>36593.56</v>
      </c>
      <c r="I48" s="1">
        <f t="shared" si="6"/>
        <v>38293.979999999996</v>
      </c>
    </row>
    <row r="49" spans="1:9" ht="15.6" x14ac:dyDescent="0.3">
      <c r="C49" s="2">
        <v>800</v>
      </c>
      <c r="D49" s="1">
        <f>SUM($B$46+T7)</f>
        <v>37041.129999999997</v>
      </c>
      <c r="E49" s="1">
        <f t="shared" si="6"/>
        <v>37041.129999999997</v>
      </c>
      <c r="F49" s="1">
        <f t="shared" si="6"/>
        <v>37041.129999999997</v>
      </c>
      <c r="G49" s="1">
        <f t="shared" si="6"/>
        <v>37041.129999999997</v>
      </c>
      <c r="H49" s="1">
        <f t="shared" si="6"/>
        <v>38632.68</v>
      </c>
      <c r="I49" s="1">
        <f t="shared" si="6"/>
        <v>40333.1</v>
      </c>
    </row>
    <row r="50" spans="1:9" ht="15.6" x14ac:dyDescent="0.3">
      <c r="C50" s="2">
        <v>1000</v>
      </c>
      <c r="D50" s="1">
        <f>SUM($B$46+T8)</f>
        <v>39075.29</v>
      </c>
      <c r="E50" s="1">
        <f t="shared" si="6"/>
        <v>39075.29</v>
      </c>
      <c r="F50" s="1">
        <f t="shared" si="6"/>
        <v>39075.29</v>
      </c>
      <c r="G50" s="1">
        <f t="shared" si="6"/>
        <v>39075.29</v>
      </c>
      <c r="H50" s="1">
        <f t="shared" si="6"/>
        <v>40666.839999999997</v>
      </c>
      <c r="I50" s="1">
        <f t="shared" si="6"/>
        <v>42367.259999999995</v>
      </c>
    </row>
    <row r="51" spans="1:9" ht="15.6" x14ac:dyDescent="0.3"/>
    <row r="52" spans="1:9" ht="15.6" x14ac:dyDescent="0.3">
      <c r="A52" s="4" t="s">
        <v>53</v>
      </c>
      <c r="B52" s="11" t="s">
        <v>182</v>
      </c>
      <c r="C52" s="4"/>
      <c r="D52" s="4">
        <v>600</v>
      </c>
      <c r="E52" s="4">
        <v>800</v>
      </c>
      <c r="F52" s="4">
        <v>1000</v>
      </c>
      <c r="G52" s="4">
        <v>1200</v>
      </c>
      <c r="H52" s="4">
        <v>1400</v>
      </c>
      <c r="I52" s="4">
        <v>1600</v>
      </c>
    </row>
    <row r="53" spans="1:9" ht="15.75" customHeight="1" x14ac:dyDescent="0.3">
      <c r="A53" t="s">
        <v>102</v>
      </c>
      <c r="B53" s="1">
        <v>48126.239999999998</v>
      </c>
      <c r="C53" s="2"/>
      <c r="D53" s="1">
        <f t="shared" ref="D53:I53" si="7">SUM($B$53+T4)</f>
        <v>48126.239999999998</v>
      </c>
      <c r="E53" s="1">
        <f t="shared" si="7"/>
        <v>48126.239999999998</v>
      </c>
      <c r="F53" s="1">
        <f t="shared" si="7"/>
        <v>48126.239999999998</v>
      </c>
      <c r="G53" s="1">
        <f t="shared" si="7"/>
        <v>48126.239999999998</v>
      </c>
      <c r="H53" s="1">
        <f t="shared" si="7"/>
        <v>49717.79</v>
      </c>
      <c r="I53" s="1">
        <f t="shared" si="7"/>
        <v>51418.21</v>
      </c>
    </row>
    <row r="54" spans="1:9" ht="15.6" x14ac:dyDescent="0.3">
      <c r="A54" s="6" t="s">
        <v>35</v>
      </c>
    </row>
    <row r="55" spans="1:9" ht="15.6" x14ac:dyDescent="0.3"/>
    <row r="57" spans="1:9" ht="15.6" x14ac:dyDescent="0.3">
      <c r="B57" s="5"/>
      <c r="D57" s="36"/>
      <c r="E57" s="36"/>
      <c r="F57" s="36"/>
      <c r="G57" s="36"/>
      <c r="H57" s="5"/>
      <c r="I57" s="5"/>
    </row>
    <row r="58" spans="1:9" ht="15.75" customHeight="1" x14ac:dyDescent="0.3">
      <c r="D58" s="36"/>
      <c r="E58" s="36"/>
      <c r="F58" s="36"/>
      <c r="G58" s="36"/>
      <c r="H58" s="5"/>
      <c r="I58" s="5"/>
    </row>
    <row r="59" spans="1:9" ht="15.6" x14ac:dyDescent="0.3"/>
    <row r="66" spans="14:14" ht="15.75" customHeight="1" x14ac:dyDescent="0.3">
      <c r="N66" s="5"/>
    </row>
  </sheetData>
  <mergeCells count="11">
    <mergeCell ref="A1:M1"/>
    <mergeCell ref="K14:L14"/>
    <mergeCell ref="A39:A40"/>
    <mergeCell ref="A32:A33"/>
    <mergeCell ref="A46:A47"/>
    <mergeCell ref="O11:Q11"/>
    <mergeCell ref="K8:L8"/>
    <mergeCell ref="O3:Q3"/>
    <mergeCell ref="Q5:Q6"/>
    <mergeCell ref="K3:L3"/>
    <mergeCell ref="K4:L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3D Compatible Boom Pricing</vt:lpstr>
      <vt:lpstr>3D Compatible Light Pricing</vt:lpstr>
      <vt:lpstr>2025_03_28 3D Boom Pricing</vt:lpstr>
      <vt:lpstr>2025_03_28 Boom Pricing</vt:lpstr>
      <vt:lpstr>2025_03_28 3D Light Pricing</vt:lpstr>
      <vt:lpstr>2025_03_28 Light Pricing</vt:lpstr>
      <vt:lpstr>Light Pricing</vt:lpstr>
      <vt:lpstr>Boom Pricing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Chase Carpenter</dc:creator>
  <cp:keywords/>
  <dc:description/>
  <cp:lastModifiedBy>Anwar Fahim</cp:lastModifiedBy>
  <cp:revision/>
  <dcterms:created xsi:type="dcterms:W3CDTF">2024-12-11T15:33:43Z</dcterms:created>
  <dcterms:modified xsi:type="dcterms:W3CDTF">2025-06-13T21:49:17Z</dcterms:modified>
  <cp:category/>
  <cp:contentStatus/>
</cp:coreProperties>
</file>